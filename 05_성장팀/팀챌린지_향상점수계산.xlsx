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6"/>
  </bookViews>
  <sheets>
    <sheet name="참가자" sheetId="1" state="visible" r:id="rId3"/>
    <sheet name="진단" sheetId="2" state="visible" r:id="rId4"/>
    <sheet name="평가A" sheetId="3" state="visible" r:id="rId5"/>
    <sheet name="평가B" sheetId="4" state="visible" r:id="rId6"/>
    <sheet name="평가C" sheetId="5" state="visible" r:id="rId7"/>
    <sheet name="팀 점수" sheetId="6" state="visible" r:id="rId8"/>
    <sheet name="사용법" sheetId="7" state="visible" r:id="rId9"/>
  </sheets>
  <definedNames>
    <definedName function="false" hidden="false" name="HIGH_CUT" vbProcedure="false">사용법!$C$6</definedName>
    <definedName function="false" hidden="false" name="PTS_HIGH" vbProcedure="false">사용법!$C$11</definedName>
    <definedName function="false" hidden="false" name="PTS_LOW" vbProcedure="false">사용법!$C$9</definedName>
    <definedName function="false" hidden="false" name="PTS_MID" vbProcedure="false">사용법!$C$10</definedName>
    <definedName function="false" hidden="false" name="STEP1" vbProcedure="false">사용법!$C$7</definedName>
    <definedName function="false" hidden="false" name="STEP2" vbProcedure="false">사용법!$C$8</definedName>
    <definedName function="false" hidden="false" name="TEAM_GOAL" vbProcedure="false">사용법!$C$12</definedName>
    <definedName function="false" hidden="false" name="USE_DIAG" vbProcedure="false">사용법!$C$13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<sst xmlns="http://schemas.openxmlformats.org/spreadsheetml/2006/main" count="213" uniqueCount="110">
  <si>
    <r>
      <rPr>
        <b val="true"/>
        <sz val="11"/>
        <color rgb="FFC00000"/>
        <rFont val="WenQuanYi Zen Hei"/>
        <family val="2"/>
      </rPr>
      <t xml:space="preserve">참가자 명단 — 실명</t>
    </r>
    <r>
      <rPr>
        <b val="true"/>
        <sz val="11"/>
        <color rgb="FFC00000"/>
        <rFont val="Cambria"/>
        <family val="0"/>
        <charset val="1"/>
      </rPr>
      <t xml:space="preserve">·</t>
    </r>
    <r>
      <rPr>
        <b val="true"/>
        <sz val="11"/>
        <color rgb="FFC00000"/>
        <rFont val="WenQuanYi Zen Hei"/>
        <family val="2"/>
      </rPr>
      <t xml:space="preserve">학번</t>
    </r>
    <r>
      <rPr>
        <b val="true"/>
        <sz val="11"/>
        <color rgb="FFC00000"/>
        <rFont val="Cambria"/>
        <family val="0"/>
        <charset val="1"/>
      </rPr>
      <t xml:space="preserve">·</t>
    </r>
    <r>
      <rPr>
        <b val="true"/>
        <sz val="11"/>
        <color rgb="FFC00000"/>
        <rFont val="WenQuanYi Zen Hei"/>
        <family val="2"/>
      </rPr>
      <t xml:space="preserve">연락처 금지</t>
    </r>
    <r>
      <rPr>
        <b val="true"/>
        <sz val="11"/>
        <color rgb="FFC00000"/>
        <rFont val="Cambria"/>
        <family val="0"/>
        <charset val="1"/>
      </rPr>
      <t xml:space="preserve">. </t>
    </r>
    <r>
      <rPr>
        <b val="true"/>
        <sz val="11"/>
        <color rgb="FFC00000"/>
        <rFont val="WenQuanYi Zen Hei"/>
        <family val="2"/>
      </rPr>
      <t xml:space="preserve">무작위 참가자 코드만</t>
    </r>
    <r>
      <rPr>
        <b val="true"/>
        <sz val="11"/>
        <color rgb="FFC00000"/>
        <rFont val="Cambria"/>
        <family val="0"/>
        <charset val="1"/>
      </rPr>
      <t xml:space="preserve">. (</t>
    </r>
    <r>
      <rPr>
        <b val="true"/>
        <sz val="11"/>
        <color rgb="FFC00000"/>
        <rFont val="WenQuanYi Zen Hei"/>
        <family val="2"/>
      </rPr>
      <t xml:space="preserve">예시 </t>
    </r>
    <r>
      <rPr>
        <b val="true"/>
        <sz val="11"/>
        <color rgb="FFC00000"/>
        <rFont val="Cambria"/>
        <family val="0"/>
        <charset val="1"/>
      </rPr>
      <t xml:space="preserve">12</t>
    </r>
    <r>
      <rPr>
        <b val="true"/>
        <sz val="11"/>
        <color rgb="FFC00000"/>
        <rFont val="WenQuanYi Zen Hei"/>
        <family val="2"/>
      </rPr>
      <t xml:space="preserve">명은 가짜 데이터</t>
    </r>
    <r>
      <rPr>
        <b val="true"/>
        <sz val="11"/>
        <color rgb="FFC00000"/>
        <rFont val="Cambria"/>
        <family val="0"/>
        <charset val="1"/>
      </rPr>
      <t xml:space="preserve">)</t>
    </r>
  </si>
  <si>
    <t xml:space="preserve">참가자 코드</t>
  </si>
  <si>
    <t xml:space="preserve">팀</t>
  </si>
  <si>
    <r>
      <rPr>
        <b val="true"/>
        <sz val="11"/>
        <rFont val="WenQuanYi Zen Hei"/>
        <family val="2"/>
      </rPr>
      <t xml:space="preserve">메모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선택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WenQuanYi Zen Hei"/>
        <family val="2"/>
      </rPr>
      <t xml:space="preserve">개인정보 금지</t>
    </r>
    <r>
      <rPr>
        <b val="true"/>
        <sz val="11"/>
        <rFont val="Cambria"/>
        <family val="0"/>
        <charset val="1"/>
      </rPr>
      <t xml:space="preserve">)</t>
    </r>
  </si>
  <si>
    <t xml:space="preserve">K7QM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</si>
  <si>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팀</t>
    </r>
  </si>
  <si>
    <t xml:space="preserve">R4XT</t>
  </si>
  <si>
    <t xml:space="preserve">H9WC</t>
  </si>
  <si>
    <t xml:space="preserve">B3NV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</si>
  <si>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팀</t>
    </r>
  </si>
  <si>
    <t xml:space="preserve">Z8LD</t>
  </si>
  <si>
    <t xml:space="preserve">M2PF</t>
  </si>
  <si>
    <t xml:space="preserve">T6YH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</si>
  <si>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팀</t>
    </r>
  </si>
  <si>
    <t xml:space="preserve">C5JR</t>
  </si>
  <si>
    <t xml:space="preserve">W3KE</t>
  </si>
  <si>
    <t xml:space="preserve">F8UA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</si>
  <si>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팀</t>
    </r>
  </si>
  <si>
    <t xml:space="preserve">N4GS</t>
  </si>
  <si>
    <t xml:space="preserve">D7VB</t>
  </si>
  <si>
    <r>
      <rPr>
        <b val="true"/>
        <sz val="11"/>
        <rFont val="WenQuanYi Zen Hei"/>
        <family val="2"/>
      </rPr>
      <t xml:space="preserve">진단 </t>
    </r>
    <r>
      <rPr>
        <b val="true"/>
        <sz val="11"/>
        <rFont val="Cambria"/>
        <family val="0"/>
        <charset val="1"/>
      </rPr>
      <t xml:space="preserve">(10~12</t>
    </r>
    <r>
      <rPr>
        <b val="true"/>
        <sz val="11"/>
        <rFont val="WenQuanYi Zen Hei"/>
        <family val="2"/>
      </rPr>
      <t xml:space="preserve">문항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팀 구성 참고용</t>
    </r>
    <r>
      <rPr>
        <b val="true"/>
        <sz val="11"/>
        <rFont val="Cambria"/>
        <family val="0"/>
        <charset val="1"/>
      </rPr>
      <t xml:space="preserve">. </t>
    </r>
    <r>
      <rPr>
        <b val="true"/>
        <sz val="11"/>
        <rFont val="WenQuanYi Zen Hei"/>
        <family val="2"/>
      </rPr>
      <t xml:space="preserve">향상점수에는 쓰지 않음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결석 시 기준점수 대체만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</si>
  <si>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color rgb="FFC00000"/>
        <rFont val="WenQuanYi Zen Hei"/>
        <family val="2"/>
      </rPr>
      <t xml:space="preserve">붙여넣기 영역 </t>
    </r>
    <r>
      <rPr>
        <b val="true"/>
        <sz val="11"/>
        <color rgb="FFC00000"/>
        <rFont val="Cambria"/>
        <family val="0"/>
        <charset val="1"/>
      </rPr>
      <t xml:space="preserve">(</t>
    </r>
    <r>
      <rPr>
        <b val="true"/>
        <sz val="11"/>
        <color rgb="FFC00000"/>
        <rFont val="WenQuanYi Zen Hei"/>
        <family val="2"/>
      </rPr>
      <t xml:space="preserve">노란 칸</t>
    </r>
    <r>
      <rPr>
        <b val="true"/>
        <sz val="11"/>
        <color rgb="FFC00000"/>
        <rFont val="Cambria"/>
        <family val="0"/>
        <charset val="1"/>
      </rPr>
      <t xml:space="preserve">, 3</t>
    </r>
    <r>
      <rPr>
        <b val="true"/>
        <sz val="11"/>
        <color rgb="FFC00000"/>
        <rFont val="WenQuanYi Zen Hei"/>
        <family val="2"/>
      </rPr>
      <t xml:space="preserve">행부터</t>
    </r>
    <r>
      <rPr>
        <b val="true"/>
        <sz val="11"/>
        <color rgb="FFC00000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</si>
  <si>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정답률</t>
    </r>
    <r>
      <rPr>
        <b val="true"/>
        <sz val="11"/>
        <rFont val="Cambria"/>
        <family val="0"/>
        <charset val="1"/>
      </rPr>
      <t xml:space="preserve">(%)</t>
    </r>
  </si>
  <si>
    <t xml:space="preserve">상태</t>
  </si>
  <si>
    <t xml:space="preserve">중복 점검</t>
  </si>
  <si>
    <t xml:space="preserve">맞힌 수</t>
  </si>
  <si>
    <t xml:space="preserve">문항 수</t>
  </si>
  <si>
    <r>
      <rPr>
        <b val="true"/>
        <sz val="11"/>
        <rFont val="WenQuanYi Zen Hei"/>
        <family val="2"/>
      </rPr>
      <t xml:space="preserve">정리된 코드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</si>
  <si>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계산 정답률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</si>
  <si>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명단 점검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자동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</si>
  <si>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A (</t>
    </r>
    <r>
      <rPr>
        <b val="true"/>
        <sz val="11"/>
        <rFont val="WenQuanYi Zen Hei"/>
        <family val="2"/>
      </rPr>
      <t xml:space="preserve">공통 평가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회차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각자의 기준점수</t>
    </r>
  </si>
  <si>
    <r>
      <rPr>
        <b val="true"/>
        <sz val="11"/>
        <rFont val="WenQuanYi Zen Hei"/>
        <family val="2"/>
      </rPr>
      <t xml:space="preserve">기준점수</t>
    </r>
    <r>
      <rPr>
        <b val="true"/>
        <sz val="11"/>
        <rFont val="Cambria"/>
        <family val="0"/>
        <charset val="1"/>
      </rPr>
      <t xml:space="preserve">(%)</t>
    </r>
  </si>
  <si>
    <t xml:space="preserve">기준 출처</t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</si>
  <si>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 (</t>
    </r>
    <r>
      <rPr>
        <b val="true"/>
        <sz val="11"/>
        <rFont val="WenQuanYi Zen Hei"/>
        <family val="2"/>
      </rPr>
      <t xml:space="preserve">공통 평가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회차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기준점수 대비 향상점수</t>
    </r>
  </si>
  <si>
    <r>
      <rPr>
        <b val="true"/>
        <sz val="11"/>
        <rFont val="WenQuanYi Zen Hei"/>
        <family val="2"/>
      </rPr>
      <t xml:space="preserve">변화</t>
    </r>
    <r>
      <rPr>
        <b val="true"/>
        <sz val="11"/>
        <rFont val="Cambria"/>
        <family val="0"/>
        <charset val="1"/>
      </rPr>
      <t xml:space="preserve">(%p)</t>
    </r>
  </si>
  <si>
    <t xml:space="preserve">향상점수</t>
  </si>
  <si>
    <t xml:space="preserve">판정 이유</t>
  </si>
  <si>
    <t xml:space="preserve"> k7qm </t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</si>
  <si>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C (</t>
    </r>
    <r>
      <rPr>
        <b val="true"/>
        <sz val="11"/>
        <rFont val="WenQuanYi Zen Hei"/>
        <family val="2"/>
      </rPr>
      <t xml:space="preserve">공통 평가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회차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기준점수 대비 향상점수</t>
    </r>
  </si>
  <si>
    <t xml:space="preserve">D7V8</t>
  </si>
  <si>
    <r>
      <rPr>
        <b val="true"/>
        <sz val="11"/>
        <rFont val="WenQuanYi Zen Hei"/>
        <family val="2"/>
      </rPr>
      <t xml:space="preserve">팀 점수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응시한 팀원의 향상점수 평균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결석자 제외</t>
    </r>
    <r>
      <rPr>
        <b val="true"/>
        <sz val="11"/>
        <rFont val="Cambria"/>
        <family val="0"/>
        <charset val="1"/>
      </rPr>
      <t xml:space="preserve">). </t>
    </r>
    <r>
      <rPr>
        <b val="true"/>
        <sz val="11"/>
        <rFont val="WenQuanYi Zen Hei"/>
        <family val="2"/>
      </rPr>
      <t xml:space="preserve">순위는 활동이 끝난 뒤에만 공개</t>
    </r>
    <r>
      <rPr>
        <b val="true"/>
        <sz val="11"/>
        <rFont val="Cambria"/>
        <family val="0"/>
        <charset val="1"/>
      </rPr>
      <t xml:space="preserve">.</t>
    </r>
  </si>
  <si>
    <t xml:space="preserve">팀원 수</t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</si>
  <si>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WenQuanYi Zen Hei"/>
        <family val="2"/>
      </rPr>
      <t xml:space="preserve">반영 인원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</si>
  <si>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WenQuanYi Zen Hei"/>
        <family val="2"/>
      </rPr>
      <t xml:space="preserve">팀 점수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</si>
  <si>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WenQuanYi Zen Hei"/>
        <family val="2"/>
      </rPr>
      <t xml:space="preserve">목표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</si>
  <si>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WenQuanYi Zen Hei"/>
        <family val="2"/>
      </rPr>
      <t xml:space="preserve">반영 인원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</si>
  <si>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WenQuanYi Zen Hei"/>
        <family val="2"/>
      </rPr>
      <t xml:space="preserve">팀 점수</t>
    </r>
  </si>
  <si>
    <r>
      <rPr>
        <b val="true"/>
        <sz val="11"/>
        <rFont val="WenQuanYi Zen Hei"/>
        <family val="2"/>
      </rPr>
      <t xml:space="preserve">평가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WenQuanYi Zen Hei"/>
        <family val="2"/>
      </rPr>
      <t xml:space="preserve">목표</t>
    </r>
  </si>
  <si>
    <r>
      <rPr>
        <b val="true"/>
        <sz val="11"/>
        <rFont val="WenQuanYi Zen Hei"/>
        <family val="2"/>
      </rPr>
      <t xml:space="preserve">누적 평균</t>
    </r>
    <r>
      <rPr>
        <b val="true"/>
        <sz val="11"/>
        <rFont val="Cambria"/>
        <family val="0"/>
        <charset val="1"/>
      </rPr>
      <t xml:space="preserve">(B·C)</t>
    </r>
  </si>
  <si>
    <r>
      <rPr>
        <b val="true"/>
        <sz val="11"/>
        <rFont val="WenQuanYi Zen Hei"/>
        <family val="2"/>
      </rPr>
      <t xml:space="preserve">순위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활동 후 공개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</si>
  <si>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3"/>
        <rFont val="WenQuanYi Zen Hei"/>
        <family val="2"/>
      </rPr>
      <t xml:space="preserve">반 전체 요약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익명 공개용 </t>
    </r>
    <r>
      <rPr>
        <b val="true"/>
        <sz val="13"/>
        <rFont val="Cambria"/>
        <family val="0"/>
        <charset val="1"/>
      </rPr>
      <t xml:space="preserve">+ </t>
    </r>
    <r>
      <rPr>
        <b val="true"/>
        <sz val="13"/>
        <rFont val="WenQuanYi Zen Hei"/>
        <family val="2"/>
      </rPr>
      <t xml:space="preserve">합격 기준 점검</t>
    </r>
    <r>
      <rPr>
        <b val="true"/>
        <sz val="13"/>
        <rFont val="Cambria"/>
        <family val="0"/>
        <charset val="1"/>
      </rPr>
      <t xml:space="preserve">)</t>
    </r>
  </si>
  <si>
    <t xml:space="preserve">평가</t>
  </si>
  <si>
    <t xml:space="preserve">명단 인원</t>
  </si>
  <si>
    <r>
      <rPr>
        <b val="true"/>
        <sz val="11"/>
        <rFont val="WenQuanYi Zen Hei"/>
        <family val="2"/>
      </rPr>
      <t xml:space="preserve">출석 인원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직접 입력</t>
    </r>
    <r>
      <rPr>
        <b val="true"/>
        <sz val="11"/>
        <rFont val="Cambria"/>
        <family val="0"/>
        <charset val="1"/>
      </rPr>
      <t xml:space="preserve">)</t>
    </r>
  </si>
  <si>
    <t xml:space="preserve">응시 인원</t>
  </si>
  <si>
    <r>
      <rPr>
        <b val="true"/>
        <sz val="11"/>
        <rFont val="WenQuanYi Zen Hei"/>
        <family val="2"/>
      </rPr>
      <t xml:space="preserve">완료율</t>
    </r>
    <r>
      <rPr>
        <b val="true"/>
        <sz val="11"/>
        <rFont val="Cambria"/>
        <family val="0"/>
        <charset val="1"/>
      </rPr>
      <t xml:space="preserve">(%)</t>
    </r>
  </si>
  <si>
    <r>
      <rPr>
        <b val="true"/>
        <sz val="11"/>
        <rFont val="WenQuanYi Zen Hei"/>
        <family val="2"/>
      </rPr>
      <t xml:space="preserve">평균 정답률</t>
    </r>
    <r>
      <rPr>
        <b val="true"/>
        <sz val="11"/>
        <rFont val="Cambria"/>
        <family val="0"/>
        <charset val="1"/>
      </rPr>
      <t xml:space="preserve">(%)</t>
    </r>
  </si>
  <si>
    <t xml:space="preserve">중복 코드</t>
  </si>
  <si>
    <t xml:space="preserve">명단에 없는 코드</t>
  </si>
  <si>
    <t xml:space="preserve">출석했는데 기록 없음</t>
  </si>
  <si>
    <t xml:space="preserve">진단</t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</si>
  <si>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</si>
  <si>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</si>
  <si>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</si>
  <si>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WenQuanYi Zen Hei"/>
        <family val="2"/>
      </rPr>
      <t xml:space="preserve">완료율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응시 인원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출석 인원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비어 있으면 명단 인원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합격 기준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완료율 </t>
    </r>
    <r>
      <rPr>
        <sz val="11"/>
        <color theme="1"/>
        <rFont val="Calibri"/>
        <family val="2"/>
        <charset val="1"/>
      </rPr>
      <t xml:space="preserve">90% </t>
    </r>
    <r>
      <rPr>
        <sz val="11"/>
        <color theme="1"/>
        <rFont val="WenQuanYi Zen Hei"/>
        <family val="2"/>
      </rPr>
      <t xml:space="preserve">이상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중복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명단 외 코드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출석했는데 기록 없음 모두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건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</si>
  <si>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color rgb="FFC00000"/>
        <rFont val="Cambria"/>
        <family val="0"/>
        <charset val="1"/>
      </rPr>
      <t xml:space="preserve">[</t>
    </r>
    <r>
      <rPr>
        <b val="true"/>
        <sz val="11"/>
        <color rgb="FFC00000"/>
        <rFont val="WenQuanYi Zen Hei"/>
        <family val="2"/>
      </rPr>
      <t xml:space="preserve">주의</t>
    </r>
    <r>
      <rPr>
        <b val="true"/>
        <sz val="11"/>
        <color rgb="FFC00000"/>
        <rFont val="Cambria"/>
        <family val="0"/>
        <charset val="1"/>
      </rPr>
      <t xml:space="preserve">] </t>
    </r>
    <r>
      <rPr>
        <b val="true"/>
        <sz val="11"/>
        <color rgb="FFC00000"/>
        <rFont val="WenQuanYi Zen Hei"/>
        <family val="2"/>
      </rPr>
      <t xml:space="preserve">규칙 수치는 </t>
    </r>
    <r>
      <rPr>
        <b val="true"/>
        <sz val="11"/>
        <color rgb="FFC00000"/>
        <rFont val="Cambria"/>
        <family val="0"/>
        <charset val="1"/>
      </rPr>
      <t xml:space="preserve">03_</t>
    </r>
    <r>
      <rPr>
        <b val="true"/>
        <sz val="11"/>
        <color rgb="FFC00000"/>
        <rFont val="WenQuanYi Zen Hei"/>
        <family val="2"/>
      </rPr>
      <t xml:space="preserve">교육기획팀</t>
    </r>
    <r>
      <rPr>
        <b val="true"/>
        <sz val="11"/>
        <color rgb="FFC00000"/>
        <rFont val="Cambria"/>
        <family val="0"/>
        <charset val="1"/>
      </rPr>
      <t xml:space="preserve">/2026-11-01_</t>
    </r>
    <r>
      <rPr>
        <b val="true"/>
        <sz val="11"/>
        <color rgb="FFC00000"/>
        <rFont val="WenQuanYi Zen Hei"/>
        <family val="2"/>
      </rPr>
      <t xml:space="preserve">팀챌린지</t>
    </r>
    <r>
      <rPr>
        <b val="true"/>
        <sz val="11"/>
        <color rgb="FFC00000"/>
        <rFont val="Cambria"/>
        <family val="0"/>
        <charset val="1"/>
      </rPr>
      <t xml:space="preserve">_</t>
    </r>
    <r>
      <rPr>
        <b val="true"/>
        <sz val="11"/>
        <color rgb="FFC00000"/>
        <rFont val="WenQuanYi Zen Hei"/>
        <family val="2"/>
      </rPr>
      <t xml:space="preserve">운영설계</t>
    </r>
    <r>
      <rPr>
        <b val="true"/>
        <sz val="11"/>
        <color rgb="FFC00000"/>
        <rFont val="Cambria"/>
        <family val="0"/>
        <charset val="1"/>
      </rPr>
      <t xml:space="preserve">.md </t>
    </r>
    <r>
      <rPr>
        <b val="true"/>
        <sz val="11"/>
        <color rgb="FFC00000"/>
        <rFont val="WenQuanYi Zen Hei"/>
        <family val="2"/>
      </rPr>
      <t xml:space="preserve">확정 후 조정</t>
    </r>
  </si>
  <si>
    <r>
      <rPr>
        <sz val="11"/>
        <color theme="1"/>
        <rFont val="WenQuanYi Zen Hei"/>
        <family val="2"/>
      </rPr>
      <t xml:space="preserve">아래 노란 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기준값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만 바꾸면 모든 시트의 계산이 자동으로 바뀝니다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현재 값은 임시 기본값입니다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</si>
  <si>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기준값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노란 칸만 수정</t>
    </r>
    <r>
      <rPr>
        <b val="true"/>
        <sz val="13"/>
        <rFont val="Cambria"/>
        <family val="0"/>
        <charset val="1"/>
      </rPr>
      <t xml:space="preserve">)</t>
    </r>
  </si>
  <si>
    <t xml:space="preserve">이름표</t>
  </si>
  <si>
    <t xml:space="preserve">설명</t>
  </si>
  <si>
    <t xml:space="preserve">값</t>
  </si>
  <si>
    <t xml:space="preserve">HIGH_CUT</t>
  </si>
  <si>
    <r>
      <rPr>
        <sz val="11"/>
        <color theme="1"/>
        <rFont val="WenQuanYi Zen Hei"/>
        <family val="2"/>
      </rPr>
      <t xml:space="preserve">고득점 유지 기준</t>
    </r>
    <r>
      <rPr>
        <sz val="11"/>
        <color theme="1"/>
        <rFont val="Calibri"/>
        <family val="2"/>
        <charset val="1"/>
      </rPr>
      <t xml:space="preserve">(%) — </t>
    </r>
    <r>
      <rPr>
        <sz val="11"/>
        <color theme="1"/>
        <rFont val="WenQuanYi Zen Hei"/>
        <family val="2"/>
      </rPr>
      <t xml:space="preserve">이번 평가 정답률이 이 값 이상이면 기준점수와 상관없이 최고점</t>
    </r>
  </si>
  <si>
    <t xml:space="preserve">STEP1</t>
  </si>
  <si>
    <r>
      <rPr>
        <sz val="11"/>
        <color theme="1"/>
        <rFont val="WenQuanYi Zen Hei"/>
        <family val="2"/>
      </rPr>
      <t xml:space="preserve">구간 경계</t>
    </r>
    <r>
      <rPr>
        <sz val="11"/>
        <color theme="1"/>
        <rFont val="Calibri"/>
        <family val="2"/>
        <charset val="1"/>
      </rPr>
      <t xml:space="preserve">1(%p) — </t>
    </r>
    <r>
      <rPr>
        <sz val="11"/>
        <color theme="1"/>
        <rFont val="WenQuanYi Zen Hei"/>
        <family val="2"/>
      </rPr>
      <t xml:space="preserve">기준점수 대비 변화가 이 값 이상이면 중간 점수</t>
    </r>
  </si>
  <si>
    <t xml:space="preserve">STEP2</t>
  </si>
  <si>
    <r>
      <rPr>
        <sz val="11"/>
        <color theme="1"/>
        <rFont val="WenQuanYi Zen Hei"/>
        <family val="2"/>
      </rPr>
      <t xml:space="preserve">구간 경계</t>
    </r>
    <r>
      <rPr>
        <sz val="11"/>
        <color theme="1"/>
        <rFont val="Calibri"/>
        <family val="2"/>
        <charset val="1"/>
      </rPr>
      <t xml:space="preserve">2(%p) — </t>
    </r>
    <r>
      <rPr>
        <sz val="11"/>
        <color theme="1"/>
        <rFont val="WenQuanYi Zen Hei"/>
        <family val="2"/>
      </rPr>
      <t xml:space="preserve">기준점수 대비 변화가 이 값 이상이면 최고점</t>
    </r>
  </si>
  <si>
    <t xml:space="preserve">PTS_LOW</t>
  </si>
  <si>
    <r>
      <rPr>
        <sz val="11"/>
        <color theme="1"/>
        <rFont val="WenQuanYi Zen Hei"/>
        <family val="2"/>
      </rPr>
      <t xml:space="preserve">경계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미만일 때 향상점수</t>
    </r>
  </si>
  <si>
    <t xml:space="preserve">PTS_MID</t>
  </si>
  <si>
    <r>
      <rPr>
        <sz val="11"/>
        <color theme="1"/>
        <rFont val="WenQuanYi Zen Hei"/>
        <family val="2"/>
      </rPr>
      <t xml:space="preserve">경계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이상 </t>
    </r>
    <r>
      <rPr>
        <sz val="11"/>
        <color theme="1"/>
        <rFont val="Calibri"/>
        <family val="2"/>
        <charset val="1"/>
      </rPr>
      <t xml:space="preserve">~ </t>
    </r>
    <r>
      <rPr>
        <sz val="11"/>
        <color theme="1"/>
        <rFont val="WenQuanYi Zen Hei"/>
        <family val="2"/>
      </rPr>
      <t xml:space="preserve">경계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미만일 때 향상점수</t>
    </r>
  </si>
  <si>
    <t xml:space="preserve">PTS_HIGH</t>
  </si>
  <si>
    <r>
      <rPr>
        <sz val="11"/>
        <color theme="1"/>
        <rFont val="WenQuanYi Zen Hei"/>
        <family val="2"/>
      </rPr>
      <t xml:space="preserve">경계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이상 또는 고득점 유지일 때 향상점수</t>
    </r>
  </si>
  <si>
    <t xml:space="preserve">TEAM_GOAL</t>
  </si>
  <si>
    <r>
      <rPr>
        <sz val="11"/>
        <color theme="1"/>
        <rFont val="WenQuanYi Zen Hei"/>
        <family val="2"/>
      </rPr>
      <t xml:space="preserve">팀 목표 점수 — 팀 점수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평균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가 이 값 이상이면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' (</t>
    </r>
    <r>
      <rPr>
        <sz val="11"/>
        <color theme="1"/>
        <rFont val="WenQuanYi Zen Hei"/>
        <family val="2"/>
      </rPr>
      <t xml:space="preserve">목표 넘은 팀은 모두 인정</t>
    </r>
    <r>
      <rPr>
        <sz val="11"/>
        <color theme="1"/>
        <rFont val="Calibri"/>
        <family val="2"/>
        <charset val="1"/>
      </rPr>
      <t xml:space="preserve">)</t>
    </r>
  </si>
  <si>
    <t xml:space="preserve">USE_DIAG</t>
  </si>
  <si>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결석자의 기준점수를 진단 점수로 대신할까</t>
    </r>
    <r>
      <rPr>
        <sz val="11"/>
        <color theme="1"/>
        <rFont val="Calibri"/>
        <family val="2"/>
        <charset val="1"/>
      </rPr>
      <t xml:space="preserve">? (1=</t>
    </r>
    <r>
      <rPr>
        <sz val="11"/>
        <color theme="1"/>
        <rFont val="WenQuanYi Zen Hei"/>
        <family val="2"/>
      </rPr>
      <t xml:space="preserve">예</t>
    </r>
    <r>
      <rPr>
        <sz val="11"/>
        <color theme="1"/>
        <rFont val="Calibri"/>
        <family val="2"/>
        <charset val="1"/>
      </rPr>
      <t xml:space="preserve">, 0=</t>
    </r>
    <r>
      <rPr>
        <sz val="11"/>
        <color theme="1"/>
        <rFont val="WenQuanYi Zen Hei"/>
        <family val="2"/>
      </rPr>
      <t xml:space="preserve">아니오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</si>
  <si>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3"/>
        <rFont val="WenQuanYi Zen Hei"/>
        <family val="2"/>
      </rPr>
      <t xml:space="preserve">한눈에 보는 규칙 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현재 기본값 기준</t>
    </r>
    <r>
      <rPr>
        <b val="true"/>
        <sz val="13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</si>
  <si>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WenQuanYi Zen Hei"/>
        <family val="2"/>
      </rPr>
      <t xml:space="preserve">기준점수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정답률</t>
    </r>
    <r>
      <rPr>
        <sz val="11"/>
        <color theme="1"/>
        <rFont val="Calibri"/>
        <family val="2"/>
        <charset val="1"/>
      </rPr>
      <t xml:space="preserve">. (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에 결석했으면 진단 정답률로 대신 — </t>
    </r>
    <r>
      <rPr>
        <sz val="11"/>
        <color theme="1"/>
        <rFont val="Calibri"/>
        <family val="2"/>
        <charset val="1"/>
      </rPr>
      <t xml:space="preserve">USE_DIAG=1</t>
    </r>
    <r>
      <rPr>
        <sz val="11"/>
        <color theme="1"/>
        <rFont val="WenQuanYi Zen Hei"/>
        <family val="2"/>
      </rPr>
      <t xml:space="preserve">일 때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</si>
  <si>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B·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의 향상점수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이번 정답률이 </t>
    </r>
    <r>
      <rPr>
        <sz val="11"/>
        <color theme="1"/>
        <rFont val="Calibri"/>
        <family val="2"/>
        <charset val="1"/>
      </rPr>
      <t xml:space="preserve">90% </t>
    </r>
    <r>
      <rPr>
        <sz val="11"/>
        <color theme="1"/>
        <rFont val="WenQuanYi Zen Hei"/>
        <family val="2"/>
      </rPr>
      <t xml:space="preserve">이상이면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Zen Hei"/>
        <family val="2"/>
      </rPr>
      <t xml:space="preserve">아니면 기준점수 대비 </t>
    </r>
    <r>
      <rPr>
        <sz val="11"/>
        <color theme="1"/>
        <rFont val="Calibri"/>
        <family val="2"/>
        <charset val="1"/>
      </rPr>
      <t xml:space="preserve">+10%p </t>
    </r>
    <r>
      <rPr>
        <sz val="11"/>
        <color theme="1"/>
        <rFont val="WenQuanYi Zen Hei"/>
        <family val="2"/>
      </rPr>
      <t xml:space="preserve">이상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점</t>
    </r>
    <r>
      <rPr>
        <sz val="11"/>
        <color theme="1"/>
        <rFont val="Calibri"/>
        <family val="2"/>
        <charset val="1"/>
      </rPr>
      <t xml:space="preserve">, 0%p </t>
    </r>
    <r>
      <rPr>
        <sz val="11"/>
        <color theme="1"/>
        <rFont val="WenQuanYi Zen Hei"/>
        <family val="2"/>
      </rPr>
      <t xml:space="preserve">이상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유지</t>
    </r>
    <r>
      <rPr>
        <sz val="11"/>
        <color theme="1"/>
        <rFont val="Calibri"/>
        <family val="2"/>
        <charset val="1"/>
      </rPr>
      <t xml:space="preserve">) 10</t>
    </r>
    <r>
      <rPr>
        <sz val="11"/>
        <color theme="1"/>
        <rFont val="WenQuanYi Zen Hei"/>
        <family val="2"/>
      </rPr>
      <t xml:space="preserve">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떨어지면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점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</si>
  <si>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WenQuanYi Zen Hei"/>
        <family val="2"/>
      </rPr>
      <t xml:space="preserve">팀 점수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그날 응시한 팀원의 향상점수 평균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결석한 사람은 평균에서 빠집니다</t>
    </r>
    <r>
      <rPr>
        <sz val="11"/>
        <color theme="1"/>
        <rFont val="Calibri"/>
        <family val="2"/>
        <charset val="1"/>
      </rPr>
      <t xml:space="preserve">(0</t>
    </r>
    <r>
      <rPr>
        <sz val="11"/>
        <color theme="1"/>
        <rFont val="WenQuanYi Zen Hei"/>
        <family val="2"/>
      </rPr>
      <t xml:space="preserve">점 처리 아님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</si>
  <si>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WenQuanYi Zen Hei"/>
        <family val="2"/>
      </rPr>
      <t xml:space="preserve">정답률은 소수 첫째 자리에서 반올림해 계산합니다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예</t>
    </r>
    <r>
      <rPr>
        <sz val="11"/>
        <color theme="1"/>
        <rFont val="Calibri"/>
        <family val="2"/>
        <charset val="1"/>
      </rPr>
      <t xml:space="preserve">: 7/12 = 58.3%).</t>
    </r>
  </si>
  <si>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WenQuanYi Zen Hei"/>
        <family val="2"/>
      </rPr>
      <t xml:space="preserve">향상점수는 반드시 모두가 같은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공통 평가 문항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으로만 계산합니다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수준별 연습 문제 점수는 넣지 마세요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진단은 팀 구성 참고용입니다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</si>
  <si>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6. '90% </t>
    </r>
    <r>
      <rPr>
        <sz val="11"/>
        <color theme="1"/>
        <rFont val="WenQuanYi Zen Hei"/>
        <family val="2"/>
      </rPr>
      <t xml:space="preserve">이상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이번 평가에서 </t>
    </r>
    <r>
      <rPr>
        <sz val="11"/>
        <color theme="1"/>
        <rFont val="Calibri"/>
        <family val="2"/>
        <charset val="1"/>
      </rPr>
      <t xml:space="preserve">90% </t>
    </r>
    <r>
      <rPr>
        <sz val="11"/>
        <color theme="1"/>
        <rFont val="WenQuanYi Zen Hei"/>
        <family val="2"/>
      </rPr>
      <t xml:space="preserve">이상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으로 해석했습니다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기준점수와 무관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게임화 기획자 확정안과 다르면 알려 주세요</t>
    </r>
    <r>
      <rPr>
        <sz val="11"/>
        <color theme="1"/>
        <rFont val="Calibri"/>
        <family val="2"/>
        <charset val="1"/>
      </rPr>
      <t xml:space="preserve">.</t>
    </r>
  </si>
  <si>
    <t xml:space="preserve">사용 순서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</si>
  <si>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단계 —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참가자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WenQuanYi Zen Hei"/>
        <family val="2"/>
      </rPr>
      <t xml:space="preserve">시트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노란 칸에 참가자 코드와 팀을 적습니다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비경쟁 참여자는 팀 칸에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비경쟁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이라고 적으면 팀 점수에서 빠집니다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실명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학번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연락처는 절대 적지 마세요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</si>
  <si>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단계 —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진단</t>
    </r>
    <r>
      <rPr>
        <sz val="11"/>
        <color theme="1"/>
        <rFont val="Calibri"/>
        <family val="2"/>
        <charset val="1"/>
      </rPr>
      <t xml:space="preserve">]·[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A]·[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B]·[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C] </t>
    </r>
    <r>
      <rPr>
        <sz val="11"/>
        <color theme="1"/>
        <rFont val="WenQuanYi Zen Hei"/>
        <family val="2"/>
      </rPr>
      <t xml:space="preserve">시트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오른쪽 노란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붙여넣기 영역</t>
    </r>
    <r>
      <rPr>
        <sz val="11"/>
        <color theme="1"/>
        <rFont val="Calibri"/>
        <family val="2"/>
        <charset val="1"/>
      </rPr>
      <t xml:space="preserve">'(K~N</t>
    </r>
    <r>
      <rPr>
        <sz val="11"/>
        <color theme="1"/>
        <rFont val="WenQuanYi Zen Hei"/>
        <family val="2"/>
      </rPr>
      <t xml:space="preserve">열</t>
    </r>
    <r>
      <rPr>
        <sz val="11"/>
        <color theme="1"/>
        <rFont val="Calibri"/>
        <family val="2"/>
        <charset val="1"/>
      </rPr>
      <t xml:space="preserve">, 3</t>
    </r>
    <r>
      <rPr>
        <sz val="11"/>
        <color theme="1"/>
        <rFont val="WenQuanYi Zen Hei"/>
        <family val="2"/>
      </rPr>
      <t xml:space="preserve">행부터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결과를 붙여넣습니다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왼쪽 회색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초록 칸은 자동 계산이니 손대지 마세요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</si>
  <si>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단계 —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팀 점수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WenQuanYi Zen Hei"/>
        <family val="2"/>
      </rPr>
      <t xml:space="preserve">시트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팀 이름을 확인하고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노란 칸</t>
    </r>
    <r>
      <rPr>
        <sz val="11"/>
        <color theme="1"/>
        <rFont val="Calibri"/>
        <family val="2"/>
        <charset val="1"/>
      </rPr>
      <t xml:space="preserve">), </t>
    </r>
    <r>
      <rPr>
        <sz val="11"/>
        <color theme="1"/>
        <rFont val="WenQuanYi Zen Hei"/>
        <family val="2"/>
      </rPr>
      <t xml:space="preserve">반 전체 요약에 그날 출석 인원을 적습니다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팀 표와 반 전체 요약만 화면에 띄웁니다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</si>
  <si>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붙여넣기 방법 </t>
    </r>
    <r>
      <rPr>
        <b val="true"/>
        <sz val="13"/>
        <rFont val="Cambria"/>
        <family val="0"/>
        <charset val="1"/>
      </rPr>
      <t xml:space="preserve">(Socrative </t>
    </r>
    <r>
      <rPr>
        <b val="true"/>
        <sz val="13"/>
        <rFont val="WenQuanYi Zen Hei"/>
        <family val="2"/>
      </rPr>
      <t xml:space="preserve">또는 우리 웹앱 </t>
    </r>
    <r>
      <rPr>
        <b val="true"/>
        <sz val="13"/>
        <rFont val="Cambria"/>
        <family val="0"/>
        <charset val="1"/>
      </rPr>
      <t xml:space="preserve">CSV)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</si>
  <si>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참가자 코드 </t>
    </r>
    <r>
      <rPr>
        <sz val="11"/>
        <color theme="1"/>
        <rFont val="Calibri"/>
        <family val="2"/>
        <charset val="1"/>
      </rPr>
      <t xml:space="preserve">/ L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맞힌 문항 수 </t>
    </r>
    <r>
      <rPr>
        <sz val="11"/>
        <color theme="1"/>
        <rFont val="Calibri"/>
        <family val="2"/>
        <charset val="1"/>
      </rPr>
      <t xml:space="preserve">/ M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전체 문항 수 </t>
    </r>
    <r>
      <rPr>
        <sz val="11"/>
        <color theme="1"/>
        <rFont val="Calibri"/>
        <family val="2"/>
        <charset val="1"/>
      </rPr>
      <t xml:space="preserve">/ N</t>
    </r>
    <r>
      <rPr>
        <sz val="11"/>
        <color theme="1"/>
        <rFont val="WenQuanYi Zen Hei"/>
        <family val="2"/>
      </rPr>
      <t xml:space="preserve">열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정답률</t>
    </r>
    <r>
      <rPr>
        <sz val="11"/>
        <color theme="1"/>
        <rFont val="Calibri"/>
        <family val="2"/>
        <charset val="1"/>
      </rPr>
      <t xml:space="preserve">(%) — L·M</t>
    </r>
    <r>
      <rPr>
        <sz val="11"/>
        <color theme="1"/>
        <rFont val="WenQuanYi Zen Hei"/>
        <family val="2"/>
      </rPr>
      <t xml:space="preserve">이 있으면 </t>
    </r>
    <r>
      <rPr>
        <sz val="11"/>
        <color theme="1"/>
        <rFont val="Calibri"/>
        <family val="2"/>
        <charset val="1"/>
      </rPr>
      <t xml:space="preserve">N</t>
    </r>
    <r>
      <rPr>
        <sz val="11"/>
        <color theme="1"/>
        <rFont val="WenQuanYi Zen Hei"/>
        <family val="2"/>
      </rPr>
      <t xml:space="preserve">은 비워 두고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정답률</t>
    </r>
    <r>
      <rPr>
        <sz val="11"/>
        <color theme="1"/>
        <rFont val="Calibri"/>
        <family val="2"/>
        <charset val="1"/>
      </rPr>
      <t xml:space="preserve">(%)</t>
    </r>
    <r>
      <rPr>
        <sz val="11"/>
        <color theme="1"/>
        <rFont val="WenQuanYi Zen Hei"/>
        <family val="2"/>
      </rPr>
      <t xml:space="preserve">만 있으면 </t>
    </r>
    <r>
      <rPr>
        <sz val="11"/>
        <color theme="1"/>
        <rFont val="Calibri"/>
        <family val="2"/>
        <charset val="1"/>
      </rPr>
      <t xml:space="preserve">L·M</t>
    </r>
    <r>
      <rPr>
        <sz val="11"/>
        <color theme="1"/>
        <rFont val="WenQuanYi Zen Hei"/>
        <family val="2"/>
      </rPr>
      <t xml:space="preserve">을 비우고 </t>
    </r>
    <r>
      <rPr>
        <sz val="11"/>
        <color theme="1"/>
        <rFont val="Calibri"/>
        <family val="2"/>
        <charset val="1"/>
      </rPr>
      <t xml:space="preserve">N</t>
    </r>
    <r>
      <rPr>
        <sz val="11"/>
        <color theme="1"/>
        <rFont val="WenQuanYi Zen Hei"/>
        <family val="2"/>
      </rPr>
      <t xml:space="preserve">에만 붙여넣습니다</t>
    </r>
    <r>
      <rPr>
        <sz val="11"/>
        <color theme="1"/>
        <rFont val="Calibri"/>
        <family val="2"/>
        <charset val="1"/>
      </rPr>
      <t xml:space="preserve">. (N</t>
    </r>
    <r>
      <rPr>
        <sz val="11"/>
        <color theme="1"/>
        <rFont val="WenQuanYi Zen Hei"/>
        <family val="2"/>
      </rPr>
      <t xml:space="preserve">에 값이 있으면 </t>
    </r>
    <r>
      <rPr>
        <sz val="11"/>
        <color theme="1"/>
        <rFont val="Calibri"/>
        <family val="2"/>
        <charset val="1"/>
      </rPr>
      <t xml:space="preserve">N</t>
    </r>
    <r>
      <rPr>
        <sz val="11"/>
        <color theme="1"/>
        <rFont val="WenQuanYi Zen Hei"/>
        <family val="2"/>
      </rPr>
      <t xml:space="preserve">을 우선 사용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</si>
  <si>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Socrative: </t>
    </r>
    <r>
      <rPr>
        <sz val="11"/>
        <color theme="1"/>
        <rFont val="WenQuanYi Zen Hei"/>
        <family val="2"/>
      </rPr>
      <t xml:space="preserve">퀴즈 시작 때 학생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이름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WenQuanYi Zen Hei"/>
        <family val="2"/>
      </rPr>
      <t xml:space="preserve">칸에 참가자 코드를 입력하게 안내 → 끝난 뒤 보고서를 엑셀</t>
    </r>
    <r>
      <rPr>
        <sz val="11"/>
        <color theme="1"/>
        <rFont val="Calibri"/>
        <family val="2"/>
        <charset val="1"/>
      </rPr>
      <t xml:space="preserve">/CSV</t>
    </r>
    <r>
      <rPr>
        <sz val="11"/>
        <color theme="1"/>
        <rFont val="WenQuanYi Zen Hei"/>
        <family val="2"/>
      </rPr>
      <t xml:space="preserve">로 받아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이름 열과 점수 열만 복사해 붙여넣기</t>
    </r>
    <r>
      <rPr>
        <sz val="11"/>
        <color theme="1"/>
        <rFont val="Calibri"/>
        <family val="2"/>
        <charset val="1"/>
      </rPr>
      <t xml:space="preserve">. (Socrative </t>
    </r>
    <r>
      <rPr>
        <sz val="11"/>
        <color theme="1"/>
        <rFont val="WenQuanYi Zen Hei"/>
        <family val="2"/>
      </rPr>
      <t xml:space="preserve">무료 요금제의 내보내기 형식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열 이름은 미확인 — 첫 예비 실험 때 확인 필요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</si>
  <si>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우리 웹앱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트랙 </t>
    </r>
    <r>
      <rPr>
        <sz val="11"/>
        <color theme="1"/>
        <rFont val="Calibri"/>
        <family val="2"/>
        <charset val="1"/>
      </rPr>
      <t xml:space="preserve">B): </t>
    </r>
    <r>
      <rPr>
        <sz val="11"/>
        <color theme="1"/>
        <rFont val="WenQuanYi Zen Hei"/>
        <family val="2"/>
      </rPr>
      <t xml:space="preserve">내보내기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WenQuanYi Zen Hei"/>
        <family val="2"/>
      </rPr>
      <t xml:space="preserve">열 순서를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참가자코드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맞힌 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문항 수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로 맞추면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WenQuanYi Zen Hei"/>
        <family val="2"/>
      </rPr>
      <t xml:space="preserve">열에 그대로 붙여넣을 수 있습니다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제품개발팀에 요청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</si>
  <si>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WenQuanYi Zen Hei"/>
        <family val="2"/>
      </rPr>
      <t xml:space="preserve">파일은 엑셀로 연 뒤 제목 줄을 빼고 데이터만 복사 → </t>
    </r>
    <r>
      <rPr>
        <sz val="11"/>
        <color theme="1"/>
        <rFont val="Calibri"/>
        <family val="2"/>
        <charset val="1"/>
      </rPr>
      <t xml:space="preserve">K3 </t>
    </r>
    <r>
      <rPr>
        <sz val="11"/>
        <color theme="1"/>
        <rFont val="WenQuanYi Zen Hei"/>
        <family val="2"/>
      </rPr>
      <t xml:space="preserve">칸 선택 →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값만 붙여넣기</t>
    </r>
    <r>
      <rPr>
        <sz val="11"/>
        <color theme="1"/>
        <rFont val="Calibri"/>
        <family val="2"/>
        <charset val="1"/>
      </rPr>
      <t xml:space="preserve">'. </t>
    </r>
    <r>
      <rPr>
        <sz val="11"/>
        <color theme="1"/>
        <rFont val="WenQuanYi Zen Hei"/>
        <family val="2"/>
      </rPr>
      <t xml:space="preserve">코드 앞뒤 빈칸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대소문자는 자동으로 정리됩니다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</si>
  <si>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붙여넣은 표에 실명이나 학번 열이 섞여 있으면 붙여넣기 전에 그 열을 지우세요</t>
    </r>
    <r>
      <rPr>
        <sz val="11"/>
        <color theme="1"/>
        <rFont val="Calibri"/>
        <family val="2"/>
        <charset val="1"/>
      </rPr>
      <t xml:space="preserve">.</t>
    </r>
  </si>
  <si>
    <t xml:space="preserve">자동 점검 표시</t>
  </si>
  <si>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중복</t>
    </r>
    <r>
      <rPr>
        <sz val="11"/>
        <color theme="1"/>
        <rFont val="Calibri"/>
        <family val="2"/>
        <charset val="1"/>
      </rPr>
      <t xml:space="preserve">! </t>
    </r>
    <r>
      <rPr>
        <sz val="11"/>
        <color theme="1"/>
        <rFont val="WenQuanYi Zen Hei"/>
        <family val="2"/>
      </rPr>
      <t xml:space="preserve">확인</t>
    </r>
    <r>
      <rPr>
        <sz val="11"/>
        <color theme="1"/>
        <rFont val="Calibri"/>
        <family val="2"/>
        <charset val="1"/>
      </rPr>
      <t xml:space="preserve">' = </t>
    </r>
    <r>
      <rPr>
        <sz val="11"/>
        <color theme="1"/>
        <rFont val="WenQuanYi Zen Hei"/>
        <family val="2"/>
      </rPr>
      <t xml:space="preserve">같은 코드가 두 번 붙여넣어짐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먼저 나온 줄이 계산에 쓰임</t>
    </r>
    <r>
      <rPr>
        <sz val="11"/>
        <color theme="1"/>
        <rFont val="Calibri"/>
        <family val="2"/>
        <charset val="1"/>
      </rPr>
      <t xml:space="preserve">). '</t>
    </r>
    <r>
      <rPr>
        <sz val="11"/>
        <color theme="1"/>
        <rFont val="WenQuanYi Zen Hei"/>
        <family val="2"/>
      </rPr>
      <t xml:space="preserve">명단에 없는 코드</t>
    </r>
    <r>
      <rPr>
        <sz val="11"/>
        <color theme="1"/>
        <rFont val="Calibri"/>
        <family val="2"/>
        <charset val="1"/>
      </rPr>
      <t xml:space="preserve">' = </t>
    </r>
    <r>
      <rPr>
        <sz val="11"/>
        <color theme="1"/>
        <rFont val="WenQuanYi Zen Hei"/>
        <family val="2"/>
      </rPr>
      <t xml:space="preserve">참가자 시트에 없는 코드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오타 가능성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둘 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건이어야 합격 기준 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누락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중복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건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을 만족합니다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</si>
  <si>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WenQuanYi Zen Hei"/>
        <family val="2"/>
      </rPr>
      <t xml:space="preserve">기준점수 없음</t>
    </r>
    <r>
      <rPr>
        <sz val="11"/>
        <color theme="1"/>
        <rFont val="Calibri"/>
        <family val="2"/>
        <charset val="1"/>
      </rPr>
      <t xml:space="preserve">' =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와 진단 모두 결석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시트 붙여넣기 영역에 그 사람의 기준이 될 점수를 직접 넣거나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이번 회차는 팀 평균에서 빠집니다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</si>
  <si>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개인정보</t>
    </r>
    <r>
      <rPr>
        <b val="true"/>
        <sz val="13"/>
        <rFont val="Cambria"/>
        <family val="0"/>
        <charset val="1"/>
      </rPr>
      <t xml:space="preserve">·</t>
    </r>
    <r>
      <rPr>
        <b val="true"/>
        <sz val="13"/>
        <rFont val="WenQuanYi Zen Hei"/>
        <family val="2"/>
      </rPr>
      <t xml:space="preserve">공개 원칙</t>
    </r>
  </si>
  <si>
    <r>
      <rPr>
        <sz val="11"/>
        <color theme="1"/>
        <rFont val="WenQuanYi Zen Hei"/>
        <family val="2"/>
      </rPr>
      <t xml:space="preserve">개인별 정답률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향상점수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진단</t>
    </r>
    <r>
      <rPr>
        <sz val="11"/>
        <color theme="1"/>
        <rFont val="Calibri"/>
        <family val="2"/>
        <charset val="1"/>
      </rPr>
      <t xml:space="preserve">~</t>
    </r>
    <r>
      <rPr>
        <sz val="11"/>
        <color theme="1"/>
        <rFont val="WenQuanYi Zen Hei"/>
        <family val="2"/>
      </rPr>
      <t xml:space="preserve">평가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시트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교수님만 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수업 화면에는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팀 점수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WenQuanYi Zen Hei"/>
        <family val="2"/>
      </rPr>
      <t xml:space="preserve">시트의 팀 표와 반 전체 요약만 띄우고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팀 순위는 활동이 끝난 뒤에만 공개합니다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</si>
  <si>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이 파일에 들어 있는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명의 데이터는 모두 가짜 예시입니다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실제 사용 전 참가자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붙여넣기 영역의 예시 값을 지우세요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학기 종료 후 파일을 삭제합니다</t>
    </r>
    <r>
      <rPr>
        <sz val="11"/>
        <color theme="1"/>
        <rFont val="Calibri"/>
        <family val="2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</si>
</sst>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00000"/>
      <name val="WenQuanYi Zen Hei"/>
      <family val="2"/>
    </font>
    <font>
      <b val="true"/>
      <sz val="11"/>
      <color rgb="FFC00000"/>
      <name val="Cambria"/>
      <family val="0"/>
      <charset val="1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color theme="1"/>
      <name val="WenQuanYi Zen Hei"/>
      <family val="2"/>
    </font>
    <font>
      <b val="true"/>
      <sz val="13"/>
      <name val="WenQuanYi Zen Hei"/>
      <family val="2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DEDED"/>
        <bgColor rgb="FFE2EFDA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4</v>
      </c>
      <c r="B3" s="3" t="s">
        <v>5</v>
      </c>
      <c r="C3" s="3"/>
    </row>
    <row r="4" customFormat="false" ht="15" hidden="false" customHeight="false" outlineLevel="0" collapsed="false">
      <c r="A4" s="3" t="s">
        <v>6</v>
      </c>
      <c r="B4" s="3" t="s">
        <v>5</v>
      </c>
      <c r="C4" s="3"/>
    </row>
    <row r="5" customFormat="false" ht="15" hidden="false" customHeight="false" outlineLevel="0" collapsed="false">
      <c r="A5" s="3" t="s">
        <v>7</v>
      </c>
      <c r="B5" s="3" t="s">
        <v>5</v>
      </c>
      <c r="C5" s="3"/>
    </row>
    <row r="6" customFormat="false" ht="15" hidden="false" customHeight="false" outlineLevel="0" collapsed="false">
      <c r="A6" s="3" t="s">
        <v>8</v>
      </c>
      <c r="B6" s="3" t="s">
        <v>9</v>
      </c>
      <c r="C6" s="3"/>
    </row>
    <row r="7" customFormat="false" ht="15" hidden="false" customHeight="false" outlineLevel="0" collapsed="false">
      <c r="A7" s="3" t="s">
        <v>10</v>
      </c>
      <c r="B7" s="3" t="s">
        <v>9</v>
      </c>
      <c r="C7" s="3"/>
    </row>
    <row r="8" customFormat="false" ht="15" hidden="false" customHeight="false" outlineLevel="0" collapsed="false">
      <c r="A8" s="3" t="s">
        <v>11</v>
      </c>
      <c r="B8" s="3" t="s">
        <v>9</v>
      </c>
      <c r="C8" s="3"/>
    </row>
    <row r="9" customFormat="false" ht="15" hidden="false" customHeight="false" outlineLevel="0" collapsed="false">
      <c r="A9" s="3" t="s">
        <v>12</v>
      </c>
      <c r="B9" s="3" t="s">
        <v>13</v>
      </c>
      <c r="C9" s="3"/>
    </row>
    <row r="10" customFormat="false" ht="15" hidden="false" customHeight="false" outlineLevel="0" collapsed="false">
      <c r="A10" s="3" t="s">
        <v>14</v>
      </c>
      <c r="B10" s="3" t="s">
        <v>13</v>
      </c>
      <c r="C10" s="3"/>
    </row>
    <row r="11" customFormat="false" ht="15" hidden="false" customHeight="false" outlineLevel="0" collapsed="false">
      <c r="A11" s="3" t="s">
        <v>15</v>
      </c>
      <c r="B11" s="3" t="s">
        <v>13</v>
      </c>
      <c r="C11" s="3"/>
    </row>
    <row r="12" customFormat="false" ht="15" hidden="false" customHeight="false" outlineLevel="0" collapsed="false">
      <c r="A12" s="3" t="s">
        <v>16</v>
      </c>
      <c r="B12" s="3" t="s">
        <v>17</v>
      </c>
      <c r="C12" s="3"/>
    </row>
    <row r="13" customFormat="false" ht="15" hidden="false" customHeight="false" outlineLevel="0" collapsed="false">
      <c r="A13" s="3" t="s">
        <v>18</v>
      </c>
      <c r="B13" s="3" t="s">
        <v>17</v>
      </c>
      <c r="C13" s="3"/>
    </row>
    <row r="14" customFormat="false" ht="15" hidden="false" customHeight="false" outlineLevel="0" collapsed="false">
      <c r="A14" s="3" t="s">
        <v>19</v>
      </c>
      <c r="B14" s="3" t="s">
        <v>17</v>
      </c>
      <c r="C14" s="3"/>
    </row>
    <row r="15" customFormat="false" ht="15" hidden="false" customHeight="false" outlineLevel="0" collapsed="false">
      <c r="A15" s="3"/>
      <c r="B15" s="3"/>
      <c r="C15" s="3"/>
    </row>
    <row r="16" customFormat="false" ht="15" hidden="false" customHeight="false" outlineLevel="0" collapsed="false">
      <c r="A16" s="3"/>
      <c r="B16" s="3"/>
      <c r="C16" s="3"/>
    </row>
    <row r="17" customFormat="false" ht="15" hidden="false" customHeight="false" outlineLevel="0" collapsed="false">
      <c r="A17" s="3"/>
      <c r="B17" s="3"/>
      <c r="C17" s="3"/>
    </row>
    <row r="18" customFormat="false" ht="15" hidden="false" customHeight="false" outlineLevel="0" collapsed="false">
      <c r="A18" s="3"/>
      <c r="B18" s="3"/>
      <c r="C18" s="3"/>
    </row>
    <row r="19" customFormat="false" ht="15" hidden="false" customHeight="false" outlineLevel="0" collapsed="false">
      <c r="A19" s="3"/>
      <c r="B19" s="3"/>
      <c r="C19" s="3"/>
    </row>
    <row r="20" customFormat="false" ht="15" hidden="false" customHeight="false" outlineLevel="0" collapsed="false">
      <c r="A20" s="3"/>
      <c r="B20" s="3"/>
      <c r="C20" s="3"/>
    </row>
    <row r="21" customFormat="false" ht="15" hidden="false" customHeight="false" outlineLevel="0" collapsed="false">
      <c r="A21" s="3"/>
      <c r="B21" s="3"/>
      <c r="C21" s="3"/>
    </row>
    <row r="22" customFormat="false" ht="15" hidden="false" customHeight="false" outlineLevel="0" collapsed="false">
      <c r="A22" s="3"/>
      <c r="B22" s="3"/>
      <c r="C22" s="3"/>
    </row>
    <row r="23" customFormat="false" ht="15" hidden="false" customHeight="false" outlineLevel="0" collapsed="false">
      <c r="A23" s="3"/>
      <c r="B23" s="3"/>
      <c r="C23" s="3"/>
    </row>
    <row r="24" customFormat="false" ht="15" hidden="false" customHeight="false" outlineLevel="0" collapsed="false">
      <c r="A24" s="3"/>
      <c r="B24" s="3"/>
      <c r="C24" s="3"/>
    </row>
    <row r="25" customFormat="false" ht="15" hidden="false" customHeight="false" outlineLevel="0" collapsed="false">
      <c r="A25" s="3"/>
      <c r="B25" s="3"/>
      <c r="C25" s="3"/>
    </row>
    <row r="26" customFormat="false" ht="15" hidden="false" customHeight="false" outlineLevel="0" collapsed="false">
      <c r="A26" s="3"/>
      <c r="B26" s="3"/>
      <c r="C26" s="3"/>
    </row>
    <row r="27" customFormat="false" ht="15" hidden="false" customHeight="false" outlineLevel="0" collapsed="false">
      <c r="A27" s="3"/>
      <c r="B27" s="3"/>
      <c r="C27" s="3"/>
    </row>
    <row r="28" customFormat="false" ht="15" hidden="false" customHeight="false" outlineLevel="0" collapsed="false">
      <c r="A28" s="3"/>
      <c r="B28" s="3"/>
      <c r="C28" s="3"/>
    </row>
    <row r="29" customFormat="false" ht="15" hidden="false" customHeight="false" outlineLevel="0" collapsed="false">
      <c r="A29" s="3"/>
      <c r="B29" s="3"/>
      <c r="C29" s="3"/>
    </row>
    <row r="30" customFormat="false" ht="15" hidden="false" customHeight="false" outlineLevel="0" collapsed="false">
      <c r="A30" s="3"/>
      <c r="B30" s="3"/>
      <c r="C30" s="3"/>
    </row>
    <row r="31" customFormat="false" ht="15" hidden="false" customHeight="false" outlineLevel="0" collapsed="false">
      <c r="A31" s="3"/>
      <c r="B31" s="3"/>
      <c r="C31" s="3"/>
    </row>
    <row r="32" customFormat="false" ht="15" hidden="false" customHeight="false" outlineLevel="0" collapsed="false">
      <c r="A32" s="3"/>
      <c r="B32" s="3"/>
      <c r="C32" s="3"/>
    </row>
    <row r="33" customFormat="false" ht="15" hidden="false" customHeight="false" outlineLevel="0" collapsed="false">
      <c r="A33" s="3"/>
      <c r="B33" s="3"/>
      <c r="C33" s="3"/>
    </row>
    <row r="34" customFormat="false" ht="15" hidden="false" customHeight="false" outlineLevel="0" collapsed="false">
      <c r="A34" s="3"/>
      <c r="B34" s="3"/>
      <c r="C34" s="3"/>
    </row>
    <row r="35" customFormat="false" ht="15" hidden="false" customHeight="false" outlineLevel="0" collapsed="false">
      <c r="A35" s="3"/>
      <c r="B35" s="3"/>
      <c r="C35" s="3"/>
    </row>
    <row r="36" customFormat="false" ht="15" hidden="false" customHeight="false" outlineLevel="0" collapsed="false">
      <c r="A36" s="3"/>
      <c r="B36" s="3"/>
      <c r="C36" s="3"/>
    </row>
    <row r="37" customFormat="false" ht="15" hidden="false" customHeight="false" outlineLevel="0" collapsed="false">
      <c r="A37" s="3"/>
      <c r="B37" s="3"/>
      <c r="C37" s="3"/>
    </row>
    <row r="38" customFormat="false" ht="15" hidden="false" customHeight="false" outlineLevel="0" collapsed="false">
      <c r="A38" s="3"/>
      <c r="B38" s="3"/>
      <c r="C38" s="3"/>
    </row>
    <row r="39" customFormat="false" ht="15" hidden="false" customHeight="false" outlineLevel="0" collapsed="false">
      <c r="A39" s="3"/>
      <c r="B39" s="3"/>
      <c r="C39" s="3"/>
    </row>
    <row r="40" customFormat="false" ht="15" hidden="false" customHeight="false" outlineLevel="0" collapsed="false">
      <c r="A40" s="3"/>
      <c r="B40" s="3"/>
      <c r="C40" s="3"/>
    </row>
    <row r="41" customFormat="false" ht="15" hidden="false" customHeight="false" outlineLevel="0" collapsed="false">
      <c r="A41" s="3"/>
      <c r="B41" s="3"/>
      <c r="C41" s="3"/>
    </row>
    <row r="42" customFormat="false" ht="15" hidden="false" customHeight="false" outlineLevel="0" collapsed="false">
      <c r="A42" s="3"/>
      <c r="B42" s="3"/>
      <c r="C42" s="3"/>
    </row>
    <row r="43" customFormat="false" ht="15" hidden="false" customHeight="false" outlineLevel="0" collapsed="false">
      <c r="A43" s="3"/>
      <c r="B43" s="3"/>
      <c r="C43" s="3"/>
    </row>
    <row r="44" customFormat="false" ht="15" hidden="false" customHeight="false" outlineLevel="0" collapsed="false">
      <c r="A44" s="3"/>
      <c r="B44" s="3"/>
      <c r="C44" s="3"/>
    </row>
    <row r="45" customFormat="false" ht="15" hidden="false" customHeight="false" outlineLevel="0" collapsed="false">
      <c r="A45" s="3"/>
      <c r="B45" s="3"/>
      <c r="C45" s="3"/>
    </row>
    <row r="46" customFormat="false" ht="15" hidden="false" customHeight="false" outlineLevel="0" collapsed="false">
      <c r="A46" s="3"/>
      <c r="B46" s="3"/>
      <c r="C46" s="3"/>
    </row>
    <row r="47" customFormat="false" ht="15" hidden="false" customHeight="false" outlineLevel="0" collapsed="false">
      <c r="A47" s="3"/>
      <c r="B47" s="3"/>
      <c r="C47" s="3"/>
    </row>
    <row r="48" customFormat="false" ht="15" hidden="false" customHeight="false" outlineLevel="0" collapsed="false">
      <c r="A48" s="3"/>
      <c r="B48" s="3"/>
      <c r="C48" s="3"/>
    </row>
    <row r="49" customFormat="false" ht="15" hidden="false" customHeight="false" outlineLevel="0" collapsed="false">
      <c r="A49" s="3"/>
      <c r="B49" s="3"/>
      <c r="C49" s="3"/>
    </row>
    <row r="50" customFormat="false" ht="15" hidden="false" customHeight="false" outlineLevel="0" collapsed="false">
      <c r="A50" s="3"/>
      <c r="B50" s="3"/>
      <c r="C50" s="3"/>
    </row>
    <row r="51" customFormat="false" ht="15" hidden="false" customHeight="false" outlineLevel="0" collapsed="false">
      <c r="A51" s="3"/>
      <c r="B51" s="3"/>
      <c r="C51" s="3"/>
    </row>
    <row r="52" customFormat="false" ht="15" hidden="false" customHeight="false" outlineLevel="0" collapsed="false">
      <c r="A52" s="3"/>
      <c r="B52" s="3"/>
      <c r="C5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7"/>
    <col collapsed="false" customWidth="true" hidden="false" outlineLevel="0" max="7" min="5" style="0" width="11"/>
    <col collapsed="false" customWidth="true" hidden="false" outlineLevel="0" max="8" min="8" style="0" width="9"/>
    <col collapsed="false" customWidth="true" hidden="false" outlineLevel="0" max="9" min="9" style="0" width="24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3"/>
    <col collapsed="false" customWidth="true" hidden="false" outlineLevel="0" max="17" min="16" style="0" width="12"/>
    <col collapsed="false" customWidth="true" hidden="false" outlineLevel="0" max="18" min="18" style="0" width="16"/>
  </cols>
  <sheetData>
    <row r="1" customFormat="false" ht="15" hidden="false" customHeight="false" outlineLevel="0" collapsed="false">
      <c r="A1" s="4" t="s">
        <v>20</v>
      </c>
      <c r="K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K2" s="6" t="s">
        <v>1</v>
      </c>
      <c r="L2" s="6" t="s">
        <v>25</v>
      </c>
      <c r="M2" s="6" t="s">
        <v>26</v>
      </c>
      <c r="N2" s="6" t="s">
        <v>22</v>
      </c>
      <c r="P2" s="2" t="s">
        <v>27</v>
      </c>
      <c r="Q2" s="2" t="s">
        <v>28</v>
      </c>
      <c r="R2" s="2" t="s">
        <v>29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IF(A3="","",IFERROR(INDEX($Q$3:$Q$102,MATCH(A3,$P$3:$P$102,0)),""))</f>
        <v>50</v>
      </c>
      <c r="D3" s="7" t="str">
        <f aca="false">IF(A3="","",IF(C3="","결석","응시"))</f>
        <v>응시</v>
      </c>
      <c r="E3" s="7" t="str">
        <f aca="false">IF(A3="","",IF(COUNTIF($P$3:$P$102,A3)&gt;1,"중복! 확인",""))</f>
        <v/>
      </c>
      <c r="K3" s="8" t="s">
        <v>4</v>
      </c>
      <c r="L3" s="8" t="n">
        <v>6</v>
      </c>
      <c r="M3" s="8" t="n">
        <v>12</v>
      </c>
      <c r="N3" s="8"/>
      <c r="P3" s="0" t="str">
        <f aca="false">IF(TRIM(K3&amp;"")="","",UPPER(TRIM(K3&amp;"")))</f>
        <v>K7QM</v>
      </c>
      <c r="Q3" s="9" t="n">
        <f aca="false">IF(P3="","",IF(ISNUMBER(N3),ROUND(N3,1),IF(AND(ISNUMBER(L3),ISNUMBER(M3)),IF(M3&gt;0,ROUND(L3/M3*100,1),""),"")))</f>
        <v>50</v>
      </c>
      <c r="R3" s="0" t="str">
        <f aca="false">IF(P3="","",IF(COUNTIF(참가자!$A$3:$A$52,P3)=0,"명단에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IF(A4="","",IFERROR(INDEX($Q$3:$Q$102,MATCH(A4,$P$3:$P$102,0)),""))</f>
        <v>83.3</v>
      </c>
      <c r="D4" s="7" t="str">
        <f aca="false">IF(A4="","",IF(C4="","결석","응시"))</f>
        <v>응시</v>
      </c>
      <c r="E4" s="7" t="str">
        <f aca="false">IF(A4="","",IF(COUNTIF($P$3:$P$102,A4)&gt;1,"중복! 확인",""))</f>
        <v/>
      </c>
      <c r="K4" s="8" t="s">
        <v>6</v>
      </c>
      <c r="L4" s="8" t="n">
        <v>10</v>
      </c>
      <c r="M4" s="8" t="n">
        <v>12</v>
      </c>
      <c r="N4" s="8"/>
      <c r="P4" s="0" t="str">
        <f aca="false">IF(TRIM(K4&amp;"")="","",UPPER(TRIM(K4&amp;"")))</f>
        <v>R4XT</v>
      </c>
      <c r="Q4" s="9" t="n">
        <f aca="false">IF(P4="","",IF(ISNUMBER(N4),ROUND(N4,1),IF(AND(ISNUMBER(L4),ISNUMBER(M4)),IF(M4&gt;0,ROUND(L4/M4*100,1),""),"")))</f>
        <v>83.3</v>
      </c>
      <c r="R4" s="0" t="str">
        <f aca="false">IF(P4="","",IF(COUNTIF(참가자!$A$3:$A$52,P4)=0,"명단에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IF(A5="","",IFERROR(INDEX($Q$3:$Q$102,MATCH(A5,$P$3:$P$102,0)),""))</f>
        <v>41.7</v>
      </c>
      <c r="D5" s="7" t="str">
        <f aca="false">IF(A5="","",IF(C5="","결석","응시"))</f>
        <v>응시</v>
      </c>
      <c r="E5" s="7" t="str">
        <f aca="false">IF(A5="","",IF(COUNTIF($P$3:$P$102,A5)&gt;1,"중복! 확인",""))</f>
        <v/>
      </c>
      <c r="K5" s="8" t="s">
        <v>7</v>
      </c>
      <c r="L5" s="8" t="n">
        <v>5</v>
      </c>
      <c r="M5" s="8" t="n">
        <v>12</v>
      </c>
      <c r="N5" s="8"/>
      <c r="P5" s="0" t="str">
        <f aca="false">IF(TRIM(K5&amp;"")="","",UPPER(TRIM(K5&amp;"")))</f>
        <v>H9WC</v>
      </c>
      <c r="Q5" s="9" t="n">
        <f aca="false">IF(P5="","",IF(ISNUMBER(N5),ROUND(N5,1),IF(AND(ISNUMBER(L5),ISNUMBER(M5)),IF(M5&gt;0,ROUND(L5/M5*100,1),""),"")))</f>
        <v>41.7</v>
      </c>
      <c r="R5" s="0" t="str">
        <f aca="false">IF(P5="","",IF(COUNTIF(참가자!$A$3:$A$52,P5)=0,"명단에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n">
        <f aca="false">IF(A6="","",IFERROR(INDEX($Q$3:$Q$102,MATCH(A6,$P$3:$P$102,0)),""))</f>
        <v>66.7</v>
      </c>
      <c r="D6" s="7" t="str">
        <f aca="false">IF(A6="","",IF(C6="","결석","응시"))</f>
        <v>응시</v>
      </c>
      <c r="E6" s="7" t="str">
        <f aca="false">IF(A6="","",IF(COUNTIF($P$3:$P$102,A6)&gt;1,"중복! 확인",""))</f>
        <v>중복! 확인</v>
      </c>
      <c r="K6" s="8" t="s">
        <v>8</v>
      </c>
      <c r="L6" s="8" t="n">
        <v>8</v>
      </c>
      <c r="M6" s="8" t="n">
        <v>12</v>
      </c>
      <c r="N6" s="8"/>
      <c r="P6" s="0" t="str">
        <f aca="false">IF(TRIM(K6&amp;"")="","",UPPER(TRIM(K6&amp;"")))</f>
        <v>B3NV</v>
      </c>
      <c r="Q6" s="9" t="n">
        <f aca="false">IF(P6="","",IF(ISNUMBER(N6),ROUND(N6,1),IF(AND(ISNUMBER(L6),ISNUMBER(M6)),IF(M6&gt;0,ROUND(L6/M6*100,1),""),"")))</f>
        <v>66.7</v>
      </c>
      <c r="R6" s="0" t="str">
        <f aca="false">IF(P6="","",IF(COUNTIF(참가자!$A$3:$A$52,P6)=0,"명단에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n">
        <f aca="false">IF(A7="","",IFERROR(INDEX($Q$3:$Q$102,MATCH(A7,$P$3:$P$102,0)),""))</f>
        <v>58.3</v>
      </c>
      <c r="D7" s="7" t="str">
        <f aca="false">IF(A7="","",IF(C7="","결석","응시"))</f>
        <v>응시</v>
      </c>
      <c r="E7" s="7" t="str">
        <f aca="false">IF(A7="","",IF(COUNTIF($P$3:$P$102,A7)&gt;1,"중복! 확인",""))</f>
        <v/>
      </c>
      <c r="K7" s="8" t="s">
        <v>10</v>
      </c>
      <c r="L7" s="8" t="n">
        <v>7</v>
      </c>
      <c r="M7" s="8" t="n">
        <v>12</v>
      </c>
      <c r="N7" s="8"/>
      <c r="P7" s="0" t="str">
        <f aca="false">IF(TRIM(K7&amp;"")="","",UPPER(TRIM(K7&amp;"")))</f>
        <v>Z8LD</v>
      </c>
      <c r="Q7" s="9" t="n">
        <f aca="false">IF(P7="","",IF(ISNUMBER(N7),ROUND(N7,1),IF(AND(ISNUMBER(L7),ISNUMBER(M7)),IF(M7&gt;0,ROUND(L7/M7*100,1),""),"")))</f>
        <v>58.3</v>
      </c>
      <c r="R7" s="0" t="str">
        <f aca="false">IF(P7="","",IF(COUNTIF(참가자!$A$3:$A$52,P7)=0,"명단에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IF(A8="","",IFERROR(INDEX($Q$3:$Q$102,MATCH(A8,$P$3:$P$102,0)),""))</f>
        <v>75</v>
      </c>
      <c r="D8" s="7" t="str">
        <f aca="false">IF(A8="","",IF(C8="","결석","응시"))</f>
        <v>응시</v>
      </c>
      <c r="E8" s="7" t="str">
        <f aca="false">IF(A8="","",IF(COUNTIF($P$3:$P$102,A8)&gt;1,"중복! 확인",""))</f>
        <v/>
      </c>
      <c r="K8" s="8" t="s">
        <v>11</v>
      </c>
      <c r="L8" s="8" t="n">
        <v>9</v>
      </c>
      <c r="M8" s="8" t="n">
        <v>12</v>
      </c>
      <c r="N8" s="8"/>
      <c r="P8" s="0" t="str">
        <f aca="false">IF(TRIM(K8&amp;"")="","",UPPER(TRIM(K8&amp;"")))</f>
        <v>M2PF</v>
      </c>
      <c r="Q8" s="9" t="n">
        <f aca="false">IF(P8="","",IF(ISNUMBER(N8),ROUND(N8,1),IF(AND(ISNUMBER(L8),ISNUMBER(M8)),IF(M8&gt;0,ROUND(L8/M8*100,1),""),"")))</f>
        <v>75</v>
      </c>
      <c r="R8" s="0" t="str">
        <f aca="false">IF(P8="","",IF(COUNTIF(참가자!$A$3:$A$52,P8)=0,"명단에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IF(A9="","",IFERROR(INDEX($Q$3:$Q$102,MATCH(A9,$P$3:$P$102,0)),""))</f>
        <v>33.3</v>
      </c>
      <c r="D9" s="7" t="str">
        <f aca="false">IF(A9="","",IF(C9="","결석","응시"))</f>
        <v>응시</v>
      </c>
      <c r="E9" s="7" t="str">
        <f aca="false">IF(A9="","",IF(COUNTIF($P$3:$P$102,A9)&gt;1,"중복! 확인",""))</f>
        <v/>
      </c>
      <c r="K9" s="8" t="s">
        <v>12</v>
      </c>
      <c r="L9" s="8" t="n">
        <v>4</v>
      </c>
      <c r="M9" s="8" t="n">
        <v>12</v>
      </c>
      <c r="N9" s="8"/>
      <c r="P9" s="0" t="str">
        <f aca="false">IF(TRIM(K9&amp;"")="","",UPPER(TRIM(K9&amp;"")))</f>
        <v>T6YH</v>
      </c>
      <c r="Q9" s="9" t="n">
        <f aca="false">IF(P9="","",IF(ISNUMBER(N9),ROUND(N9,1),IF(AND(ISNUMBER(L9),ISNUMBER(M9)),IF(M9&gt;0,ROUND(L9/M9*100,1),""),"")))</f>
        <v>33.3</v>
      </c>
      <c r="R9" s="0" t="str">
        <f aca="false">IF(P9="","",IF(COUNTIF(참가자!$A$3:$A$52,P9)=0,"명단에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IF(A10="","",IFERROR(INDEX($Q$3:$Q$102,MATCH(A10,$P$3:$P$102,0)),""))</f>
        <v>91.7</v>
      </c>
      <c r="D10" s="7" t="str">
        <f aca="false">IF(A10="","",IF(C10="","결석","응시"))</f>
        <v>응시</v>
      </c>
      <c r="E10" s="7" t="str">
        <f aca="false">IF(A10="","",IF(COUNTIF($P$3:$P$102,A10)&gt;1,"중복! 확인",""))</f>
        <v/>
      </c>
      <c r="K10" s="8" t="s">
        <v>14</v>
      </c>
      <c r="L10" s="8" t="n">
        <v>11</v>
      </c>
      <c r="M10" s="8" t="n">
        <v>12</v>
      </c>
      <c r="N10" s="8"/>
      <c r="P10" s="0" t="str">
        <f aca="false">IF(TRIM(K10&amp;"")="","",UPPER(TRIM(K10&amp;"")))</f>
        <v>C5JR</v>
      </c>
      <c r="Q10" s="9" t="n">
        <f aca="false">IF(P10="","",IF(ISNUMBER(N10),ROUND(N10,1),IF(AND(ISNUMBER(L10),ISNUMBER(M10)),IF(M10&gt;0,ROUND(L10/M10*100,1),""),"")))</f>
        <v>91.7</v>
      </c>
      <c r="R10" s="0" t="str">
        <f aca="false">IF(P10="","",IF(COUNTIF(참가자!$A$3:$A$52,P10)=0,"명단에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IF(A11="","",IFERROR(INDEX($Q$3:$Q$102,MATCH(A11,$P$3:$P$102,0)),""))</f>
        <v>50</v>
      </c>
      <c r="D11" s="7" t="str">
        <f aca="false">IF(A11="","",IF(C11="","결석","응시"))</f>
        <v>응시</v>
      </c>
      <c r="E11" s="7" t="str">
        <f aca="false">IF(A11="","",IF(COUNTIF($P$3:$P$102,A11)&gt;1,"중복! 확인",""))</f>
        <v/>
      </c>
      <c r="K11" s="8" t="s">
        <v>15</v>
      </c>
      <c r="L11" s="8" t="n">
        <v>6</v>
      </c>
      <c r="M11" s="8" t="n">
        <v>12</v>
      </c>
      <c r="N11" s="8"/>
      <c r="P11" s="0" t="str">
        <f aca="false">IF(TRIM(K11&amp;"")="","",UPPER(TRIM(K11&amp;"")))</f>
        <v>W3KE</v>
      </c>
      <c r="Q11" s="9" t="n">
        <f aca="false">IF(P11="","",IF(ISNUMBER(N11),ROUND(N11,1),IF(AND(ISNUMBER(L11),ISNUMBER(M11)),IF(M11&gt;0,ROUND(L11/M11*100,1),""),"")))</f>
        <v>50</v>
      </c>
      <c r="R11" s="0" t="str">
        <f aca="false">IF(P11="","",IF(COUNTIF(참가자!$A$3:$A$52,P11)=0,"명단에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IF(A12="","",IFERROR(INDEX($Q$3:$Q$102,MATCH(A12,$P$3:$P$102,0)),""))</f>
        <v>58.3</v>
      </c>
      <c r="D12" s="7" t="str">
        <f aca="false">IF(A12="","",IF(C12="","결석","응시"))</f>
        <v>응시</v>
      </c>
      <c r="E12" s="7" t="str">
        <f aca="false">IF(A12="","",IF(COUNTIF($P$3:$P$102,A12)&gt;1,"중복! 확인",""))</f>
        <v/>
      </c>
      <c r="K12" s="8" t="s">
        <v>16</v>
      </c>
      <c r="L12" s="8" t="n">
        <v>7</v>
      </c>
      <c r="M12" s="8" t="n">
        <v>12</v>
      </c>
      <c r="N12" s="8"/>
      <c r="P12" s="0" t="str">
        <f aca="false">IF(TRIM(K12&amp;"")="","",UPPER(TRIM(K12&amp;"")))</f>
        <v>F8UA</v>
      </c>
      <c r="Q12" s="9" t="n">
        <f aca="false">IF(P12="","",IF(ISNUMBER(N12),ROUND(N12,1),IF(AND(ISNUMBER(L12),ISNUMBER(M12)),IF(M12&gt;0,ROUND(L12/M12*100,1),""),"")))</f>
        <v>58.3</v>
      </c>
      <c r="R12" s="0" t="str">
        <f aca="false">IF(P12="","",IF(COUNTIF(참가자!$A$3:$A$52,P12)=0,"명단에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str">
        <f aca="false">IF(A13="","",IFERROR(INDEX($Q$3:$Q$102,MATCH(A13,$P$3:$P$102,0)),""))</f>
        <v/>
      </c>
      <c r="D13" s="7" t="str">
        <f aca="false">IF(A13="","",IF(C13="","결석","응시"))</f>
        <v>결석</v>
      </c>
      <c r="E13" s="7" t="str">
        <f aca="false">IF(A13="","",IF(COUNTIF($P$3:$P$102,A13)&gt;1,"중복! 확인",""))</f>
        <v/>
      </c>
      <c r="K13" s="8" t="s">
        <v>19</v>
      </c>
      <c r="L13" s="8" t="n">
        <v>8</v>
      </c>
      <c r="M13" s="8" t="n">
        <v>12</v>
      </c>
      <c r="N13" s="8"/>
      <c r="P13" s="0" t="str">
        <f aca="false">IF(TRIM(K13&amp;"")="","",UPPER(TRIM(K13&amp;"")))</f>
        <v>D7VB</v>
      </c>
      <c r="Q13" s="9" t="n">
        <f aca="false">IF(P13="","",IF(ISNUMBER(N13),ROUND(N13,1),IF(AND(ISNUMBER(L13),ISNUMBER(M13)),IF(M13&gt;0,ROUND(L13/M13*100,1),""),"")))</f>
        <v>66.7</v>
      </c>
      <c r="R13" s="0" t="str">
        <f aca="false">IF(P13="","",IF(COUNTIF(참가자!$A$3:$A$52,P13)=0,"명단에 없는 코드",""))</f>
        <v/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n">
        <f aca="false">IF(A14="","",IFERROR(INDEX($Q$3:$Q$102,MATCH(A14,$P$3:$P$102,0)),""))</f>
        <v>66.7</v>
      </c>
      <c r="D14" s="7" t="str">
        <f aca="false">IF(A14="","",IF(C14="","결석","응시"))</f>
        <v>응시</v>
      </c>
      <c r="E14" s="7" t="str">
        <f aca="false">IF(A14="","",IF(COUNTIF($P$3:$P$102,A14)&gt;1,"중복! 확인",""))</f>
        <v/>
      </c>
      <c r="K14" s="8" t="s">
        <v>8</v>
      </c>
      <c r="L14" s="8" t="n">
        <v>8</v>
      </c>
      <c r="M14" s="8" t="n">
        <v>12</v>
      </c>
      <c r="N14" s="8"/>
      <c r="P14" s="0" t="str">
        <f aca="false">IF(TRIM(K14&amp;"")="","",UPPER(TRIM(K14&amp;"")))</f>
        <v>B3NV</v>
      </c>
      <c r="Q14" s="9" t="n">
        <f aca="false">IF(P14="","",IF(ISNUMBER(N14),ROUND(N14,1),IF(AND(ISNUMBER(L14),ISNUMBER(M14)),IF(M14&gt;0,ROUND(L14/M14*100,1),""),"")))</f>
        <v>66.7</v>
      </c>
      <c r="R14" s="0" t="str">
        <f aca="false">IF(P14="","",IF(COUNTIF(참가자!$A$3:$A$52,P14)=0,"명단에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IF(A15="","",IFERROR(INDEX($Q$3:$Q$102,MATCH(A15,$P$3:$P$102,0)),""))</f>
        <v/>
      </c>
      <c r="D15" s="7" t="str">
        <f aca="false">IF(A15="","",IF(C15="","결석","응시"))</f>
        <v/>
      </c>
      <c r="E15" s="7" t="str">
        <f aca="false">IF(A15="","",IF(COUNTIF($P$3:$P$102,A15)&gt;1,"중복! 확인",""))</f>
        <v/>
      </c>
      <c r="K15" s="8"/>
      <c r="L15" s="8"/>
      <c r="M15" s="8"/>
      <c r="N15" s="8"/>
      <c r="P15" s="0" t="str">
        <f aca="false">IF(TRIM(K15&amp;"")="","",UPPER(TRIM(K15&amp;"")))</f>
        <v/>
      </c>
      <c r="Q15" s="0" t="str">
        <f aca="false">IF(P15="","",IF(ISNUMBER(N15),ROUND(N15,1),IF(AND(ISNUMBER(L15),ISNUMBER(M15)),IF(M15&gt;0,ROUND(L15/M15*100,1),""),"")))</f>
        <v/>
      </c>
      <c r="R15" s="0" t="str">
        <f aca="false">IF(P15="","",IF(COUNTIF(참가자!$A$3:$A$52,P15)=0,"명단에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IF(A16="","",IFERROR(INDEX($Q$3:$Q$102,MATCH(A16,$P$3:$P$102,0)),""))</f>
        <v/>
      </c>
      <c r="D16" s="7" t="str">
        <f aca="false">IF(A16="","",IF(C16="","결석","응시"))</f>
        <v/>
      </c>
      <c r="E16" s="7" t="str">
        <f aca="false">IF(A16="","",IF(COUNTIF($P$3:$P$102,A16)&gt;1,"중복! 확인",""))</f>
        <v/>
      </c>
      <c r="K16" s="8"/>
      <c r="L16" s="8"/>
      <c r="M16" s="8"/>
      <c r="N16" s="8"/>
      <c r="P16" s="0" t="str">
        <f aca="false">IF(TRIM(K16&amp;"")="","",UPPER(TRIM(K16&amp;"")))</f>
        <v/>
      </c>
      <c r="Q16" s="0" t="str">
        <f aca="false">IF(P16="","",IF(ISNUMBER(N16),ROUND(N16,1),IF(AND(ISNUMBER(L16),ISNUMBER(M16)),IF(M16&gt;0,ROUND(L16/M16*100,1),""),"")))</f>
        <v/>
      </c>
      <c r="R16" s="0" t="str">
        <f aca="false">IF(P16="","",IF(COUNTIF(참가자!$A$3:$A$52,P16)=0,"명단에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IF(A17="","",IFERROR(INDEX($Q$3:$Q$102,MATCH(A17,$P$3:$P$102,0)),""))</f>
        <v/>
      </c>
      <c r="D17" s="7" t="str">
        <f aca="false">IF(A17="","",IF(C17="","결석","응시"))</f>
        <v/>
      </c>
      <c r="E17" s="7" t="str">
        <f aca="false">IF(A17="","",IF(COUNTIF($P$3:$P$102,A17)&gt;1,"중복! 확인",""))</f>
        <v/>
      </c>
      <c r="K17" s="8"/>
      <c r="L17" s="8"/>
      <c r="M17" s="8"/>
      <c r="N17" s="8"/>
      <c r="P17" s="0" t="str">
        <f aca="false">IF(TRIM(K17&amp;"")="","",UPPER(TRIM(K17&amp;"")))</f>
        <v/>
      </c>
      <c r="Q17" s="0" t="str">
        <f aca="false">IF(P17="","",IF(ISNUMBER(N17),ROUND(N17,1),IF(AND(ISNUMBER(L17),ISNUMBER(M17)),IF(M17&gt;0,ROUND(L17/M17*100,1),""),"")))</f>
        <v/>
      </c>
      <c r="R17" s="0" t="str">
        <f aca="false">IF(P17="","",IF(COUNTIF(참가자!$A$3:$A$52,P17)=0,"명단에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IF(A18="","",IFERROR(INDEX($Q$3:$Q$102,MATCH(A18,$P$3:$P$102,0)),""))</f>
        <v/>
      </c>
      <c r="D18" s="7" t="str">
        <f aca="false">IF(A18="","",IF(C18="","결석","응시"))</f>
        <v/>
      </c>
      <c r="E18" s="7" t="str">
        <f aca="false">IF(A18="","",IF(COUNTIF($P$3:$P$102,A18)&gt;1,"중복! 확인",""))</f>
        <v/>
      </c>
      <c r="K18" s="8"/>
      <c r="L18" s="8"/>
      <c r="M18" s="8"/>
      <c r="N18" s="8"/>
      <c r="P18" s="0" t="str">
        <f aca="false">IF(TRIM(K18&amp;"")="","",UPPER(TRIM(K18&amp;"")))</f>
        <v/>
      </c>
      <c r="Q18" s="0" t="str">
        <f aca="false">IF(P18="","",IF(ISNUMBER(N18),ROUND(N18,1),IF(AND(ISNUMBER(L18),ISNUMBER(M18)),IF(M18&gt;0,ROUND(L18/M18*100,1),""),"")))</f>
        <v/>
      </c>
      <c r="R18" s="0" t="str">
        <f aca="false">IF(P18="","",IF(COUNTIF(참가자!$A$3:$A$52,P18)=0,"명단에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IF(A19="","",IFERROR(INDEX($Q$3:$Q$102,MATCH(A19,$P$3:$P$102,0)),""))</f>
        <v/>
      </c>
      <c r="D19" s="7" t="str">
        <f aca="false">IF(A19="","",IF(C19="","결석","응시"))</f>
        <v/>
      </c>
      <c r="E19" s="7" t="str">
        <f aca="false">IF(A19="","",IF(COUNTIF($P$3:$P$102,A19)&gt;1,"중복! 확인",""))</f>
        <v/>
      </c>
      <c r="K19" s="8"/>
      <c r="L19" s="8"/>
      <c r="M19" s="8"/>
      <c r="N19" s="8"/>
      <c r="P19" s="0" t="str">
        <f aca="false">IF(TRIM(K19&amp;"")="","",UPPER(TRIM(K19&amp;"")))</f>
        <v/>
      </c>
      <c r="Q19" s="0" t="str">
        <f aca="false">IF(P19="","",IF(ISNUMBER(N19),ROUND(N19,1),IF(AND(ISNUMBER(L19),ISNUMBER(M19)),IF(M19&gt;0,ROUND(L19/M19*100,1),""),"")))</f>
        <v/>
      </c>
      <c r="R19" s="0" t="str">
        <f aca="false">IF(P19="","",IF(COUNTIF(참가자!$A$3:$A$52,P19)=0,"명단에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IF(A20="","",IFERROR(INDEX($Q$3:$Q$102,MATCH(A20,$P$3:$P$102,0)),""))</f>
        <v/>
      </c>
      <c r="D20" s="7" t="str">
        <f aca="false">IF(A20="","",IF(C20="","결석","응시"))</f>
        <v/>
      </c>
      <c r="E20" s="7" t="str">
        <f aca="false">IF(A20="","",IF(COUNTIF($P$3:$P$102,A20)&gt;1,"중복! 확인",""))</f>
        <v/>
      </c>
      <c r="K20" s="8"/>
      <c r="L20" s="8"/>
      <c r="M20" s="8"/>
      <c r="N20" s="8"/>
      <c r="P20" s="0" t="str">
        <f aca="false">IF(TRIM(K20&amp;"")="","",UPPER(TRIM(K20&amp;"")))</f>
        <v/>
      </c>
      <c r="Q20" s="0" t="str">
        <f aca="false">IF(P20="","",IF(ISNUMBER(N20),ROUND(N20,1),IF(AND(ISNUMBER(L20),ISNUMBER(M20)),IF(M20&gt;0,ROUND(L20/M20*100,1),""),"")))</f>
        <v/>
      </c>
      <c r="R20" s="0" t="str">
        <f aca="false">IF(P20="","",IF(COUNTIF(참가자!$A$3:$A$52,P20)=0,"명단에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IF(A21="","",IFERROR(INDEX($Q$3:$Q$102,MATCH(A21,$P$3:$P$102,0)),""))</f>
        <v/>
      </c>
      <c r="D21" s="7" t="str">
        <f aca="false">IF(A21="","",IF(C21="","결석","응시"))</f>
        <v/>
      </c>
      <c r="E21" s="7" t="str">
        <f aca="false">IF(A21="","",IF(COUNTIF($P$3:$P$102,A21)&gt;1,"중복! 확인",""))</f>
        <v/>
      </c>
      <c r="K21" s="8"/>
      <c r="L21" s="8"/>
      <c r="M21" s="8"/>
      <c r="N21" s="8"/>
      <c r="P21" s="0" t="str">
        <f aca="false">IF(TRIM(K21&amp;"")="","",UPPER(TRIM(K21&amp;"")))</f>
        <v/>
      </c>
      <c r="Q21" s="0" t="str">
        <f aca="false">IF(P21="","",IF(ISNUMBER(N21),ROUND(N21,1),IF(AND(ISNUMBER(L21),ISNUMBER(M21)),IF(M21&gt;0,ROUND(L21/M21*100,1),""),"")))</f>
        <v/>
      </c>
      <c r="R21" s="0" t="str">
        <f aca="false">IF(P21="","",IF(COUNTIF(참가자!$A$3:$A$52,P21)=0,"명단에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IF(A22="","",IFERROR(INDEX($Q$3:$Q$102,MATCH(A22,$P$3:$P$102,0)),""))</f>
        <v/>
      </c>
      <c r="D22" s="7" t="str">
        <f aca="false">IF(A22="","",IF(C22="","결석","응시"))</f>
        <v/>
      </c>
      <c r="E22" s="7" t="str">
        <f aca="false">IF(A22="","",IF(COUNTIF($P$3:$P$102,A22)&gt;1,"중복! 확인",""))</f>
        <v/>
      </c>
      <c r="K22" s="8"/>
      <c r="L22" s="8"/>
      <c r="M22" s="8"/>
      <c r="N22" s="8"/>
      <c r="P22" s="0" t="str">
        <f aca="false">IF(TRIM(K22&amp;"")="","",UPPER(TRIM(K22&amp;"")))</f>
        <v/>
      </c>
      <c r="Q22" s="0" t="str">
        <f aca="false">IF(P22="","",IF(ISNUMBER(N22),ROUND(N22,1),IF(AND(ISNUMBER(L22),ISNUMBER(M22)),IF(M22&gt;0,ROUND(L22/M22*100,1),""),"")))</f>
        <v/>
      </c>
      <c r="R22" s="0" t="str">
        <f aca="false">IF(P22="","",IF(COUNTIF(참가자!$A$3:$A$52,P22)=0,"명단에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IF(A23="","",IFERROR(INDEX($Q$3:$Q$102,MATCH(A23,$P$3:$P$102,0)),""))</f>
        <v/>
      </c>
      <c r="D23" s="7" t="str">
        <f aca="false">IF(A23="","",IF(C23="","결석","응시"))</f>
        <v/>
      </c>
      <c r="E23" s="7" t="str">
        <f aca="false">IF(A23="","",IF(COUNTIF($P$3:$P$102,A23)&gt;1,"중복! 확인",""))</f>
        <v/>
      </c>
      <c r="K23" s="8"/>
      <c r="L23" s="8"/>
      <c r="M23" s="8"/>
      <c r="N23" s="8"/>
      <c r="P23" s="0" t="str">
        <f aca="false">IF(TRIM(K23&amp;"")="","",UPPER(TRIM(K23&amp;"")))</f>
        <v/>
      </c>
      <c r="Q23" s="0" t="str">
        <f aca="false">IF(P23="","",IF(ISNUMBER(N23),ROUND(N23,1),IF(AND(ISNUMBER(L23),ISNUMBER(M23)),IF(M23&gt;0,ROUND(L23/M23*100,1),""),"")))</f>
        <v/>
      </c>
      <c r="R23" s="0" t="str">
        <f aca="false">IF(P23="","",IF(COUNTIF(참가자!$A$3:$A$52,P23)=0,"명단에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IF(A24="","",IFERROR(INDEX($Q$3:$Q$102,MATCH(A24,$P$3:$P$102,0)),""))</f>
        <v/>
      </c>
      <c r="D24" s="7" t="str">
        <f aca="false">IF(A24="","",IF(C24="","결석","응시"))</f>
        <v/>
      </c>
      <c r="E24" s="7" t="str">
        <f aca="false">IF(A24="","",IF(COUNTIF($P$3:$P$102,A24)&gt;1,"중복! 확인",""))</f>
        <v/>
      </c>
      <c r="K24" s="8"/>
      <c r="L24" s="8"/>
      <c r="M24" s="8"/>
      <c r="N24" s="8"/>
      <c r="P24" s="0" t="str">
        <f aca="false">IF(TRIM(K24&amp;"")="","",UPPER(TRIM(K24&amp;"")))</f>
        <v/>
      </c>
      <c r="Q24" s="0" t="str">
        <f aca="false">IF(P24="","",IF(ISNUMBER(N24),ROUND(N24,1),IF(AND(ISNUMBER(L24),ISNUMBER(M24)),IF(M24&gt;0,ROUND(L24/M24*100,1),""),"")))</f>
        <v/>
      </c>
      <c r="R24" s="0" t="str">
        <f aca="false">IF(P24="","",IF(COUNTIF(참가자!$A$3:$A$52,P24)=0,"명단에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IF(A25="","",IFERROR(INDEX($Q$3:$Q$102,MATCH(A25,$P$3:$P$102,0)),""))</f>
        <v/>
      </c>
      <c r="D25" s="7" t="str">
        <f aca="false">IF(A25="","",IF(C25="","결석","응시"))</f>
        <v/>
      </c>
      <c r="E25" s="7" t="str">
        <f aca="false">IF(A25="","",IF(COUNTIF($P$3:$P$102,A25)&gt;1,"중복! 확인",""))</f>
        <v/>
      </c>
      <c r="K25" s="8"/>
      <c r="L25" s="8"/>
      <c r="M25" s="8"/>
      <c r="N25" s="8"/>
      <c r="P25" s="0" t="str">
        <f aca="false">IF(TRIM(K25&amp;"")="","",UPPER(TRIM(K25&amp;"")))</f>
        <v/>
      </c>
      <c r="Q25" s="0" t="str">
        <f aca="false">IF(P25="","",IF(ISNUMBER(N25),ROUND(N25,1),IF(AND(ISNUMBER(L25),ISNUMBER(M25)),IF(M25&gt;0,ROUND(L25/M25*100,1),""),"")))</f>
        <v/>
      </c>
      <c r="R25" s="0" t="str">
        <f aca="false">IF(P25="","",IF(COUNTIF(참가자!$A$3:$A$52,P25)=0,"명단에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IF(A26="","",IFERROR(INDEX($Q$3:$Q$102,MATCH(A26,$P$3:$P$102,0)),""))</f>
        <v/>
      </c>
      <c r="D26" s="7" t="str">
        <f aca="false">IF(A26="","",IF(C26="","결석","응시"))</f>
        <v/>
      </c>
      <c r="E26" s="7" t="str">
        <f aca="false">IF(A26="","",IF(COUNTIF($P$3:$P$102,A26)&gt;1,"중복! 확인",""))</f>
        <v/>
      </c>
      <c r="K26" s="8"/>
      <c r="L26" s="8"/>
      <c r="M26" s="8"/>
      <c r="N26" s="8"/>
      <c r="P26" s="0" t="str">
        <f aca="false">IF(TRIM(K26&amp;"")="","",UPPER(TRIM(K26&amp;"")))</f>
        <v/>
      </c>
      <c r="Q26" s="0" t="str">
        <f aca="false">IF(P26="","",IF(ISNUMBER(N26),ROUND(N26,1),IF(AND(ISNUMBER(L26),ISNUMBER(M26)),IF(M26&gt;0,ROUND(L26/M26*100,1),""),"")))</f>
        <v/>
      </c>
      <c r="R26" s="0" t="str">
        <f aca="false">IF(P26="","",IF(COUNTIF(참가자!$A$3:$A$52,P26)=0,"명단에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IF(A27="","",IFERROR(INDEX($Q$3:$Q$102,MATCH(A27,$P$3:$P$102,0)),""))</f>
        <v/>
      </c>
      <c r="D27" s="7" t="str">
        <f aca="false">IF(A27="","",IF(C27="","결석","응시"))</f>
        <v/>
      </c>
      <c r="E27" s="7" t="str">
        <f aca="false">IF(A27="","",IF(COUNTIF($P$3:$P$102,A27)&gt;1,"중복! 확인",""))</f>
        <v/>
      </c>
      <c r="K27" s="8"/>
      <c r="L27" s="8"/>
      <c r="M27" s="8"/>
      <c r="N27" s="8"/>
      <c r="P27" s="0" t="str">
        <f aca="false">IF(TRIM(K27&amp;"")="","",UPPER(TRIM(K27&amp;"")))</f>
        <v/>
      </c>
      <c r="Q27" s="0" t="str">
        <f aca="false">IF(P27="","",IF(ISNUMBER(N27),ROUND(N27,1),IF(AND(ISNUMBER(L27),ISNUMBER(M27)),IF(M27&gt;0,ROUND(L27/M27*100,1),""),"")))</f>
        <v/>
      </c>
      <c r="R27" s="0" t="str">
        <f aca="false">IF(P27="","",IF(COUNTIF(참가자!$A$3:$A$52,P27)=0,"명단에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IF(A28="","",IFERROR(INDEX($Q$3:$Q$102,MATCH(A28,$P$3:$P$102,0)),""))</f>
        <v/>
      </c>
      <c r="D28" s="7" t="str">
        <f aca="false">IF(A28="","",IF(C28="","결석","응시"))</f>
        <v/>
      </c>
      <c r="E28" s="7" t="str">
        <f aca="false">IF(A28="","",IF(COUNTIF($P$3:$P$102,A28)&gt;1,"중복! 확인",""))</f>
        <v/>
      </c>
      <c r="K28" s="8"/>
      <c r="L28" s="8"/>
      <c r="M28" s="8"/>
      <c r="N28" s="8"/>
      <c r="P28" s="0" t="str">
        <f aca="false">IF(TRIM(K28&amp;"")="","",UPPER(TRIM(K28&amp;"")))</f>
        <v/>
      </c>
      <c r="Q28" s="0" t="str">
        <f aca="false">IF(P28="","",IF(ISNUMBER(N28),ROUND(N28,1),IF(AND(ISNUMBER(L28),ISNUMBER(M28)),IF(M28&gt;0,ROUND(L28/M28*100,1),""),"")))</f>
        <v/>
      </c>
      <c r="R28" s="0" t="str">
        <f aca="false">IF(P28="","",IF(COUNTIF(참가자!$A$3:$A$52,P28)=0,"명단에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IF(A29="","",IFERROR(INDEX($Q$3:$Q$102,MATCH(A29,$P$3:$P$102,0)),""))</f>
        <v/>
      </c>
      <c r="D29" s="7" t="str">
        <f aca="false">IF(A29="","",IF(C29="","결석","응시"))</f>
        <v/>
      </c>
      <c r="E29" s="7" t="str">
        <f aca="false">IF(A29="","",IF(COUNTIF($P$3:$P$102,A29)&gt;1,"중복! 확인",""))</f>
        <v/>
      </c>
      <c r="K29" s="8"/>
      <c r="L29" s="8"/>
      <c r="M29" s="8"/>
      <c r="N29" s="8"/>
      <c r="P29" s="0" t="str">
        <f aca="false">IF(TRIM(K29&amp;"")="","",UPPER(TRIM(K29&amp;"")))</f>
        <v/>
      </c>
      <c r="Q29" s="0" t="str">
        <f aca="false">IF(P29="","",IF(ISNUMBER(N29),ROUND(N29,1),IF(AND(ISNUMBER(L29),ISNUMBER(M29)),IF(M29&gt;0,ROUND(L29/M29*100,1),""),"")))</f>
        <v/>
      </c>
      <c r="R29" s="0" t="str">
        <f aca="false">IF(P29="","",IF(COUNTIF(참가자!$A$3:$A$52,P29)=0,"명단에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IF(A30="","",IFERROR(INDEX($Q$3:$Q$102,MATCH(A30,$P$3:$P$102,0)),""))</f>
        <v/>
      </c>
      <c r="D30" s="7" t="str">
        <f aca="false">IF(A30="","",IF(C30="","결석","응시"))</f>
        <v/>
      </c>
      <c r="E30" s="7" t="str">
        <f aca="false">IF(A30="","",IF(COUNTIF($P$3:$P$102,A30)&gt;1,"중복! 확인",""))</f>
        <v/>
      </c>
      <c r="K30" s="8"/>
      <c r="L30" s="8"/>
      <c r="M30" s="8"/>
      <c r="N30" s="8"/>
      <c r="P30" s="0" t="str">
        <f aca="false">IF(TRIM(K30&amp;"")="","",UPPER(TRIM(K30&amp;"")))</f>
        <v/>
      </c>
      <c r="Q30" s="0" t="str">
        <f aca="false">IF(P30="","",IF(ISNUMBER(N30),ROUND(N30,1),IF(AND(ISNUMBER(L30),ISNUMBER(M30)),IF(M30&gt;0,ROUND(L30/M30*100,1),""),"")))</f>
        <v/>
      </c>
      <c r="R30" s="0" t="str">
        <f aca="false">IF(P30="","",IF(COUNTIF(참가자!$A$3:$A$52,P30)=0,"명단에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IF(A31="","",IFERROR(INDEX($Q$3:$Q$102,MATCH(A31,$P$3:$P$102,0)),""))</f>
        <v/>
      </c>
      <c r="D31" s="7" t="str">
        <f aca="false">IF(A31="","",IF(C31="","결석","응시"))</f>
        <v/>
      </c>
      <c r="E31" s="7" t="str">
        <f aca="false">IF(A31="","",IF(COUNTIF($P$3:$P$102,A31)&gt;1,"중복! 확인",""))</f>
        <v/>
      </c>
      <c r="K31" s="8"/>
      <c r="L31" s="8"/>
      <c r="M31" s="8"/>
      <c r="N31" s="8"/>
      <c r="P31" s="0" t="str">
        <f aca="false">IF(TRIM(K31&amp;"")="","",UPPER(TRIM(K31&amp;"")))</f>
        <v/>
      </c>
      <c r="Q31" s="0" t="str">
        <f aca="false">IF(P31="","",IF(ISNUMBER(N31),ROUND(N31,1),IF(AND(ISNUMBER(L31),ISNUMBER(M31)),IF(M31&gt;0,ROUND(L31/M31*100,1),""),"")))</f>
        <v/>
      </c>
      <c r="R31" s="0" t="str">
        <f aca="false">IF(P31="","",IF(COUNTIF(참가자!$A$3:$A$52,P31)=0,"명단에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IF(A32="","",IFERROR(INDEX($Q$3:$Q$102,MATCH(A32,$P$3:$P$102,0)),""))</f>
        <v/>
      </c>
      <c r="D32" s="7" t="str">
        <f aca="false">IF(A32="","",IF(C32="","결석","응시"))</f>
        <v/>
      </c>
      <c r="E32" s="7" t="str">
        <f aca="false">IF(A32="","",IF(COUNTIF($P$3:$P$102,A32)&gt;1,"중복! 확인",""))</f>
        <v/>
      </c>
      <c r="K32" s="8"/>
      <c r="L32" s="8"/>
      <c r="M32" s="8"/>
      <c r="N32" s="8"/>
      <c r="P32" s="0" t="str">
        <f aca="false">IF(TRIM(K32&amp;"")="","",UPPER(TRIM(K32&amp;"")))</f>
        <v/>
      </c>
      <c r="Q32" s="0" t="str">
        <f aca="false">IF(P32="","",IF(ISNUMBER(N32),ROUND(N32,1),IF(AND(ISNUMBER(L32),ISNUMBER(M32)),IF(M32&gt;0,ROUND(L32/M32*100,1),""),"")))</f>
        <v/>
      </c>
      <c r="R32" s="0" t="str">
        <f aca="false">IF(P32="","",IF(COUNTIF(참가자!$A$3:$A$52,P32)=0,"명단에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IF(A33="","",IFERROR(INDEX($Q$3:$Q$102,MATCH(A33,$P$3:$P$102,0)),""))</f>
        <v/>
      </c>
      <c r="D33" s="7" t="str">
        <f aca="false">IF(A33="","",IF(C33="","결석","응시"))</f>
        <v/>
      </c>
      <c r="E33" s="7" t="str">
        <f aca="false">IF(A33="","",IF(COUNTIF($P$3:$P$102,A33)&gt;1,"중복! 확인",""))</f>
        <v/>
      </c>
      <c r="K33" s="8"/>
      <c r="L33" s="8"/>
      <c r="M33" s="8"/>
      <c r="N33" s="8"/>
      <c r="P33" s="0" t="str">
        <f aca="false">IF(TRIM(K33&amp;"")="","",UPPER(TRIM(K33&amp;"")))</f>
        <v/>
      </c>
      <c r="Q33" s="0" t="str">
        <f aca="false">IF(P33="","",IF(ISNUMBER(N33),ROUND(N33,1),IF(AND(ISNUMBER(L33),ISNUMBER(M33)),IF(M33&gt;0,ROUND(L33/M33*100,1),""),"")))</f>
        <v/>
      </c>
      <c r="R33" s="0" t="str">
        <f aca="false">IF(P33="","",IF(COUNTIF(참가자!$A$3:$A$52,P33)=0,"명단에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IF(A34="","",IFERROR(INDEX($Q$3:$Q$102,MATCH(A34,$P$3:$P$102,0)),""))</f>
        <v/>
      </c>
      <c r="D34" s="7" t="str">
        <f aca="false">IF(A34="","",IF(C34="","결석","응시"))</f>
        <v/>
      </c>
      <c r="E34" s="7" t="str">
        <f aca="false">IF(A34="","",IF(COUNTIF($P$3:$P$102,A34)&gt;1,"중복! 확인",""))</f>
        <v/>
      </c>
      <c r="K34" s="8"/>
      <c r="L34" s="8"/>
      <c r="M34" s="8"/>
      <c r="N34" s="8"/>
      <c r="P34" s="0" t="str">
        <f aca="false">IF(TRIM(K34&amp;"")="","",UPPER(TRIM(K34&amp;"")))</f>
        <v/>
      </c>
      <c r="Q34" s="0" t="str">
        <f aca="false">IF(P34="","",IF(ISNUMBER(N34),ROUND(N34,1),IF(AND(ISNUMBER(L34),ISNUMBER(M34)),IF(M34&gt;0,ROUND(L34/M34*100,1),""),"")))</f>
        <v/>
      </c>
      <c r="R34" s="0" t="str">
        <f aca="false">IF(P34="","",IF(COUNTIF(참가자!$A$3:$A$52,P34)=0,"명단에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IF(A35="","",IFERROR(INDEX($Q$3:$Q$102,MATCH(A35,$P$3:$P$102,0)),""))</f>
        <v/>
      </c>
      <c r="D35" s="7" t="str">
        <f aca="false">IF(A35="","",IF(C35="","결석","응시"))</f>
        <v/>
      </c>
      <c r="E35" s="7" t="str">
        <f aca="false">IF(A35="","",IF(COUNTIF($P$3:$P$102,A35)&gt;1,"중복! 확인",""))</f>
        <v/>
      </c>
      <c r="K35" s="8"/>
      <c r="L35" s="8"/>
      <c r="M35" s="8"/>
      <c r="N35" s="8"/>
      <c r="P35" s="0" t="str">
        <f aca="false">IF(TRIM(K35&amp;"")="","",UPPER(TRIM(K35&amp;"")))</f>
        <v/>
      </c>
      <c r="Q35" s="0" t="str">
        <f aca="false">IF(P35="","",IF(ISNUMBER(N35),ROUND(N35,1),IF(AND(ISNUMBER(L35),ISNUMBER(M35)),IF(M35&gt;0,ROUND(L35/M35*100,1),""),"")))</f>
        <v/>
      </c>
      <c r="R35" s="0" t="str">
        <f aca="false">IF(P35="","",IF(COUNTIF(참가자!$A$3:$A$52,P35)=0,"명단에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IF(A36="","",IFERROR(INDEX($Q$3:$Q$102,MATCH(A36,$P$3:$P$102,0)),""))</f>
        <v/>
      </c>
      <c r="D36" s="7" t="str">
        <f aca="false">IF(A36="","",IF(C36="","결석","응시"))</f>
        <v/>
      </c>
      <c r="E36" s="7" t="str">
        <f aca="false">IF(A36="","",IF(COUNTIF($P$3:$P$102,A36)&gt;1,"중복! 확인",""))</f>
        <v/>
      </c>
      <c r="K36" s="8"/>
      <c r="L36" s="8"/>
      <c r="M36" s="8"/>
      <c r="N36" s="8"/>
      <c r="P36" s="0" t="str">
        <f aca="false">IF(TRIM(K36&amp;"")="","",UPPER(TRIM(K36&amp;"")))</f>
        <v/>
      </c>
      <c r="Q36" s="0" t="str">
        <f aca="false">IF(P36="","",IF(ISNUMBER(N36),ROUND(N36,1),IF(AND(ISNUMBER(L36),ISNUMBER(M36)),IF(M36&gt;0,ROUND(L36/M36*100,1),""),"")))</f>
        <v/>
      </c>
      <c r="R36" s="0" t="str">
        <f aca="false">IF(P36="","",IF(COUNTIF(참가자!$A$3:$A$52,P36)=0,"명단에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IF(A37="","",IFERROR(INDEX($Q$3:$Q$102,MATCH(A37,$P$3:$P$102,0)),""))</f>
        <v/>
      </c>
      <c r="D37" s="7" t="str">
        <f aca="false">IF(A37="","",IF(C37="","결석","응시"))</f>
        <v/>
      </c>
      <c r="E37" s="7" t="str">
        <f aca="false">IF(A37="","",IF(COUNTIF($P$3:$P$102,A37)&gt;1,"중복! 확인",""))</f>
        <v/>
      </c>
      <c r="K37" s="8"/>
      <c r="L37" s="8"/>
      <c r="M37" s="8"/>
      <c r="N37" s="8"/>
      <c r="P37" s="0" t="str">
        <f aca="false">IF(TRIM(K37&amp;"")="","",UPPER(TRIM(K37&amp;"")))</f>
        <v/>
      </c>
      <c r="Q37" s="0" t="str">
        <f aca="false">IF(P37="","",IF(ISNUMBER(N37),ROUND(N37,1),IF(AND(ISNUMBER(L37),ISNUMBER(M37)),IF(M37&gt;0,ROUND(L37/M37*100,1),""),"")))</f>
        <v/>
      </c>
      <c r="R37" s="0" t="str">
        <f aca="false">IF(P37="","",IF(COUNTIF(참가자!$A$3:$A$52,P37)=0,"명단에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IF(A38="","",IFERROR(INDEX($Q$3:$Q$102,MATCH(A38,$P$3:$P$102,0)),""))</f>
        <v/>
      </c>
      <c r="D38" s="7" t="str">
        <f aca="false">IF(A38="","",IF(C38="","결석","응시"))</f>
        <v/>
      </c>
      <c r="E38" s="7" t="str">
        <f aca="false">IF(A38="","",IF(COUNTIF($P$3:$P$102,A38)&gt;1,"중복! 확인",""))</f>
        <v/>
      </c>
      <c r="K38" s="8"/>
      <c r="L38" s="8"/>
      <c r="M38" s="8"/>
      <c r="N38" s="8"/>
      <c r="P38" s="0" t="str">
        <f aca="false">IF(TRIM(K38&amp;"")="","",UPPER(TRIM(K38&amp;"")))</f>
        <v/>
      </c>
      <c r="Q38" s="0" t="str">
        <f aca="false">IF(P38="","",IF(ISNUMBER(N38),ROUND(N38,1),IF(AND(ISNUMBER(L38),ISNUMBER(M38)),IF(M38&gt;0,ROUND(L38/M38*100,1),""),"")))</f>
        <v/>
      </c>
      <c r="R38" s="0" t="str">
        <f aca="false">IF(P38="","",IF(COUNTIF(참가자!$A$3:$A$52,P38)=0,"명단에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IF(A39="","",IFERROR(INDEX($Q$3:$Q$102,MATCH(A39,$P$3:$P$102,0)),""))</f>
        <v/>
      </c>
      <c r="D39" s="7" t="str">
        <f aca="false">IF(A39="","",IF(C39="","결석","응시"))</f>
        <v/>
      </c>
      <c r="E39" s="7" t="str">
        <f aca="false">IF(A39="","",IF(COUNTIF($P$3:$P$102,A39)&gt;1,"중복! 확인",""))</f>
        <v/>
      </c>
      <c r="K39" s="8"/>
      <c r="L39" s="8"/>
      <c r="M39" s="8"/>
      <c r="N39" s="8"/>
      <c r="P39" s="0" t="str">
        <f aca="false">IF(TRIM(K39&amp;"")="","",UPPER(TRIM(K39&amp;"")))</f>
        <v/>
      </c>
      <c r="Q39" s="0" t="str">
        <f aca="false">IF(P39="","",IF(ISNUMBER(N39),ROUND(N39,1),IF(AND(ISNUMBER(L39),ISNUMBER(M39)),IF(M39&gt;0,ROUND(L39/M39*100,1),""),"")))</f>
        <v/>
      </c>
      <c r="R39" s="0" t="str">
        <f aca="false">IF(P39="","",IF(COUNTIF(참가자!$A$3:$A$52,P39)=0,"명단에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IF(A40="","",IFERROR(INDEX($Q$3:$Q$102,MATCH(A40,$P$3:$P$102,0)),""))</f>
        <v/>
      </c>
      <c r="D40" s="7" t="str">
        <f aca="false">IF(A40="","",IF(C40="","결석","응시"))</f>
        <v/>
      </c>
      <c r="E40" s="7" t="str">
        <f aca="false">IF(A40="","",IF(COUNTIF($P$3:$P$102,A40)&gt;1,"중복! 확인",""))</f>
        <v/>
      </c>
      <c r="K40" s="8"/>
      <c r="L40" s="8"/>
      <c r="M40" s="8"/>
      <c r="N40" s="8"/>
      <c r="P40" s="0" t="str">
        <f aca="false">IF(TRIM(K40&amp;"")="","",UPPER(TRIM(K40&amp;"")))</f>
        <v/>
      </c>
      <c r="Q40" s="0" t="str">
        <f aca="false">IF(P40="","",IF(ISNUMBER(N40),ROUND(N40,1),IF(AND(ISNUMBER(L40),ISNUMBER(M40)),IF(M40&gt;0,ROUND(L40/M40*100,1),""),"")))</f>
        <v/>
      </c>
      <c r="R40" s="0" t="str">
        <f aca="false">IF(P40="","",IF(COUNTIF(참가자!$A$3:$A$52,P40)=0,"명단에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IF(A41="","",IFERROR(INDEX($Q$3:$Q$102,MATCH(A41,$P$3:$P$102,0)),""))</f>
        <v/>
      </c>
      <c r="D41" s="7" t="str">
        <f aca="false">IF(A41="","",IF(C41="","결석","응시"))</f>
        <v/>
      </c>
      <c r="E41" s="7" t="str">
        <f aca="false">IF(A41="","",IF(COUNTIF($P$3:$P$102,A41)&gt;1,"중복! 확인",""))</f>
        <v/>
      </c>
      <c r="K41" s="8"/>
      <c r="L41" s="8"/>
      <c r="M41" s="8"/>
      <c r="N41" s="8"/>
      <c r="P41" s="0" t="str">
        <f aca="false">IF(TRIM(K41&amp;"")="","",UPPER(TRIM(K41&amp;"")))</f>
        <v/>
      </c>
      <c r="Q41" s="0" t="str">
        <f aca="false">IF(P41="","",IF(ISNUMBER(N41),ROUND(N41,1),IF(AND(ISNUMBER(L41),ISNUMBER(M41)),IF(M41&gt;0,ROUND(L41/M41*100,1),""),"")))</f>
        <v/>
      </c>
      <c r="R41" s="0" t="str">
        <f aca="false">IF(P41="","",IF(COUNTIF(참가자!$A$3:$A$52,P41)=0,"명단에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IF(A42="","",IFERROR(INDEX($Q$3:$Q$102,MATCH(A42,$P$3:$P$102,0)),""))</f>
        <v/>
      </c>
      <c r="D42" s="7" t="str">
        <f aca="false">IF(A42="","",IF(C42="","결석","응시"))</f>
        <v/>
      </c>
      <c r="E42" s="7" t="str">
        <f aca="false">IF(A42="","",IF(COUNTIF($P$3:$P$102,A42)&gt;1,"중복! 확인",""))</f>
        <v/>
      </c>
      <c r="K42" s="8"/>
      <c r="L42" s="8"/>
      <c r="M42" s="8"/>
      <c r="N42" s="8"/>
      <c r="P42" s="0" t="str">
        <f aca="false">IF(TRIM(K42&amp;"")="","",UPPER(TRIM(K42&amp;"")))</f>
        <v/>
      </c>
      <c r="Q42" s="0" t="str">
        <f aca="false">IF(P42="","",IF(ISNUMBER(N42),ROUND(N42,1),IF(AND(ISNUMBER(L42),ISNUMBER(M42)),IF(M42&gt;0,ROUND(L42/M42*100,1),""),"")))</f>
        <v/>
      </c>
      <c r="R42" s="0" t="str">
        <f aca="false">IF(P42="","",IF(COUNTIF(참가자!$A$3:$A$52,P42)=0,"명단에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IF(A43="","",IFERROR(INDEX($Q$3:$Q$102,MATCH(A43,$P$3:$P$102,0)),""))</f>
        <v/>
      </c>
      <c r="D43" s="7" t="str">
        <f aca="false">IF(A43="","",IF(C43="","결석","응시"))</f>
        <v/>
      </c>
      <c r="E43" s="7" t="str">
        <f aca="false">IF(A43="","",IF(COUNTIF($P$3:$P$102,A43)&gt;1,"중복! 확인",""))</f>
        <v/>
      </c>
      <c r="K43" s="8"/>
      <c r="L43" s="8"/>
      <c r="M43" s="8"/>
      <c r="N43" s="8"/>
      <c r="P43" s="0" t="str">
        <f aca="false">IF(TRIM(K43&amp;"")="","",UPPER(TRIM(K43&amp;"")))</f>
        <v/>
      </c>
      <c r="Q43" s="0" t="str">
        <f aca="false">IF(P43="","",IF(ISNUMBER(N43),ROUND(N43,1),IF(AND(ISNUMBER(L43),ISNUMBER(M43)),IF(M43&gt;0,ROUND(L43/M43*100,1),""),"")))</f>
        <v/>
      </c>
      <c r="R43" s="0" t="str">
        <f aca="false">IF(P43="","",IF(COUNTIF(참가자!$A$3:$A$52,P43)=0,"명단에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IF(A44="","",IFERROR(INDEX($Q$3:$Q$102,MATCH(A44,$P$3:$P$102,0)),""))</f>
        <v/>
      </c>
      <c r="D44" s="7" t="str">
        <f aca="false">IF(A44="","",IF(C44="","결석","응시"))</f>
        <v/>
      </c>
      <c r="E44" s="7" t="str">
        <f aca="false">IF(A44="","",IF(COUNTIF($P$3:$P$102,A44)&gt;1,"중복! 확인",""))</f>
        <v/>
      </c>
      <c r="K44" s="8"/>
      <c r="L44" s="8"/>
      <c r="M44" s="8"/>
      <c r="N44" s="8"/>
      <c r="P44" s="0" t="str">
        <f aca="false">IF(TRIM(K44&amp;"")="","",UPPER(TRIM(K44&amp;"")))</f>
        <v/>
      </c>
      <c r="Q44" s="0" t="str">
        <f aca="false">IF(P44="","",IF(ISNUMBER(N44),ROUND(N44,1),IF(AND(ISNUMBER(L44),ISNUMBER(M44)),IF(M44&gt;0,ROUND(L44/M44*100,1),""),"")))</f>
        <v/>
      </c>
      <c r="R44" s="0" t="str">
        <f aca="false">IF(P44="","",IF(COUNTIF(참가자!$A$3:$A$52,P44)=0,"명단에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IF(A45="","",IFERROR(INDEX($Q$3:$Q$102,MATCH(A45,$P$3:$P$102,0)),""))</f>
        <v/>
      </c>
      <c r="D45" s="7" t="str">
        <f aca="false">IF(A45="","",IF(C45="","결석","응시"))</f>
        <v/>
      </c>
      <c r="E45" s="7" t="str">
        <f aca="false">IF(A45="","",IF(COUNTIF($P$3:$P$102,A45)&gt;1,"중복! 확인",""))</f>
        <v/>
      </c>
      <c r="K45" s="8"/>
      <c r="L45" s="8"/>
      <c r="M45" s="8"/>
      <c r="N45" s="8"/>
      <c r="P45" s="0" t="str">
        <f aca="false">IF(TRIM(K45&amp;"")="","",UPPER(TRIM(K45&amp;"")))</f>
        <v/>
      </c>
      <c r="Q45" s="0" t="str">
        <f aca="false">IF(P45="","",IF(ISNUMBER(N45),ROUND(N45,1),IF(AND(ISNUMBER(L45),ISNUMBER(M45)),IF(M45&gt;0,ROUND(L45/M45*100,1),""),"")))</f>
        <v/>
      </c>
      <c r="R45" s="0" t="str">
        <f aca="false">IF(P45="","",IF(COUNTIF(참가자!$A$3:$A$52,P45)=0,"명단에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IF(A46="","",IFERROR(INDEX($Q$3:$Q$102,MATCH(A46,$P$3:$P$102,0)),""))</f>
        <v/>
      </c>
      <c r="D46" s="7" t="str">
        <f aca="false">IF(A46="","",IF(C46="","결석","응시"))</f>
        <v/>
      </c>
      <c r="E46" s="7" t="str">
        <f aca="false">IF(A46="","",IF(COUNTIF($P$3:$P$102,A46)&gt;1,"중복! 확인",""))</f>
        <v/>
      </c>
      <c r="K46" s="8"/>
      <c r="L46" s="8"/>
      <c r="M46" s="8"/>
      <c r="N46" s="8"/>
      <c r="P46" s="0" t="str">
        <f aca="false">IF(TRIM(K46&amp;"")="","",UPPER(TRIM(K46&amp;"")))</f>
        <v/>
      </c>
      <c r="Q46" s="0" t="str">
        <f aca="false">IF(P46="","",IF(ISNUMBER(N46),ROUND(N46,1),IF(AND(ISNUMBER(L46),ISNUMBER(M46)),IF(M46&gt;0,ROUND(L46/M46*100,1),""),"")))</f>
        <v/>
      </c>
      <c r="R46" s="0" t="str">
        <f aca="false">IF(P46="","",IF(COUNTIF(참가자!$A$3:$A$52,P46)=0,"명단에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IF(A47="","",IFERROR(INDEX($Q$3:$Q$102,MATCH(A47,$P$3:$P$102,0)),""))</f>
        <v/>
      </c>
      <c r="D47" s="7" t="str">
        <f aca="false">IF(A47="","",IF(C47="","결석","응시"))</f>
        <v/>
      </c>
      <c r="E47" s="7" t="str">
        <f aca="false">IF(A47="","",IF(COUNTIF($P$3:$P$102,A47)&gt;1,"중복! 확인",""))</f>
        <v/>
      </c>
      <c r="K47" s="8"/>
      <c r="L47" s="8"/>
      <c r="M47" s="8"/>
      <c r="N47" s="8"/>
      <c r="P47" s="0" t="str">
        <f aca="false">IF(TRIM(K47&amp;"")="","",UPPER(TRIM(K47&amp;"")))</f>
        <v/>
      </c>
      <c r="Q47" s="0" t="str">
        <f aca="false">IF(P47="","",IF(ISNUMBER(N47),ROUND(N47,1),IF(AND(ISNUMBER(L47),ISNUMBER(M47)),IF(M47&gt;0,ROUND(L47/M47*100,1),""),"")))</f>
        <v/>
      </c>
      <c r="R47" s="0" t="str">
        <f aca="false">IF(P47="","",IF(COUNTIF(참가자!$A$3:$A$52,P47)=0,"명단에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IF(A48="","",IFERROR(INDEX($Q$3:$Q$102,MATCH(A48,$P$3:$P$102,0)),""))</f>
        <v/>
      </c>
      <c r="D48" s="7" t="str">
        <f aca="false">IF(A48="","",IF(C48="","결석","응시"))</f>
        <v/>
      </c>
      <c r="E48" s="7" t="str">
        <f aca="false">IF(A48="","",IF(COUNTIF($P$3:$P$102,A48)&gt;1,"중복! 확인",""))</f>
        <v/>
      </c>
      <c r="K48" s="8"/>
      <c r="L48" s="8"/>
      <c r="M48" s="8"/>
      <c r="N48" s="8"/>
      <c r="P48" s="0" t="str">
        <f aca="false">IF(TRIM(K48&amp;"")="","",UPPER(TRIM(K48&amp;"")))</f>
        <v/>
      </c>
      <c r="Q48" s="0" t="str">
        <f aca="false">IF(P48="","",IF(ISNUMBER(N48),ROUND(N48,1),IF(AND(ISNUMBER(L48),ISNUMBER(M48)),IF(M48&gt;0,ROUND(L48/M48*100,1),""),"")))</f>
        <v/>
      </c>
      <c r="R48" s="0" t="str">
        <f aca="false">IF(P48="","",IF(COUNTIF(참가자!$A$3:$A$52,P48)=0,"명단에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IF(A49="","",IFERROR(INDEX($Q$3:$Q$102,MATCH(A49,$P$3:$P$102,0)),""))</f>
        <v/>
      </c>
      <c r="D49" s="7" t="str">
        <f aca="false">IF(A49="","",IF(C49="","결석","응시"))</f>
        <v/>
      </c>
      <c r="E49" s="7" t="str">
        <f aca="false">IF(A49="","",IF(COUNTIF($P$3:$P$102,A49)&gt;1,"중복! 확인",""))</f>
        <v/>
      </c>
      <c r="K49" s="8"/>
      <c r="L49" s="8"/>
      <c r="M49" s="8"/>
      <c r="N49" s="8"/>
      <c r="P49" s="0" t="str">
        <f aca="false">IF(TRIM(K49&amp;"")="","",UPPER(TRIM(K49&amp;"")))</f>
        <v/>
      </c>
      <c r="Q49" s="0" t="str">
        <f aca="false">IF(P49="","",IF(ISNUMBER(N49),ROUND(N49,1),IF(AND(ISNUMBER(L49),ISNUMBER(M49)),IF(M49&gt;0,ROUND(L49/M49*100,1),""),"")))</f>
        <v/>
      </c>
      <c r="R49" s="0" t="str">
        <f aca="false">IF(P49="","",IF(COUNTIF(참가자!$A$3:$A$52,P49)=0,"명단에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IF(A50="","",IFERROR(INDEX($Q$3:$Q$102,MATCH(A50,$P$3:$P$102,0)),""))</f>
        <v/>
      </c>
      <c r="D50" s="7" t="str">
        <f aca="false">IF(A50="","",IF(C50="","결석","응시"))</f>
        <v/>
      </c>
      <c r="E50" s="7" t="str">
        <f aca="false">IF(A50="","",IF(COUNTIF($P$3:$P$102,A50)&gt;1,"중복! 확인",""))</f>
        <v/>
      </c>
      <c r="K50" s="8"/>
      <c r="L50" s="8"/>
      <c r="M50" s="8"/>
      <c r="N50" s="8"/>
      <c r="P50" s="0" t="str">
        <f aca="false">IF(TRIM(K50&amp;"")="","",UPPER(TRIM(K50&amp;"")))</f>
        <v/>
      </c>
      <c r="Q50" s="0" t="str">
        <f aca="false">IF(P50="","",IF(ISNUMBER(N50),ROUND(N50,1),IF(AND(ISNUMBER(L50),ISNUMBER(M50)),IF(M50&gt;0,ROUND(L50/M50*100,1),""),"")))</f>
        <v/>
      </c>
      <c r="R50" s="0" t="str">
        <f aca="false">IF(P50="","",IF(COUNTIF(참가자!$A$3:$A$52,P50)=0,"명단에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IF(A51="","",IFERROR(INDEX($Q$3:$Q$102,MATCH(A51,$P$3:$P$102,0)),""))</f>
        <v/>
      </c>
      <c r="D51" s="7" t="str">
        <f aca="false">IF(A51="","",IF(C51="","결석","응시"))</f>
        <v/>
      </c>
      <c r="E51" s="7" t="str">
        <f aca="false">IF(A51="","",IF(COUNTIF($P$3:$P$102,A51)&gt;1,"중복! 확인",""))</f>
        <v/>
      </c>
      <c r="K51" s="8"/>
      <c r="L51" s="8"/>
      <c r="M51" s="8"/>
      <c r="N51" s="8"/>
      <c r="P51" s="0" t="str">
        <f aca="false">IF(TRIM(K51&amp;"")="","",UPPER(TRIM(K51&amp;"")))</f>
        <v/>
      </c>
      <c r="Q51" s="0" t="str">
        <f aca="false">IF(P51="","",IF(ISNUMBER(N51),ROUND(N51,1),IF(AND(ISNUMBER(L51),ISNUMBER(M51)),IF(M51&gt;0,ROUND(L51/M51*100,1),""),"")))</f>
        <v/>
      </c>
      <c r="R51" s="0" t="str">
        <f aca="false">IF(P51="","",IF(COUNTIF(참가자!$A$3:$A$52,P51)=0,"명단에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IF(A52="","",IFERROR(INDEX($Q$3:$Q$102,MATCH(A52,$P$3:$P$102,0)),""))</f>
        <v/>
      </c>
      <c r="D52" s="7" t="str">
        <f aca="false">IF(A52="","",IF(C52="","결석","응시"))</f>
        <v/>
      </c>
      <c r="E52" s="7" t="str">
        <f aca="false">IF(A52="","",IF(COUNTIF($P$3:$P$102,A52)&gt;1,"중복! 확인",""))</f>
        <v/>
      </c>
      <c r="K52" s="8"/>
      <c r="L52" s="8"/>
      <c r="M52" s="8"/>
      <c r="N52" s="8"/>
      <c r="P52" s="0" t="str">
        <f aca="false">IF(TRIM(K52&amp;"")="","",UPPER(TRIM(K52&amp;"")))</f>
        <v/>
      </c>
      <c r="Q52" s="0" t="str">
        <f aca="false">IF(P52="","",IF(ISNUMBER(N52),ROUND(N52,1),IF(AND(ISNUMBER(L52),ISNUMBER(M52)),IF(M52&gt;0,ROUND(L52/M52*100,1),""),"")))</f>
        <v/>
      </c>
      <c r="R52" s="0" t="str">
        <f aca="false">IF(P52="","",IF(COUNTIF(참가자!$A$3:$A$52,P52)=0,"명단에 없는 코드",""))</f>
        <v/>
      </c>
    </row>
    <row r="53" customFormat="false" ht="15" hidden="false" customHeight="false" outlineLevel="0" collapsed="false">
      <c r="K53" s="8"/>
      <c r="L53" s="8"/>
      <c r="M53" s="8"/>
      <c r="N53" s="8"/>
      <c r="P53" s="0" t="str">
        <f aca="false">IF(TRIM(K53&amp;"")="","",UPPER(TRIM(K53&amp;"")))</f>
        <v/>
      </c>
      <c r="Q53" s="0" t="str">
        <f aca="false">IF(P53="","",IF(ISNUMBER(N53),ROUND(N53,1),IF(AND(ISNUMBER(L53),ISNUMBER(M53)),IF(M53&gt;0,ROUND(L53/M53*100,1),""),"")))</f>
        <v/>
      </c>
      <c r="R53" s="0" t="str">
        <f aca="false">IF(P53="","",IF(COUNTIF(참가자!$A$3:$A$52,P53)=0,"명단에 없는 코드",""))</f>
        <v/>
      </c>
    </row>
    <row r="54" customFormat="false" ht="15" hidden="false" customHeight="false" outlineLevel="0" collapsed="false">
      <c r="K54" s="8"/>
      <c r="L54" s="8"/>
      <c r="M54" s="8"/>
      <c r="N54" s="8"/>
      <c r="P54" s="0" t="str">
        <f aca="false">IF(TRIM(K54&amp;"")="","",UPPER(TRIM(K54&amp;"")))</f>
        <v/>
      </c>
      <c r="Q54" s="0" t="str">
        <f aca="false">IF(P54="","",IF(ISNUMBER(N54),ROUND(N54,1),IF(AND(ISNUMBER(L54),ISNUMBER(M54)),IF(M54&gt;0,ROUND(L54/M54*100,1),""),"")))</f>
        <v/>
      </c>
      <c r="R54" s="0" t="str">
        <f aca="false">IF(P54="","",IF(COUNTIF(참가자!$A$3:$A$52,P54)=0,"명단에 없는 코드",""))</f>
        <v/>
      </c>
    </row>
    <row r="55" customFormat="false" ht="15" hidden="false" customHeight="false" outlineLevel="0" collapsed="false">
      <c r="K55" s="8"/>
      <c r="L55" s="8"/>
      <c r="M55" s="8"/>
      <c r="N55" s="8"/>
      <c r="P55" s="0" t="str">
        <f aca="false">IF(TRIM(K55&amp;"")="","",UPPER(TRIM(K55&amp;"")))</f>
        <v/>
      </c>
      <c r="Q55" s="0" t="str">
        <f aca="false">IF(P55="","",IF(ISNUMBER(N55),ROUND(N55,1),IF(AND(ISNUMBER(L55),ISNUMBER(M55)),IF(M55&gt;0,ROUND(L55/M55*100,1),""),"")))</f>
        <v/>
      </c>
      <c r="R55" s="0" t="str">
        <f aca="false">IF(P55="","",IF(COUNTIF(참가자!$A$3:$A$52,P55)=0,"명단에 없는 코드",""))</f>
        <v/>
      </c>
    </row>
    <row r="56" customFormat="false" ht="15" hidden="false" customHeight="false" outlineLevel="0" collapsed="false">
      <c r="K56" s="8"/>
      <c r="L56" s="8"/>
      <c r="M56" s="8"/>
      <c r="N56" s="8"/>
      <c r="P56" s="0" t="str">
        <f aca="false">IF(TRIM(K56&amp;"")="","",UPPER(TRIM(K56&amp;"")))</f>
        <v/>
      </c>
      <c r="Q56" s="0" t="str">
        <f aca="false">IF(P56="","",IF(ISNUMBER(N56),ROUND(N56,1),IF(AND(ISNUMBER(L56),ISNUMBER(M56)),IF(M56&gt;0,ROUND(L56/M56*100,1),""),"")))</f>
        <v/>
      </c>
      <c r="R56" s="0" t="str">
        <f aca="false">IF(P56="","",IF(COUNTIF(참가자!$A$3:$A$52,P56)=0,"명단에 없는 코드",""))</f>
        <v/>
      </c>
    </row>
    <row r="57" customFormat="false" ht="15" hidden="false" customHeight="false" outlineLevel="0" collapsed="false">
      <c r="K57" s="8"/>
      <c r="L57" s="8"/>
      <c r="M57" s="8"/>
      <c r="N57" s="8"/>
      <c r="P57" s="0" t="str">
        <f aca="false">IF(TRIM(K57&amp;"")="","",UPPER(TRIM(K57&amp;"")))</f>
        <v/>
      </c>
      <c r="Q57" s="0" t="str">
        <f aca="false">IF(P57="","",IF(ISNUMBER(N57),ROUND(N57,1),IF(AND(ISNUMBER(L57),ISNUMBER(M57)),IF(M57&gt;0,ROUND(L57/M57*100,1),""),"")))</f>
        <v/>
      </c>
      <c r="R57" s="0" t="str">
        <f aca="false">IF(P57="","",IF(COUNTIF(참가자!$A$3:$A$52,P57)=0,"명단에 없는 코드",""))</f>
        <v/>
      </c>
    </row>
    <row r="58" customFormat="false" ht="15" hidden="false" customHeight="false" outlineLevel="0" collapsed="false">
      <c r="K58" s="8"/>
      <c r="L58" s="8"/>
      <c r="M58" s="8"/>
      <c r="N58" s="8"/>
      <c r="P58" s="0" t="str">
        <f aca="false">IF(TRIM(K58&amp;"")="","",UPPER(TRIM(K58&amp;"")))</f>
        <v/>
      </c>
      <c r="Q58" s="0" t="str">
        <f aca="false">IF(P58="","",IF(ISNUMBER(N58),ROUND(N58,1),IF(AND(ISNUMBER(L58),ISNUMBER(M58)),IF(M58&gt;0,ROUND(L58/M58*100,1),""),"")))</f>
        <v/>
      </c>
      <c r="R58" s="0" t="str">
        <f aca="false">IF(P58="","",IF(COUNTIF(참가자!$A$3:$A$52,P58)=0,"명단에 없는 코드",""))</f>
        <v/>
      </c>
    </row>
    <row r="59" customFormat="false" ht="15" hidden="false" customHeight="false" outlineLevel="0" collapsed="false">
      <c r="K59" s="8"/>
      <c r="L59" s="8"/>
      <c r="M59" s="8"/>
      <c r="N59" s="8"/>
      <c r="P59" s="0" t="str">
        <f aca="false">IF(TRIM(K59&amp;"")="","",UPPER(TRIM(K59&amp;"")))</f>
        <v/>
      </c>
      <c r="Q59" s="0" t="str">
        <f aca="false">IF(P59="","",IF(ISNUMBER(N59),ROUND(N59,1),IF(AND(ISNUMBER(L59),ISNUMBER(M59)),IF(M59&gt;0,ROUND(L59/M59*100,1),""),"")))</f>
        <v/>
      </c>
      <c r="R59" s="0" t="str">
        <f aca="false">IF(P59="","",IF(COUNTIF(참가자!$A$3:$A$52,P59)=0,"명단에 없는 코드",""))</f>
        <v/>
      </c>
    </row>
    <row r="60" customFormat="false" ht="15" hidden="false" customHeight="false" outlineLevel="0" collapsed="false">
      <c r="K60" s="8"/>
      <c r="L60" s="8"/>
      <c r="M60" s="8"/>
      <c r="N60" s="8"/>
      <c r="P60" s="0" t="str">
        <f aca="false">IF(TRIM(K60&amp;"")="","",UPPER(TRIM(K60&amp;"")))</f>
        <v/>
      </c>
      <c r="Q60" s="0" t="str">
        <f aca="false">IF(P60="","",IF(ISNUMBER(N60),ROUND(N60,1),IF(AND(ISNUMBER(L60),ISNUMBER(M60)),IF(M60&gt;0,ROUND(L60/M60*100,1),""),"")))</f>
        <v/>
      </c>
      <c r="R60" s="0" t="str">
        <f aca="false">IF(P60="","",IF(COUNTIF(참가자!$A$3:$A$52,P60)=0,"명단에 없는 코드",""))</f>
        <v/>
      </c>
    </row>
    <row r="61" customFormat="false" ht="15" hidden="false" customHeight="false" outlineLevel="0" collapsed="false">
      <c r="K61" s="8"/>
      <c r="L61" s="8"/>
      <c r="M61" s="8"/>
      <c r="N61" s="8"/>
      <c r="P61" s="0" t="str">
        <f aca="false">IF(TRIM(K61&amp;"")="","",UPPER(TRIM(K61&amp;"")))</f>
        <v/>
      </c>
      <c r="Q61" s="0" t="str">
        <f aca="false">IF(P61="","",IF(ISNUMBER(N61),ROUND(N61,1),IF(AND(ISNUMBER(L61),ISNUMBER(M61)),IF(M61&gt;0,ROUND(L61/M61*100,1),""),"")))</f>
        <v/>
      </c>
      <c r="R61" s="0" t="str">
        <f aca="false">IF(P61="","",IF(COUNTIF(참가자!$A$3:$A$52,P61)=0,"명단에 없는 코드",""))</f>
        <v/>
      </c>
    </row>
    <row r="62" customFormat="false" ht="15" hidden="false" customHeight="false" outlineLevel="0" collapsed="false">
      <c r="K62" s="8"/>
      <c r="L62" s="8"/>
      <c r="M62" s="8"/>
      <c r="N62" s="8"/>
      <c r="P62" s="0" t="str">
        <f aca="false">IF(TRIM(K62&amp;"")="","",UPPER(TRIM(K62&amp;"")))</f>
        <v/>
      </c>
      <c r="Q62" s="0" t="str">
        <f aca="false">IF(P62="","",IF(ISNUMBER(N62),ROUND(N62,1),IF(AND(ISNUMBER(L62),ISNUMBER(M62)),IF(M62&gt;0,ROUND(L62/M62*100,1),""),"")))</f>
        <v/>
      </c>
      <c r="R62" s="0" t="str">
        <f aca="false">IF(P62="","",IF(COUNTIF(참가자!$A$3:$A$52,P62)=0,"명단에 없는 코드",""))</f>
        <v/>
      </c>
    </row>
    <row r="63" customFormat="false" ht="15" hidden="false" customHeight="false" outlineLevel="0" collapsed="false">
      <c r="K63" s="8"/>
      <c r="L63" s="8"/>
      <c r="M63" s="8"/>
      <c r="N63" s="8"/>
      <c r="P63" s="0" t="str">
        <f aca="false">IF(TRIM(K63&amp;"")="","",UPPER(TRIM(K63&amp;"")))</f>
        <v/>
      </c>
      <c r="Q63" s="0" t="str">
        <f aca="false">IF(P63="","",IF(ISNUMBER(N63),ROUND(N63,1),IF(AND(ISNUMBER(L63),ISNUMBER(M63)),IF(M63&gt;0,ROUND(L63/M63*100,1),""),"")))</f>
        <v/>
      </c>
      <c r="R63" s="0" t="str">
        <f aca="false">IF(P63="","",IF(COUNTIF(참가자!$A$3:$A$52,P63)=0,"명단에 없는 코드",""))</f>
        <v/>
      </c>
    </row>
    <row r="64" customFormat="false" ht="15" hidden="false" customHeight="false" outlineLevel="0" collapsed="false">
      <c r="K64" s="8"/>
      <c r="L64" s="8"/>
      <c r="M64" s="8"/>
      <c r="N64" s="8"/>
      <c r="P64" s="0" t="str">
        <f aca="false">IF(TRIM(K64&amp;"")="","",UPPER(TRIM(K64&amp;"")))</f>
        <v/>
      </c>
      <c r="Q64" s="0" t="str">
        <f aca="false">IF(P64="","",IF(ISNUMBER(N64),ROUND(N64,1),IF(AND(ISNUMBER(L64),ISNUMBER(M64)),IF(M64&gt;0,ROUND(L64/M64*100,1),""),"")))</f>
        <v/>
      </c>
      <c r="R64" s="0" t="str">
        <f aca="false">IF(P64="","",IF(COUNTIF(참가자!$A$3:$A$52,P64)=0,"명단에 없는 코드",""))</f>
        <v/>
      </c>
    </row>
    <row r="65" customFormat="false" ht="15" hidden="false" customHeight="false" outlineLevel="0" collapsed="false">
      <c r="K65" s="8"/>
      <c r="L65" s="8"/>
      <c r="M65" s="8"/>
      <c r="N65" s="8"/>
      <c r="P65" s="0" t="str">
        <f aca="false">IF(TRIM(K65&amp;"")="","",UPPER(TRIM(K65&amp;"")))</f>
        <v/>
      </c>
      <c r="Q65" s="0" t="str">
        <f aca="false">IF(P65="","",IF(ISNUMBER(N65),ROUND(N65,1),IF(AND(ISNUMBER(L65),ISNUMBER(M65)),IF(M65&gt;0,ROUND(L65/M65*100,1),""),"")))</f>
        <v/>
      </c>
      <c r="R65" s="0" t="str">
        <f aca="false">IF(P65="","",IF(COUNTIF(참가자!$A$3:$A$52,P65)=0,"명단에 없는 코드",""))</f>
        <v/>
      </c>
    </row>
    <row r="66" customFormat="false" ht="15" hidden="false" customHeight="false" outlineLevel="0" collapsed="false">
      <c r="K66" s="8"/>
      <c r="L66" s="8"/>
      <c r="M66" s="8"/>
      <c r="N66" s="8"/>
      <c r="P66" s="0" t="str">
        <f aca="false">IF(TRIM(K66&amp;"")="","",UPPER(TRIM(K66&amp;"")))</f>
        <v/>
      </c>
      <c r="Q66" s="0" t="str">
        <f aca="false">IF(P66="","",IF(ISNUMBER(N66),ROUND(N66,1),IF(AND(ISNUMBER(L66),ISNUMBER(M66)),IF(M66&gt;0,ROUND(L66/M66*100,1),""),"")))</f>
        <v/>
      </c>
      <c r="R66" s="0" t="str">
        <f aca="false">IF(P66="","",IF(COUNTIF(참가자!$A$3:$A$52,P66)=0,"명단에 없는 코드",""))</f>
        <v/>
      </c>
    </row>
    <row r="67" customFormat="false" ht="15" hidden="false" customHeight="false" outlineLevel="0" collapsed="false">
      <c r="K67" s="8"/>
      <c r="L67" s="8"/>
      <c r="M67" s="8"/>
      <c r="N67" s="8"/>
      <c r="P67" s="0" t="str">
        <f aca="false">IF(TRIM(K67&amp;"")="","",UPPER(TRIM(K67&amp;"")))</f>
        <v/>
      </c>
      <c r="Q67" s="0" t="str">
        <f aca="false">IF(P67="","",IF(ISNUMBER(N67),ROUND(N67,1),IF(AND(ISNUMBER(L67),ISNUMBER(M67)),IF(M67&gt;0,ROUND(L67/M67*100,1),""),"")))</f>
        <v/>
      </c>
      <c r="R67" s="0" t="str">
        <f aca="false">IF(P67="","",IF(COUNTIF(참가자!$A$3:$A$52,P67)=0,"명단에 없는 코드",""))</f>
        <v/>
      </c>
    </row>
    <row r="68" customFormat="false" ht="15" hidden="false" customHeight="false" outlineLevel="0" collapsed="false">
      <c r="K68" s="8"/>
      <c r="L68" s="8"/>
      <c r="M68" s="8"/>
      <c r="N68" s="8"/>
      <c r="P68" s="0" t="str">
        <f aca="false">IF(TRIM(K68&amp;"")="","",UPPER(TRIM(K68&amp;"")))</f>
        <v/>
      </c>
      <c r="Q68" s="0" t="str">
        <f aca="false">IF(P68="","",IF(ISNUMBER(N68),ROUND(N68,1),IF(AND(ISNUMBER(L68),ISNUMBER(M68)),IF(M68&gt;0,ROUND(L68/M68*100,1),""),"")))</f>
        <v/>
      </c>
      <c r="R68" s="0" t="str">
        <f aca="false">IF(P68="","",IF(COUNTIF(참가자!$A$3:$A$52,P68)=0,"명단에 없는 코드",""))</f>
        <v/>
      </c>
    </row>
    <row r="69" customFormat="false" ht="15" hidden="false" customHeight="false" outlineLevel="0" collapsed="false">
      <c r="K69" s="8"/>
      <c r="L69" s="8"/>
      <c r="M69" s="8"/>
      <c r="N69" s="8"/>
      <c r="P69" s="0" t="str">
        <f aca="false">IF(TRIM(K69&amp;"")="","",UPPER(TRIM(K69&amp;"")))</f>
        <v/>
      </c>
      <c r="Q69" s="0" t="str">
        <f aca="false">IF(P69="","",IF(ISNUMBER(N69),ROUND(N69,1),IF(AND(ISNUMBER(L69),ISNUMBER(M69)),IF(M69&gt;0,ROUND(L69/M69*100,1),""),"")))</f>
        <v/>
      </c>
      <c r="R69" s="0" t="str">
        <f aca="false">IF(P69="","",IF(COUNTIF(참가자!$A$3:$A$52,P69)=0,"명단에 없는 코드",""))</f>
        <v/>
      </c>
    </row>
    <row r="70" customFormat="false" ht="15" hidden="false" customHeight="false" outlineLevel="0" collapsed="false">
      <c r="K70" s="8"/>
      <c r="L70" s="8"/>
      <c r="M70" s="8"/>
      <c r="N70" s="8"/>
      <c r="P70" s="0" t="str">
        <f aca="false">IF(TRIM(K70&amp;"")="","",UPPER(TRIM(K70&amp;"")))</f>
        <v/>
      </c>
      <c r="Q70" s="0" t="str">
        <f aca="false">IF(P70="","",IF(ISNUMBER(N70),ROUND(N70,1),IF(AND(ISNUMBER(L70),ISNUMBER(M70)),IF(M70&gt;0,ROUND(L70/M70*100,1),""),"")))</f>
        <v/>
      </c>
      <c r="R70" s="0" t="str">
        <f aca="false">IF(P70="","",IF(COUNTIF(참가자!$A$3:$A$52,P70)=0,"명단에 없는 코드",""))</f>
        <v/>
      </c>
    </row>
    <row r="71" customFormat="false" ht="15" hidden="false" customHeight="false" outlineLevel="0" collapsed="false">
      <c r="K71" s="8"/>
      <c r="L71" s="8"/>
      <c r="M71" s="8"/>
      <c r="N71" s="8"/>
      <c r="P71" s="0" t="str">
        <f aca="false">IF(TRIM(K71&amp;"")="","",UPPER(TRIM(K71&amp;"")))</f>
        <v/>
      </c>
      <c r="Q71" s="0" t="str">
        <f aca="false">IF(P71="","",IF(ISNUMBER(N71),ROUND(N71,1),IF(AND(ISNUMBER(L71),ISNUMBER(M71)),IF(M71&gt;0,ROUND(L71/M71*100,1),""),"")))</f>
        <v/>
      </c>
      <c r="R71" s="0" t="str">
        <f aca="false">IF(P71="","",IF(COUNTIF(참가자!$A$3:$A$52,P71)=0,"명단에 없는 코드",""))</f>
        <v/>
      </c>
    </row>
    <row r="72" customFormat="false" ht="15" hidden="false" customHeight="false" outlineLevel="0" collapsed="false">
      <c r="K72" s="8"/>
      <c r="L72" s="8"/>
      <c r="M72" s="8"/>
      <c r="N72" s="8"/>
      <c r="P72" s="0" t="str">
        <f aca="false">IF(TRIM(K72&amp;"")="","",UPPER(TRIM(K72&amp;"")))</f>
        <v/>
      </c>
      <c r="Q72" s="0" t="str">
        <f aca="false">IF(P72="","",IF(ISNUMBER(N72),ROUND(N72,1),IF(AND(ISNUMBER(L72),ISNUMBER(M72)),IF(M72&gt;0,ROUND(L72/M72*100,1),""),"")))</f>
        <v/>
      </c>
      <c r="R72" s="0" t="str">
        <f aca="false">IF(P72="","",IF(COUNTIF(참가자!$A$3:$A$52,P72)=0,"명단에 없는 코드",""))</f>
        <v/>
      </c>
    </row>
    <row r="73" customFormat="false" ht="15" hidden="false" customHeight="false" outlineLevel="0" collapsed="false">
      <c r="K73" s="8"/>
      <c r="L73" s="8"/>
      <c r="M73" s="8"/>
      <c r="N73" s="8"/>
      <c r="P73" s="0" t="str">
        <f aca="false">IF(TRIM(K73&amp;"")="","",UPPER(TRIM(K73&amp;"")))</f>
        <v/>
      </c>
      <c r="Q73" s="0" t="str">
        <f aca="false">IF(P73="","",IF(ISNUMBER(N73),ROUND(N73,1),IF(AND(ISNUMBER(L73),ISNUMBER(M73)),IF(M73&gt;0,ROUND(L73/M73*100,1),""),"")))</f>
        <v/>
      </c>
      <c r="R73" s="0" t="str">
        <f aca="false">IF(P73="","",IF(COUNTIF(참가자!$A$3:$A$52,P73)=0,"명단에 없는 코드",""))</f>
        <v/>
      </c>
    </row>
    <row r="74" customFormat="false" ht="15" hidden="false" customHeight="false" outlineLevel="0" collapsed="false">
      <c r="K74" s="8"/>
      <c r="L74" s="8"/>
      <c r="M74" s="8"/>
      <c r="N74" s="8"/>
      <c r="P74" s="0" t="str">
        <f aca="false">IF(TRIM(K74&amp;"")="","",UPPER(TRIM(K74&amp;"")))</f>
        <v/>
      </c>
      <c r="Q74" s="0" t="str">
        <f aca="false">IF(P74="","",IF(ISNUMBER(N74),ROUND(N74,1),IF(AND(ISNUMBER(L74),ISNUMBER(M74)),IF(M74&gt;0,ROUND(L74/M74*100,1),""),"")))</f>
        <v/>
      </c>
      <c r="R74" s="0" t="str">
        <f aca="false">IF(P74="","",IF(COUNTIF(참가자!$A$3:$A$52,P74)=0,"명단에 없는 코드",""))</f>
        <v/>
      </c>
    </row>
    <row r="75" customFormat="false" ht="15" hidden="false" customHeight="false" outlineLevel="0" collapsed="false">
      <c r="K75" s="8"/>
      <c r="L75" s="8"/>
      <c r="M75" s="8"/>
      <c r="N75" s="8"/>
      <c r="P75" s="0" t="str">
        <f aca="false">IF(TRIM(K75&amp;"")="","",UPPER(TRIM(K75&amp;"")))</f>
        <v/>
      </c>
      <c r="Q75" s="0" t="str">
        <f aca="false">IF(P75="","",IF(ISNUMBER(N75),ROUND(N75,1),IF(AND(ISNUMBER(L75),ISNUMBER(M75)),IF(M75&gt;0,ROUND(L75/M75*100,1),""),"")))</f>
        <v/>
      </c>
      <c r="R75" s="0" t="str">
        <f aca="false">IF(P75="","",IF(COUNTIF(참가자!$A$3:$A$52,P75)=0,"명단에 없는 코드",""))</f>
        <v/>
      </c>
    </row>
    <row r="76" customFormat="false" ht="15" hidden="false" customHeight="false" outlineLevel="0" collapsed="false">
      <c r="K76" s="8"/>
      <c r="L76" s="8"/>
      <c r="M76" s="8"/>
      <c r="N76" s="8"/>
      <c r="P76" s="0" t="str">
        <f aca="false">IF(TRIM(K76&amp;"")="","",UPPER(TRIM(K76&amp;"")))</f>
        <v/>
      </c>
      <c r="Q76" s="0" t="str">
        <f aca="false">IF(P76="","",IF(ISNUMBER(N76),ROUND(N76,1),IF(AND(ISNUMBER(L76),ISNUMBER(M76)),IF(M76&gt;0,ROUND(L76/M76*100,1),""),"")))</f>
        <v/>
      </c>
      <c r="R76" s="0" t="str">
        <f aca="false">IF(P76="","",IF(COUNTIF(참가자!$A$3:$A$52,P76)=0,"명단에 없는 코드",""))</f>
        <v/>
      </c>
    </row>
    <row r="77" customFormat="false" ht="15" hidden="false" customHeight="false" outlineLevel="0" collapsed="false">
      <c r="K77" s="8"/>
      <c r="L77" s="8"/>
      <c r="M77" s="8"/>
      <c r="N77" s="8"/>
      <c r="P77" s="0" t="str">
        <f aca="false">IF(TRIM(K77&amp;"")="","",UPPER(TRIM(K77&amp;"")))</f>
        <v/>
      </c>
      <c r="Q77" s="0" t="str">
        <f aca="false">IF(P77="","",IF(ISNUMBER(N77),ROUND(N77,1),IF(AND(ISNUMBER(L77),ISNUMBER(M77)),IF(M77&gt;0,ROUND(L77/M77*100,1),""),"")))</f>
        <v/>
      </c>
      <c r="R77" s="0" t="str">
        <f aca="false">IF(P77="","",IF(COUNTIF(참가자!$A$3:$A$52,P77)=0,"명단에 없는 코드",""))</f>
        <v/>
      </c>
    </row>
    <row r="78" customFormat="false" ht="15" hidden="false" customHeight="false" outlineLevel="0" collapsed="false">
      <c r="K78" s="8"/>
      <c r="L78" s="8"/>
      <c r="M78" s="8"/>
      <c r="N78" s="8"/>
      <c r="P78" s="0" t="str">
        <f aca="false">IF(TRIM(K78&amp;"")="","",UPPER(TRIM(K78&amp;"")))</f>
        <v/>
      </c>
      <c r="Q78" s="0" t="str">
        <f aca="false">IF(P78="","",IF(ISNUMBER(N78),ROUND(N78,1),IF(AND(ISNUMBER(L78),ISNUMBER(M78)),IF(M78&gt;0,ROUND(L78/M78*100,1),""),"")))</f>
        <v/>
      </c>
      <c r="R78" s="0" t="str">
        <f aca="false">IF(P78="","",IF(COUNTIF(참가자!$A$3:$A$52,P78)=0,"명단에 없는 코드",""))</f>
        <v/>
      </c>
    </row>
    <row r="79" customFormat="false" ht="15" hidden="false" customHeight="false" outlineLevel="0" collapsed="false">
      <c r="K79" s="8"/>
      <c r="L79" s="8"/>
      <c r="M79" s="8"/>
      <c r="N79" s="8"/>
      <c r="P79" s="0" t="str">
        <f aca="false">IF(TRIM(K79&amp;"")="","",UPPER(TRIM(K79&amp;"")))</f>
        <v/>
      </c>
      <c r="Q79" s="0" t="str">
        <f aca="false">IF(P79="","",IF(ISNUMBER(N79),ROUND(N79,1),IF(AND(ISNUMBER(L79),ISNUMBER(M79)),IF(M79&gt;0,ROUND(L79/M79*100,1),""),"")))</f>
        <v/>
      </c>
      <c r="R79" s="0" t="str">
        <f aca="false">IF(P79="","",IF(COUNTIF(참가자!$A$3:$A$52,P79)=0,"명단에 없는 코드",""))</f>
        <v/>
      </c>
    </row>
    <row r="80" customFormat="false" ht="15" hidden="false" customHeight="false" outlineLevel="0" collapsed="false">
      <c r="K80" s="8"/>
      <c r="L80" s="8"/>
      <c r="M80" s="8"/>
      <c r="N80" s="8"/>
      <c r="P80" s="0" t="str">
        <f aca="false">IF(TRIM(K80&amp;"")="","",UPPER(TRIM(K80&amp;"")))</f>
        <v/>
      </c>
      <c r="Q80" s="0" t="str">
        <f aca="false">IF(P80="","",IF(ISNUMBER(N80),ROUND(N80,1),IF(AND(ISNUMBER(L80),ISNUMBER(M80)),IF(M80&gt;0,ROUND(L80/M80*100,1),""),"")))</f>
        <v/>
      </c>
      <c r="R80" s="0" t="str">
        <f aca="false">IF(P80="","",IF(COUNTIF(참가자!$A$3:$A$52,P80)=0,"명단에 없는 코드",""))</f>
        <v/>
      </c>
    </row>
    <row r="81" customFormat="false" ht="15" hidden="false" customHeight="false" outlineLevel="0" collapsed="false">
      <c r="K81" s="8"/>
      <c r="L81" s="8"/>
      <c r="M81" s="8"/>
      <c r="N81" s="8"/>
      <c r="P81" s="0" t="str">
        <f aca="false">IF(TRIM(K81&amp;"")="","",UPPER(TRIM(K81&amp;"")))</f>
        <v/>
      </c>
      <c r="Q81" s="0" t="str">
        <f aca="false">IF(P81="","",IF(ISNUMBER(N81),ROUND(N81,1),IF(AND(ISNUMBER(L81),ISNUMBER(M81)),IF(M81&gt;0,ROUND(L81/M81*100,1),""),"")))</f>
        <v/>
      </c>
      <c r="R81" s="0" t="str">
        <f aca="false">IF(P81="","",IF(COUNTIF(참가자!$A$3:$A$52,P81)=0,"명단에 없는 코드",""))</f>
        <v/>
      </c>
    </row>
    <row r="82" customFormat="false" ht="15" hidden="false" customHeight="false" outlineLevel="0" collapsed="false">
      <c r="K82" s="8"/>
      <c r="L82" s="8"/>
      <c r="M82" s="8"/>
      <c r="N82" s="8"/>
      <c r="P82" s="0" t="str">
        <f aca="false">IF(TRIM(K82&amp;"")="","",UPPER(TRIM(K82&amp;"")))</f>
        <v/>
      </c>
      <c r="Q82" s="0" t="str">
        <f aca="false">IF(P82="","",IF(ISNUMBER(N82),ROUND(N82,1),IF(AND(ISNUMBER(L82),ISNUMBER(M82)),IF(M82&gt;0,ROUND(L82/M82*100,1),""),"")))</f>
        <v/>
      </c>
      <c r="R82" s="0" t="str">
        <f aca="false">IF(P82="","",IF(COUNTIF(참가자!$A$3:$A$52,P82)=0,"명단에 없는 코드",""))</f>
        <v/>
      </c>
    </row>
    <row r="83" customFormat="false" ht="15" hidden="false" customHeight="false" outlineLevel="0" collapsed="false">
      <c r="K83" s="8"/>
      <c r="L83" s="8"/>
      <c r="M83" s="8"/>
      <c r="N83" s="8"/>
      <c r="P83" s="0" t="str">
        <f aca="false">IF(TRIM(K83&amp;"")="","",UPPER(TRIM(K83&amp;"")))</f>
        <v/>
      </c>
      <c r="Q83" s="0" t="str">
        <f aca="false">IF(P83="","",IF(ISNUMBER(N83),ROUND(N83,1),IF(AND(ISNUMBER(L83),ISNUMBER(M83)),IF(M83&gt;0,ROUND(L83/M83*100,1),""),"")))</f>
        <v/>
      </c>
      <c r="R83" s="0" t="str">
        <f aca="false">IF(P83="","",IF(COUNTIF(참가자!$A$3:$A$52,P83)=0,"명단에 없는 코드",""))</f>
        <v/>
      </c>
    </row>
    <row r="84" customFormat="false" ht="15" hidden="false" customHeight="false" outlineLevel="0" collapsed="false">
      <c r="K84" s="8"/>
      <c r="L84" s="8"/>
      <c r="M84" s="8"/>
      <c r="N84" s="8"/>
      <c r="P84" s="0" t="str">
        <f aca="false">IF(TRIM(K84&amp;"")="","",UPPER(TRIM(K84&amp;"")))</f>
        <v/>
      </c>
      <c r="Q84" s="0" t="str">
        <f aca="false">IF(P84="","",IF(ISNUMBER(N84),ROUND(N84,1),IF(AND(ISNUMBER(L84),ISNUMBER(M84)),IF(M84&gt;0,ROUND(L84/M84*100,1),""),"")))</f>
        <v/>
      </c>
      <c r="R84" s="0" t="str">
        <f aca="false">IF(P84="","",IF(COUNTIF(참가자!$A$3:$A$52,P84)=0,"명단에 없는 코드",""))</f>
        <v/>
      </c>
    </row>
    <row r="85" customFormat="false" ht="15" hidden="false" customHeight="false" outlineLevel="0" collapsed="false">
      <c r="K85" s="8"/>
      <c r="L85" s="8"/>
      <c r="M85" s="8"/>
      <c r="N85" s="8"/>
      <c r="P85" s="0" t="str">
        <f aca="false">IF(TRIM(K85&amp;"")="","",UPPER(TRIM(K85&amp;"")))</f>
        <v/>
      </c>
      <c r="Q85" s="0" t="str">
        <f aca="false">IF(P85="","",IF(ISNUMBER(N85),ROUND(N85,1),IF(AND(ISNUMBER(L85),ISNUMBER(M85)),IF(M85&gt;0,ROUND(L85/M85*100,1),""),"")))</f>
        <v/>
      </c>
      <c r="R85" s="0" t="str">
        <f aca="false">IF(P85="","",IF(COUNTIF(참가자!$A$3:$A$52,P85)=0,"명단에 없는 코드",""))</f>
        <v/>
      </c>
    </row>
    <row r="86" customFormat="false" ht="15" hidden="false" customHeight="false" outlineLevel="0" collapsed="false">
      <c r="K86" s="8"/>
      <c r="L86" s="8"/>
      <c r="M86" s="8"/>
      <c r="N86" s="8"/>
      <c r="P86" s="0" t="str">
        <f aca="false">IF(TRIM(K86&amp;"")="","",UPPER(TRIM(K86&amp;"")))</f>
        <v/>
      </c>
      <c r="Q86" s="0" t="str">
        <f aca="false">IF(P86="","",IF(ISNUMBER(N86),ROUND(N86,1),IF(AND(ISNUMBER(L86),ISNUMBER(M86)),IF(M86&gt;0,ROUND(L86/M86*100,1),""),"")))</f>
        <v/>
      </c>
      <c r="R86" s="0" t="str">
        <f aca="false">IF(P86="","",IF(COUNTIF(참가자!$A$3:$A$52,P86)=0,"명단에 없는 코드",""))</f>
        <v/>
      </c>
    </row>
    <row r="87" customFormat="false" ht="15" hidden="false" customHeight="false" outlineLevel="0" collapsed="false">
      <c r="K87" s="8"/>
      <c r="L87" s="8"/>
      <c r="M87" s="8"/>
      <c r="N87" s="8"/>
      <c r="P87" s="0" t="str">
        <f aca="false">IF(TRIM(K87&amp;"")="","",UPPER(TRIM(K87&amp;"")))</f>
        <v/>
      </c>
      <c r="Q87" s="0" t="str">
        <f aca="false">IF(P87="","",IF(ISNUMBER(N87),ROUND(N87,1),IF(AND(ISNUMBER(L87),ISNUMBER(M87)),IF(M87&gt;0,ROUND(L87/M87*100,1),""),"")))</f>
        <v/>
      </c>
      <c r="R87" s="0" t="str">
        <f aca="false">IF(P87="","",IF(COUNTIF(참가자!$A$3:$A$52,P87)=0,"명단에 없는 코드",""))</f>
        <v/>
      </c>
    </row>
    <row r="88" customFormat="false" ht="15" hidden="false" customHeight="false" outlineLevel="0" collapsed="false">
      <c r="K88" s="8"/>
      <c r="L88" s="8"/>
      <c r="M88" s="8"/>
      <c r="N88" s="8"/>
      <c r="P88" s="0" t="str">
        <f aca="false">IF(TRIM(K88&amp;"")="","",UPPER(TRIM(K88&amp;"")))</f>
        <v/>
      </c>
      <c r="Q88" s="0" t="str">
        <f aca="false">IF(P88="","",IF(ISNUMBER(N88),ROUND(N88,1),IF(AND(ISNUMBER(L88),ISNUMBER(M88)),IF(M88&gt;0,ROUND(L88/M88*100,1),""),"")))</f>
        <v/>
      </c>
      <c r="R88" s="0" t="str">
        <f aca="false">IF(P88="","",IF(COUNTIF(참가자!$A$3:$A$52,P88)=0,"명단에 없는 코드",""))</f>
        <v/>
      </c>
    </row>
    <row r="89" customFormat="false" ht="15" hidden="false" customHeight="false" outlineLevel="0" collapsed="false">
      <c r="K89" s="8"/>
      <c r="L89" s="8"/>
      <c r="M89" s="8"/>
      <c r="N89" s="8"/>
      <c r="P89" s="0" t="str">
        <f aca="false">IF(TRIM(K89&amp;"")="","",UPPER(TRIM(K89&amp;"")))</f>
        <v/>
      </c>
      <c r="Q89" s="0" t="str">
        <f aca="false">IF(P89="","",IF(ISNUMBER(N89),ROUND(N89,1),IF(AND(ISNUMBER(L89),ISNUMBER(M89)),IF(M89&gt;0,ROUND(L89/M89*100,1),""),"")))</f>
        <v/>
      </c>
      <c r="R89" s="0" t="str">
        <f aca="false">IF(P89="","",IF(COUNTIF(참가자!$A$3:$A$52,P89)=0,"명단에 없는 코드",""))</f>
        <v/>
      </c>
    </row>
    <row r="90" customFormat="false" ht="15" hidden="false" customHeight="false" outlineLevel="0" collapsed="false">
      <c r="K90" s="8"/>
      <c r="L90" s="8"/>
      <c r="M90" s="8"/>
      <c r="N90" s="8"/>
      <c r="P90" s="0" t="str">
        <f aca="false">IF(TRIM(K90&amp;"")="","",UPPER(TRIM(K90&amp;"")))</f>
        <v/>
      </c>
      <c r="Q90" s="0" t="str">
        <f aca="false">IF(P90="","",IF(ISNUMBER(N90),ROUND(N90,1),IF(AND(ISNUMBER(L90),ISNUMBER(M90)),IF(M90&gt;0,ROUND(L90/M90*100,1),""),"")))</f>
        <v/>
      </c>
      <c r="R90" s="0" t="str">
        <f aca="false">IF(P90="","",IF(COUNTIF(참가자!$A$3:$A$52,P90)=0,"명단에 없는 코드",""))</f>
        <v/>
      </c>
    </row>
    <row r="91" customFormat="false" ht="15" hidden="false" customHeight="false" outlineLevel="0" collapsed="false">
      <c r="K91" s="8"/>
      <c r="L91" s="8"/>
      <c r="M91" s="8"/>
      <c r="N91" s="8"/>
      <c r="P91" s="0" t="str">
        <f aca="false">IF(TRIM(K91&amp;"")="","",UPPER(TRIM(K91&amp;"")))</f>
        <v/>
      </c>
      <c r="Q91" s="0" t="str">
        <f aca="false">IF(P91="","",IF(ISNUMBER(N91),ROUND(N91,1),IF(AND(ISNUMBER(L91),ISNUMBER(M91)),IF(M91&gt;0,ROUND(L91/M91*100,1),""),"")))</f>
        <v/>
      </c>
      <c r="R91" s="0" t="str">
        <f aca="false">IF(P91="","",IF(COUNTIF(참가자!$A$3:$A$52,P91)=0,"명단에 없는 코드",""))</f>
        <v/>
      </c>
    </row>
    <row r="92" customFormat="false" ht="15" hidden="false" customHeight="false" outlineLevel="0" collapsed="false">
      <c r="K92" s="8"/>
      <c r="L92" s="8"/>
      <c r="M92" s="8"/>
      <c r="N92" s="8"/>
      <c r="P92" s="0" t="str">
        <f aca="false">IF(TRIM(K92&amp;"")="","",UPPER(TRIM(K92&amp;"")))</f>
        <v/>
      </c>
      <c r="Q92" s="0" t="str">
        <f aca="false">IF(P92="","",IF(ISNUMBER(N92),ROUND(N92,1),IF(AND(ISNUMBER(L92),ISNUMBER(M92)),IF(M92&gt;0,ROUND(L92/M92*100,1),""),"")))</f>
        <v/>
      </c>
      <c r="R92" s="0" t="str">
        <f aca="false">IF(P92="","",IF(COUNTIF(참가자!$A$3:$A$52,P92)=0,"명단에 없는 코드",""))</f>
        <v/>
      </c>
    </row>
    <row r="93" customFormat="false" ht="15" hidden="false" customHeight="false" outlineLevel="0" collapsed="false">
      <c r="K93" s="8"/>
      <c r="L93" s="8"/>
      <c r="M93" s="8"/>
      <c r="N93" s="8"/>
      <c r="P93" s="0" t="str">
        <f aca="false">IF(TRIM(K93&amp;"")="","",UPPER(TRIM(K93&amp;"")))</f>
        <v/>
      </c>
      <c r="Q93" s="0" t="str">
        <f aca="false">IF(P93="","",IF(ISNUMBER(N93),ROUND(N93,1),IF(AND(ISNUMBER(L93),ISNUMBER(M93)),IF(M93&gt;0,ROUND(L93/M93*100,1),""),"")))</f>
        <v/>
      </c>
      <c r="R93" s="0" t="str">
        <f aca="false">IF(P93="","",IF(COUNTIF(참가자!$A$3:$A$52,P93)=0,"명단에 없는 코드",""))</f>
        <v/>
      </c>
    </row>
    <row r="94" customFormat="false" ht="15" hidden="false" customHeight="false" outlineLevel="0" collapsed="false">
      <c r="K94" s="8"/>
      <c r="L94" s="8"/>
      <c r="M94" s="8"/>
      <c r="N94" s="8"/>
      <c r="P94" s="0" t="str">
        <f aca="false">IF(TRIM(K94&amp;"")="","",UPPER(TRIM(K94&amp;"")))</f>
        <v/>
      </c>
      <c r="Q94" s="0" t="str">
        <f aca="false">IF(P94="","",IF(ISNUMBER(N94),ROUND(N94,1),IF(AND(ISNUMBER(L94),ISNUMBER(M94)),IF(M94&gt;0,ROUND(L94/M94*100,1),""),"")))</f>
        <v/>
      </c>
      <c r="R94" s="0" t="str">
        <f aca="false">IF(P94="","",IF(COUNTIF(참가자!$A$3:$A$52,P94)=0,"명단에 없는 코드",""))</f>
        <v/>
      </c>
    </row>
    <row r="95" customFormat="false" ht="15" hidden="false" customHeight="false" outlineLevel="0" collapsed="false">
      <c r="K95" s="8"/>
      <c r="L95" s="8"/>
      <c r="M95" s="8"/>
      <c r="N95" s="8"/>
      <c r="P95" s="0" t="str">
        <f aca="false">IF(TRIM(K95&amp;"")="","",UPPER(TRIM(K95&amp;"")))</f>
        <v/>
      </c>
      <c r="Q95" s="0" t="str">
        <f aca="false">IF(P95="","",IF(ISNUMBER(N95),ROUND(N95,1),IF(AND(ISNUMBER(L95),ISNUMBER(M95)),IF(M95&gt;0,ROUND(L95/M95*100,1),""),"")))</f>
        <v/>
      </c>
      <c r="R95" s="0" t="str">
        <f aca="false">IF(P95="","",IF(COUNTIF(참가자!$A$3:$A$52,P95)=0,"명단에 없는 코드",""))</f>
        <v/>
      </c>
    </row>
    <row r="96" customFormat="false" ht="15" hidden="false" customHeight="false" outlineLevel="0" collapsed="false">
      <c r="K96" s="8"/>
      <c r="L96" s="8"/>
      <c r="M96" s="8"/>
      <c r="N96" s="8"/>
      <c r="P96" s="0" t="str">
        <f aca="false">IF(TRIM(K96&amp;"")="","",UPPER(TRIM(K96&amp;"")))</f>
        <v/>
      </c>
      <c r="Q96" s="0" t="str">
        <f aca="false">IF(P96="","",IF(ISNUMBER(N96),ROUND(N96,1),IF(AND(ISNUMBER(L96),ISNUMBER(M96)),IF(M96&gt;0,ROUND(L96/M96*100,1),""),"")))</f>
        <v/>
      </c>
      <c r="R96" s="0" t="str">
        <f aca="false">IF(P96="","",IF(COUNTIF(참가자!$A$3:$A$52,P96)=0,"명단에 없는 코드",""))</f>
        <v/>
      </c>
    </row>
    <row r="97" customFormat="false" ht="15" hidden="false" customHeight="false" outlineLevel="0" collapsed="false">
      <c r="K97" s="8"/>
      <c r="L97" s="8"/>
      <c r="M97" s="8"/>
      <c r="N97" s="8"/>
      <c r="P97" s="0" t="str">
        <f aca="false">IF(TRIM(K97&amp;"")="","",UPPER(TRIM(K97&amp;"")))</f>
        <v/>
      </c>
      <c r="Q97" s="0" t="str">
        <f aca="false">IF(P97="","",IF(ISNUMBER(N97),ROUND(N97,1),IF(AND(ISNUMBER(L97),ISNUMBER(M97)),IF(M97&gt;0,ROUND(L97/M97*100,1),""),"")))</f>
        <v/>
      </c>
      <c r="R97" s="0" t="str">
        <f aca="false">IF(P97="","",IF(COUNTIF(참가자!$A$3:$A$52,P97)=0,"명단에 없는 코드",""))</f>
        <v/>
      </c>
    </row>
    <row r="98" customFormat="false" ht="15" hidden="false" customHeight="false" outlineLevel="0" collapsed="false">
      <c r="K98" s="8"/>
      <c r="L98" s="8"/>
      <c r="M98" s="8"/>
      <c r="N98" s="8"/>
      <c r="P98" s="0" t="str">
        <f aca="false">IF(TRIM(K98&amp;"")="","",UPPER(TRIM(K98&amp;"")))</f>
        <v/>
      </c>
      <c r="Q98" s="0" t="str">
        <f aca="false">IF(P98="","",IF(ISNUMBER(N98),ROUND(N98,1),IF(AND(ISNUMBER(L98),ISNUMBER(M98)),IF(M98&gt;0,ROUND(L98/M98*100,1),""),"")))</f>
        <v/>
      </c>
      <c r="R98" s="0" t="str">
        <f aca="false">IF(P98="","",IF(COUNTIF(참가자!$A$3:$A$52,P98)=0,"명단에 없는 코드",""))</f>
        <v/>
      </c>
    </row>
    <row r="99" customFormat="false" ht="15" hidden="false" customHeight="false" outlineLevel="0" collapsed="false">
      <c r="K99" s="8"/>
      <c r="L99" s="8"/>
      <c r="M99" s="8"/>
      <c r="N99" s="8"/>
      <c r="P99" s="0" t="str">
        <f aca="false">IF(TRIM(K99&amp;"")="","",UPPER(TRIM(K99&amp;"")))</f>
        <v/>
      </c>
      <c r="Q99" s="0" t="str">
        <f aca="false">IF(P99="","",IF(ISNUMBER(N99),ROUND(N99,1),IF(AND(ISNUMBER(L99),ISNUMBER(M99)),IF(M99&gt;0,ROUND(L99/M99*100,1),""),"")))</f>
        <v/>
      </c>
      <c r="R99" s="0" t="str">
        <f aca="false">IF(P99="","",IF(COUNTIF(참가자!$A$3:$A$52,P99)=0,"명단에 없는 코드",""))</f>
        <v/>
      </c>
    </row>
    <row r="100" customFormat="false" ht="15" hidden="false" customHeight="false" outlineLevel="0" collapsed="false">
      <c r="K100" s="8"/>
      <c r="L100" s="8"/>
      <c r="M100" s="8"/>
      <c r="N100" s="8"/>
      <c r="P100" s="0" t="str">
        <f aca="false">IF(TRIM(K100&amp;"")="","",UPPER(TRIM(K100&amp;"")))</f>
        <v/>
      </c>
      <c r="Q100" s="0" t="str">
        <f aca="false">IF(P100="","",IF(ISNUMBER(N100),ROUND(N100,1),IF(AND(ISNUMBER(L100),ISNUMBER(M100)),IF(M100&gt;0,ROUND(L100/M100*100,1),""),"")))</f>
        <v/>
      </c>
      <c r="R100" s="0" t="str">
        <f aca="false">IF(P100="","",IF(COUNTIF(참가자!$A$3:$A$52,P100)=0,"명단에 없는 코드",""))</f>
        <v/>
      </c>
    </row>
    <row r="101" customFormat="false" ht="15" hidden="false" customHeight="false" outlineLevel="0" collapsed="false">
      <c r="K101" s="8"/>
      <c r="L101" s="8"/>
      <c r="M101" s="8"/>
      <c r="N101" s="8"/>
      <c r="P101" s="0" t="str">
        <f aca="false">IF(TRIM(K101&amp;"")="","",UPPER(TRIM(K101&amp;"")))</f>
        <v/>
      </c>
      <c r="Q101" s="0" t="str">
        <f aca="false">IF(P101="","",IF(ISNUMBER(N101),ROUND(N101,1),IF(AND(ISNUMBER(L101),ISNUMBER(M101)),IF(M101&gt;0,ROUND(L101/M101*100,1),""),"")))</f>
        <v/>
      </c>
      <c r="R101" s="0" t="str">
        <f aca="false">IF(P101="","",IF(COUNTIF(참가자!$A$3:$A$52,P101)=0,"명단에 없는 코드",""))</f>
        <v/>
      </c>
    </row>
    <row r="102" customFormat="false" ht="15" hidden="false" customHeight="false" outlineLevel="0" collapsed="false">
      <c r="K102" s="8"/>
      <c r="L102" s="8"/>
      <c r="M102" s="8"/>
      <c r="N102" s="8"/>
      <c r="P102" s="0" t="str">
        <f aca="false">IF(TRIM(K102&amp;"")="","",UPPER(TRIM(K102&amp;"")))</f>
        <v/>
      </c>
      <c r="Q102" s="0" t="str">
        <f aca="false">IF(P102="","",IF(ISNUMBER(N102),ROUND(N102,1),IF(AND(ISNUMBER(L102),ISNUMBER(M102)),IF(M102&gt;0,ROUND(L102/M102*100,1),""),"")))</f>
        <v/>
      </c>
      <c r="R102" s="0" t="str">
        <f aca="false">IF(P102="","",IF(COUNTIF(참가자!$A$3:$A$52,P102)=0,"명단에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7"/>
    <col collapsed="false" customWidth="true" hidden="false" outlineLevel="0" max="7" min="5" style="0" width="11"/>
    <col collapsed="false" customWidth="true" hidden="false" outlineLevel="0" max="8" min="8" style="0" width="9"/>
    <col collapsed="false" customWidth="true" hidden="false" outlineLevel="0" max="9" min="9" style="0" width="24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3"/>
    <col collapsed="false" customWidth="true" hidden="false" outlineLevel="0" max="17" min="16" style="0" width="12"/>
    <col collapsed="false" customWidth="true" hidden="false" outlineLevel="0" max="18" min="18" style="0" width="16"/>
  </cols>
  <sheetData>
    <row r="1" customFormat="false" ht="15" hidden="false" customHeight="false" outlineLevel="0" collapsed="false">
      <c r="A1" s="4" t="s">
        <v>30</v>
      </c>
      <c r="K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F2" s="5" t="s">
        <v>31</v>
      </c>
      <c r="G2" s="5" t="s">
        <v>32</v>
      </c>
      <c r="K2" s="6" t="s">
        <v>1</v>
      </c>
      <c r="L2" s="6" t="s">
        <v>25</v>
      </c>
      <c r="M2" s="6" t="s">
        <v>26</v>
      </c>
      <c r="N2" s="6" t="s">
        <v>22</v>
      </c>
      <c r="P2" s="2" t="s">
        <v>27</v>
      </c>
      <c r="Q2" s="2" t="s">
        <v>28</v>
      </c>
      <c r="R2" s="2" t="s">
        <v>29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IF(A3="","",IFERROR(INDEX($Q$3:$Q$102,MATCH(A3,$P$3:$P$102,0)),""))</f>
        <v>60</v>
      </c>
      <c r="D3" s="7" t="str">
        <f aca="false">IF(A3="","",IF(C3="","결석","응시"))</f>
        <v>응시</v>
      </c>
      <c r="E3" s="7" t="str">
        <f aca="false">IF(A3="","",IF(COUNTIF($P$3:$P$102,A3)&gt;1,"중복! 확인",""))</f>
        <v/>
      </c>
      <c r="F3" s="7" t="n">
        <f aca="false">IF(A3="","",IF(C3&lt;&gt;"",C3,IF(AND(USE_DIAG=1,진단!C3&lt;&gt;""),진단!C3,"")))</f>
        <v>60</v>
      </c>
      <c r="G3" s="7" t="str">
        <f aca="false">IF(A3="","",IF(C3&lt;&gt;"","평가A",IF(F3&lt;&gt;"","진단 대체","기준점수 없음")))</f>
        <v>평가A</v>
      </c>
      <c r="K3" s="8" t="s">
        <v>4</v>
      </c>
      <c r="L3" s="8" t="n">
        <v>6</v>
      </c>
      <c r="M3" s="8" t="n">
        <v>10</v>
      </c>
      <c r="N3" s="8"/>
      <c r="P3" s="0" t="str">
        <f aca="false">IF(TRIM(K3&amp;"")="","",UPPER(TRIM(K3&amp;"")))</f>
        <v>K7QM</v>
      </c>
      <c r="Q3" s="9" t="n">
        <f aca="false">IF(P3="","",IF(ISNUMBER(N3),ROUND(N3,1),IF(AND(ISNUMBER(L3),ISNUMBER(M3)),IF(M3&gt;0,ROUND(L3/M3*100,1),""),"")))</f>
        <v>60</v>
      </c>
      <c r="R3" s="0" t="str">
        <f aca="false">IF(P3="","",IF(COUNTIF(참가자!$A$3:$A$52,P3)=0,"명단에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IF(A4="","",IFERROR(INDEX($Q$3:$Q$102,MATCH(A4,$P$3:$P$102,0)),""))</f>
        <v>90</v>
      </c>
      <c r="D4" s="7" t="str">
        <f aca="false">IF(A4="","",IF(C4="","결석","응시"))</f>
        <v>응시</v>
      </c>
      <c r="E4" s="7" t="str">
        <f aca="false">IF(A4="","",IF(COUNTIF($P$3:$P$102,A4)&gt;1,"중복! 확인",""))</f>
        <v/>
      </c>
      <c r="F4" s="7" t="n">
        <f aca="false">IF(A4="","",IF(C4&lt;&gt;"",C4,IF(AND(USE_DIAG=1,진단!C4&lt;&gt;""),진단!C4,"")))</f>
        <v>90</v>
      </c>
      <c r="G4" s="7" t="str">
        <f aca="false">IF(A4="","",IF(C4&lt;&gt;"","평가A",IF(F4&lt;&gt;"","진단 대체","기준점수 없음")))</f>
        <v>평가A</v>
      </c>
      <c r="K4" s="8" t="s">
        <v>6</v>
      </c>
      <c r="L4" s="8" t="n">
        <v>9</v>
      </c>
      <c r="M4" s="8" t="n">
        <v>10</v>
      </c>
      <c r="N4" s="8"/>
      <c r="P4" s="0" t="str">
        <f aca="false">IF(TRIM(K4&amp;"")="","",UPPER(TRIM(K4&amp;"")))</f>
        <v>R4XT</v>
      </c>
      <c r="Q4" s="9" t="n">
        <f aca="false">IF(P4="","",IF(ISNUMBER(N4),ROUND(N4,1),IF(AND(ISNUMBER(L4),ISNUMBER(M4)),IF(M4&gt;0,ROUND(L4/M4*100,1),""),"")))</f>
        <v>90</v>
      </c>
      <c r="R4" s="0" t="str">
        <f aca="false">IF(P4="","",IF(COUNTIF(참가자!$A$3:$A$52,P4)=0,"명단에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IF(A5="","",IFERROR(INDEX($Q$3:$Q$102,MATCH(A5,$P$3:$P$102,0)),""))</f>
        <v>50</v>
      </c>
      <c r="D5" s="7" t="str">
        <f aca="false">IF(A5="","",IF(C5="","결석","응시"))</f>
        <v>응시</v>
      </c>
      <c r="E5" s="7" t="str">
        <f aca="false">IF(A5="","",IF(COUNTIF($P$3:$P$102,A5)&gt;1,"중복! 확인",""))</f>
        <v/>
      </c>
      <c r="F5" s="7" t="n">
        <f aca="false">IF(A5="","",IF(C5&lt;&gt;"",C5,IF(AND(USE_DIAG=1,진단!C5&lt;&gt;""),진단!C5,"")))</f>
        <v>50</v>
      </c>
      <c r="G5" s="7" t="str">
        <f aca="false">IF(A5="","",IF(C5&lt;&gt;"","평가A",IF(F5&lt;&gt;"","진단 대체","기준점수 없음")))</f>
        <v>평가A</v>
      </c>
      <c r="K5" s="8" t="s">
        <v>7</v>
      </c>
      <c r="L5" s="8" t="n">
        <v>5</v>
      </c>
      <c r="M5" s="8" t="n">
        <v>10</v>
      </c>
      <c r="N5" s="8"/>
      <c r="P5" s="0" t="str">
        <f aca="false">IF(TRIM(K5&amp;"")="","",UPPER(TRIM(K5&amp;"")))</f>
        <v>H9WC</v>
      </c>
      <c r="Q5" s="9" t="n">
        <f aca="false">IF(P5="","",IF(ISNUMBER(N5),ROUND(N5,1),IF(AND(ISNUMBER(L5),ISNUMBER(M5)),IF(M5&gt;0,ROUND(L5/M5*100,1),""),"")))</f>
        <v>50</v>
      </c>
      <c r="R5" s="0" t="str">
        <f aca="false">IF(P5="","",IF(COUNTIF(참가자!$A$3:$A$52,P5)=0,"명단에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n">
        <f aca="false">IF(A6="","",IFERROR(INDEX($Q$3:$Q$102,MATCH(A6,$P$3:$P$102,0)),""))</f>
        <v>70</v>
      </c>
      <c r="D6" s="7" t="str">
        <f aca="false">IF(A6="","",IF(C6="","결석","응시"))</f>
        <v>응시</v>
      </c>
      <c r="E6" s="7" t="str">
        <f aca="false">IF(A6="","",IF(COUNTIF($P$3:$P$102,A6)&gt;1,"중복! 확인",""))</f>
        <v/>
      </c>
      <c r="F6" s="7" t="n">
        <f aca="false">IF(A6="","",IF(C6&lt;&gt;"",C6,IF(AND(USE_DIAG=1,진단!C6&lt;&gt;""),진단!C6,"")))</f>
        <v>70</v>
      </c>
      <c r="G6" s="7" t="str">
        <f aca="false">IF(A6="","",IF(C6&lt;&gt;"","평가A",IF(F6&lt;&gt;"","진단 대체","기준점수 없음")))</f>
        <v>평가A</v>
      </c>
      <c r="K6" s="8" t="s">
        <v>8</v>
      </c>
      <c r="L6" s="8" t="n">
        <v>7</v>
      </c>
      <c r="M6" s="8" t="n">
        <v>10</v>
      </c>
      <c r="N6" s="8"/>
      <c r="P6" s="0" t="str">
        <f aca="false">IF(TRIM(K6&amp;"")="","",UPPER(TRIM(K6&amp;"")))</f>
        <v>B3NV</v>
      </c>
      <c r="Q6" s="9" t="n">
        <f aca="false">IF(P6="","",IF(ISNUMBER(N6),ROUND(N6,1),IF(AND(ISNUMBER(L6),ISNUMBER(M6)),IF(M6&gt;0,ROUND(L6/M6*100,1),""),"")))</f>
        <v>70</v>
      </c>
      <c r="R6" s="0" t="str">
        <f aca="false">IF(P6="","",IF(COUNTIF(참가자!$A$3:$A$52,P6)=0,"명단에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str">
        <f aca="false">IF(A7="","",IFERROR(INDEX($Q$3:$Q$102,MATCH(A7,$P$3:$P$102,0)),""))</f>
        <v/>
      </c>
      <c r="D7" s="7" t="str">
        <f aca="false">IF(A7="","",IF(C7="","결석","응시"))</f>
        <v>결석</v>
      </c>
      <c r="E7" s="7" t="str">
        <f aca="false">IF(A7="","",IF(COUNTIF($P$3:$P$102,A7)&gt;1,"중복! 확인",""))</f>
        <v/>
      </c>
      <c r="F7" s="7" t="n">
        <f aca="false">IF(A7="","",IF(C7&lt;&gt;"",C7,IF(AND(USE_DIAG=1,진단!C7&lt;&gt;""),진단!C7,"")))</f>
        <v>58.3</v>
      </c>
      <c r="G7" s="7" t="str">
        <f aca="false">IF(A7="","",IF(C7&lt;&gt;"","평가A",IF(F7&lt;&gt;"","진단 대체","기준점수 없음")))</f>
        <v>진단 대체</v>
      </c>
      <c r="K7" s="8" t="s">
        <v>11</v>
      </c>
      <c r="L7" s="8" t="n">
        <v>8</v>
      </c>
      <c r="M7" s="8" t="n">
        <v>10</v>
      </c>
      <c r="N7" s="8"/>
      <c r="P7" s="0" t="str">
        <f aca="false">IF(TRIM(K7&amp;"")="","",UPPER(TRIM(K7&amp;"")))</f>
        <v>M2PF</v>
      </c>
      <c r="Q7" s="9" t="n">
        <f aca="false">IF(P7="","",IF(ISNUMBER(N7),ROUND(N7,1),IF(AND(ISNUMBER(L7),ISNUMBER(M7)),IF(M7&gt;0,ROUND(L7/M7*100,1),""),"")))</f>
        <v>80</v>
      </c>
      <c r="R7" s="0" t="str">
        <f aca="false">IF(P7="","",IF(COUNTIF(참가자!$A$3:$A$52,P7)=0,"명단에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IF(A8="","",IFERROR(INDEX($Q$3:$Q$102,MATCH(A8,$P$3:$P$102,0)),""))</f>
        <v>80</v>
      </c>
      <c r="D8" s="7" t="str">
        <f aca="false">IF(A8="","",IF(C8="","결석","응시"))</f>
        <v>응시</v>
      </c>
      <c r="E8" s="7" t="str">
        <f aca="false">IF(A8="","",IF(COUNTIF($P$3:$P$102,A8)&gt;1,"중복! 확인",""))</f>
        <v/>
      </c>
      <c r="F8" s="7" t="n">
        <f aca="false">IF(A8="","",IF(C8&lt;&gt;"",C8,IF(AND(USE_DIAG=1,진단!C8&lt;&gt;""),진단!C8,"")))</f>
        <v>80</v>
      </c>
      <c r="G8" s="7" t="str">
        <f aca="false">IF(A8="","",IF(C8&lt;&gt;"","평가A",IF(F8&lt;&gt;"","진단 대체","기준점수 없음")))</f>
        <v>평가A</v>
      </c>
      <c r="K8" s="8" t="s">
        <v>12</v>
      </c>
      <c r="L8" s="8" t="n">
        <v>4</v>
      </c>
      <c r="M8" s="8" t="n">
        <v>10</v>
      </c>
      <c r="N8" s="8"/>
      <c r="P8" s="0" t="str">
        <f aca="false">IF(TRIM(K8&amp;"")="","",UPPER(TRIM(K8&amp;"")))</f>
        <v>T6YH</v>
      </c>
      <c r="Q8" s="9" t="n">
        <f aca="false">IF(P8="","",IF(ISNUMBER(N8),ROUND(N8,1),IF(AND(ISNUMBER(L8),ISNUMBER(M8)),IF(M8&gt;0,ROUND(L8/M8*100,1),""),"")))</f>
        <v>40</v>
      </c>
      <c r="R8" s="0" t="str">
        <f aca="false">IF(P8="","",IF(COUNTIF(참가자!$A$3:$A$52,P8)=0,"명단에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IF(A9="","",IFERROR(INDEX($Q$3:$Q$102,MATCH(A9,$P$3:$P$102,0)),""))</f>
        <v>40</v>
      </c>
      <c r="D9" s="7" t="str">
        <f aca="false">IF(A9="","",IF(C9="","결석","응시"))</f>
        <v>응시</v>
      </c>
      <c r="E9" s="7" t="str">
        <f aca="false">IF(A9="","",IF(COUNTIF($P$3:$P$102,A9)&gt;1,"중복! 확인",""))</f>
        <v/>
      </c>
      <c r="F9" s="7" t="n">
        <f aca="false">IF(A9="","",IF(C9&lt;&gt;"",C9,IF(AND(USE_DIAG=1,진단!C9&lt;&gt;""),진단!C9,"")))</f>
        <v>40</v>
      </c>
      <c r="G9" s="7" t="str">
        <f aca="false">IF(A9="","",IF(C9&lt;&gt;"","평가A",IF(F9&lt;&gt;"","진단 대체","기준점수 없음")))</f>
        <v>평가A</v>
      </c>
      <c r="K9" s="8" t="s">
        <v>14</v>
      </c>
      <c r="L9" s="8" t="n">
        <v>10</v>
      </c>
      <c r="M9" s="8" t="n">
        <v>10</v>
      </c>
      <c r="N9" s="8"/>
      <c r="P9" s="0" t="str">
        <f aca="false">IF(TRIM(K9&amp;"")="","",UPPER(TRIM(K9&amp;"")))</f>
        <v>C5JR</v>
      </c>
      <c r="Q9" s="9" t="n">
        <f aca="false">IF(P9="","",IF(ISNUMBER(N9),ROUND(N9,1),IF(AND(ISNUMBER(L9),ISNUMBER(M9)),IF(M9&gt;0,ROUND(L9/M9*100,1),""),"")))</f>
        <v>100</v>
      </c>
      <c r="R9" s="0" t="str">
        <f aca="false">IF(P9="","",IF(COUNTIF(참가자!$A$3:$A$52,P9)=0,"명단에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IF(A10="","",IFERROR(INDEX($Q$3:$Q$102,MATCH(A10,$P$3:$P$102,0)),""))</f>
        <v>100</v>
      </c>
      <c r="D10" s="7" t="str">
        <f aca="false">IF(A10="","",IF(C10="","결석","응시"))</f>
        <v>응시</v>
      </c>
      <c r="E10" s="7" t="str">
        <f aca="false">IF(A10="","",IF(COUNTIF($P$3:$P$102,A10)&gt;1,"중복! 확인",""))</f>
        <v/>
      </c>
      <c r="F10" s="7" t="n">
        <f aca="false">IF(A10="","",IF(C10&lt;&gt;"",C10,IF(AND(USE_DIAG=1,진단!C10&lt;&gt;""),진단!C10,"")))</f>
        <v>100</v>
      </c>
      <c r="G10" s="7" t="str">
        <f aca="false">IF(A10="","",IF(C10&lt;&gt;"","평가A",IF(F10&lt;&gt;"","진단 대체","기준점수 없음")))</f>
        <v>평가A</v>
      </c>
      <c r="K10" s="8" t="s">
        <v>15</v>
      </c>
      <c r="L10" s="8" t="n">
        <v>6</v>
      </c>
      <c r="M10" s="8" t="n">
        <v>10</v>
      </c>
      <c r="N10" s="8"/>
      <c r="P10" s="0" t="str">
        <f aca="false">IF(TRIM(K10&amp;"")="","",UPPER(TRIM(K10&amp;"")))</f>
        <v>W3KE</v>
      </c>
      <c r="Q10" s="9" t="n">
        <f aca="false">IF(P10="","",IF(ISNUMBER(N10),ROUND(N10,1),IF(AND(ISNUMBER(L10),ISNUMBER(M10)),IF(M10&gt;0,ROUND(L10/M10*100,1),""),"")))</f>
        <v>60</v>
      </c>
      <c r="R10" s="0" t="str">
        <f aca="false">IF(P10="","",IF(COUNTIF(참가자!$A$3:$A$52,P10)=0,"명단에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IF(A11="","",IFERROR(INDEX($Q$3:$Q$102,MATCH(A11,$P$3:$P$102,0)),""))</f>
        <v>60</v>
      </c>
      <c r="D11" s="7" t="str">
        <f aca="false">IF(A11="","",IF(C11="","결석","응시"))</f>
        <v>응시</v>
      </c>
      <c r="E11" s="7" t="str">
        <f aca="false">IF(A11="","",IF(COUNTIF($P$3:$P$102,A11)&gt;1,"중복! 확인",""))</f>
        <v/>
      </c>
      <c r="F11" s="7" t="n">
        <f aca="false">IF(A11="","",IF(C11&lt;&gt;"",C11,IF(AND(USE_DIAG=1,진단!C11&lt;&gt;""),진단!C11,"")))</f>
        <v>60</v>
      </c>
      <c r="G11" s="7" t="str">
        <f aca="false">IF(A11="","",IF(C11&lt;&gt;"","평가A",IF(F11&lt;&gt;"","진단 대체","기준점수 없음")))</f>
        <v>평가A</v>
      </c>
      <c r="K11" s="8" t="s">
        <v>16</v>
      </c>
      <c r="L11" s="8" t="n">
        <v>7</v>
      </c>
      <c r="M11" s="8" t="n">
        <v>10</v>
      </c>
      <c r="N11" s="8"/>
      <c r="P11" s="0" t="str">
        <f aca="false">IF(TRIM(K11&amp;"")="","",UPPER(TRIM(K11&amp;"")))</f>
        <v>F8UA</v>
      </c>
      <c r="Q11" s="9" t="n">
        <f aca="false">IF(P11="","",IF(ISNUMBER(N11),ROUND(N11,1),IF(AND(ISNUMBER(L11),ISNUMBER(M11)),IF(M11&gt;0,ROUND(L11/M11*100,1),""),"")))</f>
        <v>70</v>
      </c>
      <c r="R11" s="0" t="str">
        <f aca="false">IF(P11="","",IF(COUNTIF(참가자!$A$3:$A$52,P11)=0,"명단에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IF(A12="","",IFERROR(INDEX($Q$3:$Q$102,MATCH(A12,$P$3:$P$102,0)),""))</f>
        <v>70</v>
      </c>
      <c r="D12" s="7" t="str">
        <f aca="false">IF(A12="","",IF(C12="","결석","응시"))</f>
        <v>응시</v>
      </c>
      <c r="E12" s="7" t="str">
        <f aca="false">IF(A12="","",IF(COUNTIF($P$3:$P$102,A12)&gt;1,"중복! 확인",""))</f>
        <v/>
      </c>
      <c r="F12" s="7" t="n">
        <f aca="false">IF(A12="","",IF(C12&lt;&gt;"",C12,IF(AND(USE_DIAG=1,진단!C12&lt;&gt;""),진단!C12,"")))</f>
        <v>70</v>
      </c>
      <c r="G12" s="7" t="str">
        <f aca="false">IF(A12="","",IF(C12&lt;&gt;"","평가A",IF(F12&lt;&gt;"","진단 대체","기준점수 없음")))</f>
        <v>평가A</v>
      </c>
      <c r="K12" s="8" t="s">
        <v>19</v>
      </c>
      <c r="L12" s="8" t="n">
        <v>6</v>
      </c>
      <c r="M12" s="8" t="n">
        <v>10</v>
      </c>
      <c r="N12" s="8"/>
      <c r="P12" s="0" t="str">
        <f aca="false">IF(TRIM(K12&amp;"")="","",UPPER(TRIM(K12&amp;"")))</f>
        <v>D7VB</v>
      </c>
      <c r="Q12" s="9" t="n">
        <f aca="false">IF(P12="","",IF(ISNUMBER(N12),ROUND(N12,1),IF(AND(ISNUMBER(L12),ISNUMBER(M12)),IF(M12&gt;0,ROUND(L12/M12*100,1),""),"")))</f>
        <v>60</v>
      </c>
      <c r="R12" s="0" t="str">
        <f aca="false">IF(P12="","",IF(COUNTIF(참가자!$A$3:$A$52,P12)=0,"명단에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str">
        <f aca="false">IF(A13="","",IFERROR(INDEX($Q$3:$Q$102,MATCH(A13,$P$3:$P$102,0)),""))</f>
        <v/>
      </c>
      <c r="D13" s="7" t="str">
        <f aca="false">IF(A13="","",IF(C13="","결석","응시"))</f>
        <v>결석</v>
      </c>
      <c r="E13" s="7" t="str">
        <f aca="false">IF(A13="","",IF(COUNTIF($P$3:$P$102,A13)&gt;1,"중복! 확인",""))</f>
        <v/>
      </c>
      <c r="F13" s="7" t="str">
        <f aca="false">IF(A13="","",IF(C13&lt;&gt;"",C13,IF(AND(USE_DIAG=1,진단!C13&lt;&gt;""),진단!C13,"")))</f>
        <v/>
      </c>
      <c r="G13" s="7" t="str">
        <f aca="false">IF(A13="","",IF(C13&lt;&gt;"","평가A",IF(F13&lt;&gt;"","진단 대체","기준점수 없음")))</f>
        <v>기준점수 없음</v>
      </c>
      <c r="K13" s="8"/>
      <c r="L13" s="8"/>
      <c r="M13" s="8"/>
      <c r="N13" s="8"/>
      <c r="P13" s="0" t="str">
        <f aca="false">IF(TRIM(K13&amp;"")="","",UPPER(TRIM(K13&amp;"")))</f>
        <v/>
      </c>
      <c r="Q13" s="0" t="str">
        <f aca="false">IF(P13="","",IF(ISNUMBER(N13),ROUND(N13,1),IF(AND(ISNUMBER(L13),ISNUMBER(M13)),IF(M13&gt;0,ROUND(L13/M13*100,1),""),"")))</f>
        <v/>
      </c>
      <c r="R13" s="0" t="str">
        <f aca="false">IF(P13="","",IF(COUNTIF(참가자!$A$3:$A$52,P13)=0,"명단에 없는 코드",""))</f>
        <v/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n">
        <f aca="false">IF(A14="","",IFERROR(INDEX($Q$3:$Q$102,MATCH(A14,$P$3:$P$102,0)),""))</f>
        <v>60</v>
      </c>
      <c r="D14" s="7" t="str">
        <f aca="false">IF(A14="","",IF(C14="","결석","응시"))</f>
        <v>응시</v>
      </c>
      <c r="E14" s="7" t="str">
        <f aca="false">IF(A14="","",IF(COUNTIF($P$3:$P$102,A14)&gt;1,"중복! 확인",""))</f>
        <v/>
      </c>
      <c r="F14" s="7" t="n">
        <f aca="false">IF(A14="","",IF(C14&lt;&gt;"",C14,IF(AND(USE_DIAG=1,진단!C14&lt;&gt;""),진단!C14,"")))</f>
        <v>60</v>
      </c>
      <c r="G14" s="7" t="str">
        <f aca="false">IF(A14="","",IF(C14&lt;&gt;"","평가A",IF(F14&lt;&gt;"","진단 대체","기준점수 없음")))</f>
        <v>평가A</v>
      </c>
      <c r="K14" s="8"/>
      <c r="L14" s="8"/>
      <c r="M14" s="8"/>
      <c r="N14" s="8"/>
      <c r="P14" s="0" t="str">
        <f aca="false">IF(TRIM(K14&amp;"")="","",UPPER(TRIM(K14&amp;"")))</f>
        <v/>
      </c>
      <c r="Q14" s="0" t="str">
        <f aca="false">IF(P14="","",IF(ISNUMBER(N14),ROUND(N14,1),IF(AND(ISNUMBER(L14),ISNUMBER(M14)),IF(M14&gt;0,ROUND(L14/M14*100,1),""),"")))</f>
        <v/>
      </c>
      <c r="R14" s="0" t="str">
        <f aca="false">IF(P14="","",IF(COUNTIF(참가자!$A$3:$A$52,P14)=0,"명단에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IF(A15="","",IFERROR(INDEX($Q$3:$Q$102,MATCH(A15,$P$3:$P$102,0)),""))</f>
        <v/>
      </c>
      <c r="D15" s="7" t="str">
        <f aca="false">IF(A15="","",IF(C15="","결석","응시"))</f>
        <v/>
      </c>
      <c r="E15" s="7" t="str">
        <f aca="false">IF(A15="","",IF(COUNTIF($P$3:$P$102,A15)&gt;1,"중복! 확인",""))</f>
        <v/>
      </c>
      <c r="F15" s="7" t="str">
        <f aca="false">IF(A15="","",IF(C15&lt;&gt;"",C15,IF(AND(USE_DIAG=1,진단!C15&lt;&gt;""),진단!C15,"")))</f>
        <v/>
      </c>
      <c r="G15" s="7" t="str">
        <f aca="false">IF(A15="","",IF(C15&lt;&gt;"","평가A",IF(F15&lt;&gt;"","진단 대체","기준점수 없음")))</f>
        <v/>
      </c>
      <c r="K15" s="8"/>
      <c r="L15" s="8"/>
      <c r="M15" s="8"/>
      <c r="N15" s="8"/>
      <c r="P15" s="0" t="str">
        <f aca="false">IF(TRIM(K15&amp;"")="","",UPPER(TRIM(K15&amp;"")))</f>
        <v/>
      </c>
      <c r="Q15" s="0" t="str">
        <f aca="false">IF(P15="","",IF(ISNUMBER(N15),ROUND(N15,1),IF(AND(ISNUMBER(L15),ISNUMBER(M15)),IF(M15&gt;0,ROUND(L15/M15*100,1),""),"")))</f>
        <v/>
      </c>
      <c r="R15" s="0" t="str">
        <f aca="false">IF(P15="","",IF(COUNTIF(참가자!$A$3:$A$52,P15)=0,"명단에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IF(A16="","",IFERROR(INDEX($Q$3:$Q$102,MATCH(A16,$P$3:$P$102,0)),""))</f>
        <v/>
      </c>
      <c r="D16" s="7" t="str">
        <f aca="false">IF(A16="","",IF(C16="","결석","응시"))</f>
        <v/>
      </c>
      <c r="E16" s="7" t="str">
        <f aca="false">IF(A16="","",IF(COUNTIF($P$3:$P$102,A16)&gt;1,"중복! 확인",""))</f>
        <v/>
      </c>
      <c r="F16" s="7" t="str">
        <f aca="false">IF(A16="","",IF(C16&lt;&gt;"",C16,IF(AND(USE_DIAG=1,진단!C16&lt;&gt;""),진단!C16,"")))</f>
        <v/>
      </c>
      <c r="G16" s="7" t="str">
        <f aca="false">IF(A16="","",IF(C16&lt;&gt;"","평가A",IF(F16&lt;&gt;"","진단 대체","기준점수 없음")))</f>
        <v/>
      </c>
      <c r="K16" s="8"/>
      <c r="L16" s="8"/>
      <c r="M16" s="8"/>
      <c r="N16" s="8"/>
      <c r="P16" s="0" t="str">
        <f aca="false">IF(TRIM(K16&amp;"")="","",UPPER(TRIM(K16&amp;"")))</f>
        <v/>
      </c>
      <c r="Q16" s="0" t="str">
        <f aca="false">IF(P16="","",IF(ISNUMBER(N16),ROUND(N16,1),IF(AND(ISNUMBER(L16),ISNUMBER(M16)),IF(M16&gt;0,ROUND(L16/M16*100,1),""),"")))</f>
        <v/>
      </c>
      <c r="R16" s="0" t="str">
        <f aca="false">IF(P16="","",IF(COUNTIF(참가자!$A$3:$A$52,P16)=0,"명단에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IF(A17="","",IFERROR(INDEX($Q$3:$Q$102,MATCH(A17,$P$3:$P$102,0)),""))</f>
        <v/>
      </c>
      <c r="D17" s="7" t="str">
        <f aca="false">IF(A17="","",IF(C17="","결석","응시"))</f>
        <v/>
      </c>
      <c r="E17" s="7" t="str">
        <f aca="false">IF(A17="","",IF(COUNTIF($P$3:$P$102,A17)&gt;1,"중복! 확인",""))</f>
        <v/>
      </c>
      <c r="F17" s="7" t="str">
        <f aca="false">IF(A17="","",IF(C17&lt;&gt;"",C17,IF(AND(USE_DIAG=1,진단!C17&lt;&gt;""),진단!C17,"")))</f>
        <v/>
      </c>
      <c r="G17" s="7" t="str">
        <f aca="false">IF(A17="","",IF(C17&lt;&gt;"","평가A",IF(F17&lt;&gt;"","진단 대체","기준점수 없음")))</f>
        <v/>
      </c>
      <c r="K17" s="8"/>
      <c r="L17" s="8"/>
      <c r="M17" s="8"/>
      <c r="N17" s="8"/>
      <c r="P17" s="0" t="str">
        <f aca="false">IF(TRIM(K17&amp;"")="","",UPPER(TRIM(K17&amp;"")))</f>
        <v/>
      </c>
      <c r="Q17" s="0" t="str">
        <f aca="false">IF(P17="","",IF(ISNUMBER(N17),ROUND(N17,1),IF(AND(ISNUMBER(L17),ISNUMBER(M17)),IF(M17&gt;0,ROUND(L17/M17*100,1),""),"")))</f>
        <v/>
      </c>
      <c r="R17" s="0" t="str">
        <f aca="false">IF(P17="","",IF(COUNTIF(참가자!$A$3:$A$52,P17)=0,"명단에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IF(A18="","",IFERROR(INDEX($Q$3:$Q$102,MATCH(A18,$P$3:$P$102,0)),""))</f>
        <v/>
      </c>
      <c r="D18" s="7" t="str">
        <f aca="false">IF(A18="","",IF(C18="","결석","응시"))</f>
        <v/>
      </c>
      <c r="E18" s="7" t="str">
        <f aca="false">IF(A18="","",IF(COUNTIF($P$3:$P$102,A18)&gt;1,"중복! 확인",""))</f>
        <v/>
      </c>
      <c r="F18" s="7" t="str">
        <f aca="false">IF(A18="","",IF(C18&lt;&gt;"",C18,IF(AND(USE_DIAG=1,진단!C18&lt;&gt;""),진단!C18,"")))</f>
        <v/>
      </c>
      <c r="G18" s="7" t="str">
        <f aca="false">IF(A18="","",IF(C18&lt;&gt;"","평가A",IF(F18&lt;&gt;"","진단 대체","기준점수 없음")))</f>
        <v/>
      </c>
      <c r="K18" s="8"/>
      <c r="L18" s="8"/>
      <c r="M18" s="8"/>
      <c r="N18" s="8"/>
      <c r="P18" s="0" t="str">
        <f aca="false">IF(TRIM(K18&amp;"")="","",UPPER(TRIM(K18&amp;"")))</f>
        <v/>
      </c>
      <c r="Q18" s="0" t="str">
        <f aca="false">IF(P18="","",IF(ISNUMBER(N18),ROUND(N18,1),IF(AND(ISNUMBER(L18),ISNUMBER(M18)),IF(M18&gt;0,ROUND(L18/M18*100,1),""),"")))</f>
        <v/>
      </c>
      <c r="R18" s="0" t="str">
        <f aca="false">IF(P18="","",IF(COUNTIF(참가자!$A$3:$A$52,P18)=0,"명단에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IF(A19="","",IFERROR(INDEX($Q$3:$Q$102,MATCH(A19,$P$3:$P$102,0)),""))</f>
        <v/>
      </c>
      <c r="D19" s="7" t="str">
        <f aca="false">IF(A19="","",IF(C19="","결석","응시"))</f>
        <v/>
      </c>
      <c r="E19" s="7" t="str">
        <f aca="false">IF(A19="","",IF(COUNTIF($P$3:$P$102,A19)&gt;1,"중복! 확인",""))</f>
        <v/>
      </c>
      <c r="F19" s="7" t="str">
        <f aca="false">IF(A19="","",IF(C19&lt;&gt;"",C19,IF(AND(USE_DIAG=1,진단!C19&lt;&gt;""),진단!C19,"")))</f>
        <v/>
      </c>
      <c r="G19" s="7" t="str">
        <f aca="false">IF(A19="","",IF(C19&lt;&gt;"","평가A",IF(F19&lt;&gt;"","진단 대체","기준점수 없음")))</f>
        <v/>
      </c>
      <c r="K19" s="8"/>
      <c r="L19" s="8"/>
      <c r="M19" s="8"/>
      <c r="N19" s="8"/>
      <c r="P19" s="0" t="str">
        <f aca="false">IF(TRIM(K19&amp;"")="","",UPPER(TRIM(K19&amp;"")))</f>
        <v/>
      </c>
      <c r="Q19" s="0" t="str">
        <f aca="false">IF(P19="","",IF(ISNUMBER(N19),ROUND(N19,1),IF(AND(ISNUMBER(L19),ISNUMBER(M19)),IF(M19&gt;0,ROUND(L19/M19*100,1),""),"")))</f>
        <v/>
      </c>
      <c r="R19" s="0" t="str">
        <f aca="false">IF(P19="","",IF(COUNTIF(참가자!$A$3:$A$52,P19)=0,"명단에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IF(A20="","",IFERROR(INDEX($Q$3:$Q$102,MATCH(A20,$P$3:$P$102,0)),""))</f>
        <v/>
      </c>
      <c r="D20" s="7" t="str">
        <f aca="false">IF(A20="","",IF(C20="","결석","응시"))</f>
        <v/>
      </c>
      <c r="E20" s="7" t="str">
        <f aca="false">IF(A20="","",IF(COUNTIF($P$3:$P$102,A20)&gt;1,"중복! 확인",""))</f>
        <v/>
      </c>
      <c r="F20" s="7" t="str">
        <f aca="false">IF(A20="","",IF(C20&lt;&gt;"",C20,IF(AND(USE_DIAG=1,진단!C20&lt;&gt;""),진단!C20,"")))</f>
        <v/>
      </c>
      <c r="G20" s="7" t="str">
        <f aca="false">IF(A20="","",IF(C20&lt;&gt;"","평가A",IF(F20&lt;&gt;"","진단 대체","기준점수 없음")))</f>
        <v/>
      </c>
      <c r="K20" s="8"/>
      <c r="L20" s="8"/>
      <c r="M20" s="8"/>
      <c r="N20" s="8"/>
      <c r="P20" s="0" t="str">
        <f aca="false">IF(TRIM(K20&amp;"")="","",UPPER(TRIM(K20&amp;"")))</f>
        <v/>
      </c>
      <c r="Q20" s="0" t="str">
        <f aca="false">IF(P20="","",IF(ISNUMBER(N20),ROUND(N20,1),IF(AND(ISNUMBER(L20),ISNUMBER(M20)),IF(M20&gt;0,ROUND(L20/M20*100,1),""),"")))</f>
        <v/>
      </c>
      <c r="R20" s="0" t="str">
        <f aca="false">IF(P20="","",IF(COUNTIF(참가자!$A$3:$A$52,P20)=0,"명단에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IF(A21="","",IFERROR(INDEX($Q$3:$Q$102,MATCH(A21,$P$3:$P$102,0)),""))</f>
        <v/>
      </c>
      <c r="D21" s="7" t="str">
        <f aca="false">IF(A21="","",IF(C21="","결석","응시"))</f>
        <v/>
      </c>
      <c r="E21" s="7" t="str">
        <f aca="false">IF(A21="","",IF(COUNTIF($P$3:$P$102,A21)&gt;1,"중복! 확인",""))</f>
        <v/>
      </c>
      <c r="F21" s="7" t="str">
        <f aca="false">IF(A21="","",IF(C21&lt;&gt;"",C21,IF(AND(USE_DIAG=1,진단!C21&lt;&gt;""),진단!C21,"")))</f>
        <v/>
      </c>
      <c r="G21" s="7" t="str">
        <f aca="false">IF(A21="","",IF(C21&lt;&gt;"","평가A",IF(F21&lt;&gt;"","진단 대체","기준점수 없음")))</f>
        <v/>
      </c>
      <c r="K21" s="8"/>
      <c r="L21" s="8"/>
      <c r="M21" s="8"/>
      <c r="N21" s="8"/>
      <c r="P21" s="0" t="str">
        <f aca="false">IF(TRIM(K21&amp;"")="","",UPPER(TRIM(K21&amp;"")))</f>
        <v/>
      </c>
      <c r="Q21" s="0" t="str">
        <f aca="false">IF(P21="","",IF(ISNUMBER(N21),ROUND(N21,1),IF(AND(ISNUMBER(L21),ISNUMBER(M21)),IF(M21&gt;0,ROUND(L21/M21*100,1),""),"")))</f>
        <v/>
      </c>
      <c r="R21" s="0" t="str">
        <f aca="false">IF(P21="","",IF(COUNTIF(참가자!$A$3:$A$52,P21)=0,"명단에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IF(A22="","",IFERROR(INDEX($Q$3:$Q$102,MATCH(A22,$P$3:$P$102,0)),""))</f>
        <v/>
      </c>
      <c r="D22" s="7" t="str">
        <f aca="false">IF(A22="","",IF(C22="","결석","응시"))</f>
        <v/>
      </c>
      <c r="E22" s="7" t="str">
        <f aca="false">IF(A22="","",IF(COUNTIF($P$3:$P$102,A22)&gt;1,"중복! 확인",""))</f>
        <v/>
      </c>
      <c r="F22" s="7" t="str">
        <f aca="false">IF(A22="","",IF(C22&lt;&gt;"",C22,IF(AND(USE_DIAG=1,진단!C22&lt;&gt;""),진단!C22,"")))</f>
        <v/>
      </c>
      <c r="G22" s="7" t="str">
        <f aca="false">IF(A22="","",IF(C22&lt;&gt;"","평가A",IF(F22&lt;&gt;"","진단 대체","기준점수 없음")))</f>
        <v/>
      </c>
      <c r="K22" s="8"/>
      <c r="L22" s="8"/>
      <c r="M22" s="8"/>
      <c r="N22" s="8"/>
      <c r="P22" s="0" t="str">
        <f aca="false">IF(TRIM(K22&amp;"")="","",UPPER(TRIM(K22&amp;"")))</f>
        <v/>
      </c>
      <c r="Q22" s="0" t="str">
        <f aca="false">IF(P22="","",IF(ISNUMBER(N22),ROUND(N22,1),IF(AND(ISNUMBER(L22),ISNUMBER(M22)),IF(M22&gt;0,ROUND(L22/M22*100,1),""),"")))</f>
        <v/>
      </c>
      <c r="R22" s="0" t="str">
        <f aca="false">IF(P22="","",IF(COUNTIF(참가자!$A$3:$A$52,P22)=0,"명단에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IF(A23="","",IFERROR(INDEX($Q$3:$Q$102,MATCH(A23,$P$3:$P$102,0)),""))</f>
        <v/>
      </c>
      <c r="D23" s="7" t="str">
        <f aca="false">IF(A23="","",IF(C23="","결석","응시"))</f>
        <v/>
      </c>
      <c r="E23" s="7" t="str">
        <f aca="false">IF(A23="","",IF(COUNTIF($P$3:$P$102,A23)&gt;1,"중복! 확인",""))</f>
        <v/>
      </c>
      <c r="F23" s="7" t="str">
        <f aca="false">IF(A23="","",IF(C23&lt;&gt;"",C23,IF(AND(USE_DIAG=1,진단!C23&lt;&gt;""),진단!C23,"")))</f>
        <v/>
      </c>
      <c r="G23" s="7" t="str">
        <f aca="false">IF(A23="","",IF(C23&lt;&gt;"","평가A",IF(F23&lt;&gt;"","진단 대체","기준점수 없음")))</f>
        <v/>
      </c>
      <c r="K23" s="8"/>
      <c r="L23" s="8"/>
      <c r="M23" s="8"/>
      <c r="N23" s="8"/>
      <c r="P23" s="0" t="str">
        <f aca="false">IF(TRIM(K23&amp;"")="","",UPPER(TRIM(K23&amp;"")))</f>
        <v/>
      </c>
      <c r="Q23" s="0" t="str">
        <f aca="false">IF(P23="","",IF(ISNUMBER(N23),ROUND(N23,1),IF(AND(ISNUMBER(L23),ISNUMBER(M23)),IF(M23&gt;0,ROUND(L23/M23*100,1),""),"")))</f>
        <v/>
      </c>
      <c r="R23" s="0" t="str">
        <f aca="false">IF(P23="","",IF(COUNTIF(참가자!$A$3:$A$52,P23)=0,"명단에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IF(A24="","",IFERROR(INDEX($Q$3:$Q$102,MATCH(A24,$P$3:$P$102,0)),""))</f>
        <v/>
      </c>
      <c r="D24" s="7" t="str">
        <f aca="false">IF(A24="","",IF(C24="","결석","응시"))</f>
        <v/>
      </c>
      <c r="E24" s="7" t="str">
        <f aca="false">IF(A24="","",IF(COUNTIF($P$3:$P$102,A24)&gt;1,"중복! 확인",""))</f>
        <v/>
      </c>
      <c r="F24" s="7" t="str">
        <f aca="false">IF(A24="","",IF(C24&lt;&gt;"",C24,IF(AND(USE_DIAG=1,진단!C24&lt;&gt;""),진단!C24,"")))</f>
        <v/>
      </c>
      <c r="G24" s="7" t="str">
        <f aca="false">IF(A24="","",IF(C24&lt;&gt;"","평가A",IF(F24&lt;&gt;"","진단 대체","기준점수 없음")))</f>
        <v/>
      </c>
      <c r="K24" s="8"/>
      <c r="L24" s="8"/>
      <c r="M24" s="8"/>
      <c r="N24" s="8"/>
      <c r="P24" s="0" t="str">
        <f aca="false">IF(TRIM(K24&amp;"")="","",UPPER(TRIM(K24&amp;"")))</f>
        <v/>
      </c>
      <c r="Q24" s="0" t="str">
        <f aca="false">IF(P24="","",IF(ISNUMBER(N24),ROUND(N24,1),IF(AND(ISNUMBER(L24),ISNUMBER(M24)),IF(M24&gt;0,ROUND(L24/M24*100,1),""),"")))</f>
        <v/>
      </c>
      <c r="R24" s="0" t="str">
        <f aca="false">IF(P24="","",IF(COUNTIF(참가자!$A$3:$A$52,P24)=0,"명단에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IF(A25="","",IFERROR(INDEX($Q$3:$Q$102,MATCH(A25,$P$3:$P$102,0)),""))</f>
        <v/>
      </c>
      <c r="D25" s="7" t="str">
        <f aca="false">IF(A25="","",IF(C25="","결석","응시"))</f>
        <v/>
      </c>
      <c r="E25" s="7" t="str">
        <f aca="false">IF(A25="","",IF(COUNTIF($P$3:$P$102,A25)&gt;1,"중복! 확인",""))</f>
        <v/>
      </c>
      <c r="F25" s="7" t="str">
        <f aca="false">IF(A25="","",IF(C25&lt;&gt;"",C25,IF(AND(USE_DIAG=1,진단!C25&lt;&gt;""),진단!C25,"")))</f>
        <v/>
      </c>
      <c r="G25" s="7" t="str">
        <f aca="false">IF(A25="","",IF(C25&lt;&gt;"","평가A",IF(F25&lt;&gt;"","진단 대체","기준점수 없음")))</f>
        <v/>
      </c>
      <c r="K25" s="8"/>
      <c r="L25" s="8"/>
      <c r="M25" s="8"/>
      <c r="N25" s="8"/>
      <c r="P25" s="0" t="str">
        <f aca="false">IF(TRIM(K25&amp;"")="","",UPPER(TRIM(K25&amp;"")))</f>
        <v/>
      </c>
      <c r="Q25" s="0" t="str">
        <f aca="false">IF(P25="","",IF(ISNUMBER(N25),ROUND(N25,1),IF(AND(ISNUMBER(L25),ISNUMBER(M25)),IF(M25&gt;0,ROUND(L25/M25*100,1),""),"")))</f>
        <v/>
      </c>
      <c r="R25" s="0" t="str">
        <f aca="false">IF(P25="","",IF(COUNTIF(참가자!$A$3:$A$52,P25)=0,"명단에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IF(A26="","",IFERROR(INDEX($Q$3:$Q$102,MATCH(A26,$P$3:$P$102,0)),""))</f>
        <v/>
      </c>
      <c r="D26" s="7" t="str">
        <f aca="false">IF(A26="","",IF(C26="","결석","응시"))</f>
        <v/>
      </c>
      <c r="E26" s="7" t="str">
        <f aca="false">IF(A26="","",IF(COUNTIF($P$3:$P$102,A26)&gt;1,"중복! 확인",""))</f>
        <v/>
      </c>
      <c r="F26" s="7" t="str">
        <f aca="false">IF(A26="","",IF(C26&lt;&gt;"",C26,IF(AND(USE_DIAG=1,진단!C26&lt;&gt;""),진단!C26,"")))</f>
        <v/>
      </c>
      <c r="G26" s="7" t="str">
        <f aca="false">IF(A26="","",IF(C26&lt;&gt;"","평가A",IF(F26&lt;&gt;"","진단 대체","기준점수 없음")))</f>
        <v/>
      </c>
      <c r="K26" s="8"/>
      <c r="L26" s="8"/>
      <c r="M26" s="8"/>
      <c r="N26" s="8"/>
      <c r="P26" s="0" t="str">
        <f aca="false">IF(TRIM(K26&amp;"")="","",UPPER(TRIM(K26&amp;"")))</f>
        <v/>
      </c>
      <c r="Q26" s="0" t="str">
        <f aca="false">IF(P26="","",IF(ISNUMBER(N26),ROUND(N26,1),IF(AND(ISNUMBER(L26),ISNUMBER(M26)),IF(M26&gt;0,ROUND(L26/M26*100,1),""),"")))</f>
        <v/>
      </c>
      <c r="R26" s="0" t="str">
        <f aca="false">IF(P26="","",IF(COUNTIF(참가자!$A$3:$A$52,P26)=0,"명단에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IF(A27="","",IFERROR(INDEX($Q$3:$Q$102,MATCH(A27,$P$3:$P$102,0)),""))</f>
        <v/>
      </c>
      <c r="D27" s="7" t="str">
        <f aca="false">IF(A27="","",IF(C27="","결석","응시"))</f>
        <v/>
      </c>
      <c r="E27" s="7" t="str">
        <f aca="false">IF(A27="","",IF(COUNTIF($P$3:$P$102,A27)&gt;1,"중복! 확인",""))</f>
        <v/>
      </c>
      <c r="F27" s="7" t="str">
        <f aca="false">IF(A27="","",IF(C27&lt;&gt;"",C27,IF(AND(USE_DIAG=1,진단!C27&lt;&gt;""),진단!C27,"")))</f>
        <v/>
      </c>
      <c r="G27" s="7" t="str">
        <f aca="false">IF(A27="","",IF(C27&lt;&gt;"","평가A",IF(F27&lt;&gt;"","진단 대체","기준점수 없음")))</f>
        <v/>
      </c>
      <c r="K27" s="8"/>
      <c r="L27" s="8"/>
      <c r="M27" s="8"/>
      <c r="N27" s="8"/>
      <c r="P27" s="0" t="str">
        <f aca="false">IF(TRIM(K27&amp;"")="","",UPPER(TRIM(K27&amp;"")))</f>
        <v/>
      </c>
      <c r="Q27" s="0" t="str">
        <f aca="false">IF(P27="","",IF(ISNUMBER(N27),ROUND(N27,1),IF(AND(ISNUMBER(L27),ISNUMBER(M27)),IF(M27&gt;0,ROUND(L27/M27*100,1),""),"")))</f>
        <v/>
      </c>
      <c r="R27" s="0" t="str">
        <f aca="false">IF(P27="","",IF(COUNTIF(참가자!$A$3:$A$52,P27)=0,"명단에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IF(A28="","",IFERROR(INDEX($Q$3:$Q$102,MATCH(A28,$P$3:$P$102,0)),""))</f>
        <v/>
      </c>
      <c r="D28" s="7" t="str">
        <f aca="false">IF(A28="","",IF(C28="","결석","응시"))</f>
        <v/>
      </c>
      <c r="E28" s="7" t="str">
        <f aca="false">IF(A28="","",IF(COUNTIF($P$3:$P$102,A28)&gt;1,"중복! 확인",""))</f>
        <v/>
      </c>
      <c r="F28" s="7" t="str">
        <f aca="false">IF(A28="","",IF(C28&lt;&gt;"",C28,IF(AND(USE_DIAG=1,진단!C28&lt;&gt;""),진단!C28,"")))</f>
        <v/>
      </c>
      <c r="G28" s="7" t="str">
        <f aca="false">IF(A28="","",IF(C28&lt;&gt;"","평가A",IF(F28&lt;&gt;"","진단 대체","기준점수 없음")))</f>
        <v/>
      </c>
      <c r="K28" s="8"/>
      <c r="L28" s="8"/>
      <c r="M28" s="8"/>
      <c r="N28" s="8"/>
      <c r="P28" s="0" t="str">
        <f aca="false">IF(TRIM(K28&amp;"")="","",UPPER(TRIM(K28&amp;"")))</f>
        <v/>
      </c>
      <c r="Q28" s="0" t="str">
        <f aca="false">IF(P28="","",IF(ISNUMBER(N28),ROUND(N28,1),IF(AND(ISNUMBER(L28),ISNUMBER(M28)),IF(M28&gt;0,ROUND(L28/M28*100,1),""),"")))</f>
        <v/>
      </c>
      <c r="R28" s="0" t="str">
        <f aca="false">IF(P28="","",IF(COUNTIF(참가자!$A$3:$A$52,P28)=0,"명단에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IF(A29="","",IFERROR(INDEX($Q$3:$Q$102,MATCH(A29,$P$3:$P$102,0)),""))</f>
        <v/>
      </c>
      <c r="D29" s="7" t="str">
        <f aca="false">IF(A29="","",IF(C29="","결석","응시"))</f>
        <v/>
      </c>
      <c r="E29" s="7" t="str">
        <f aca="false">IF(A29="","",IF(COUNTIF($P$3:$P$102,A29)&gt;1,"중복! 확인",""))</f>
        <v/>
      </c>
      <c r="F29" s="7" t="str">
        <f aca="false">IF(A29="","",IF(C29&lt;&gt;"",C29,IF(AND(USE_DIAG=1,진단!C29&lt;&gt;""),진단!C29,"")))</f>
        <v/>
      </c>
      <c r="G29" s="7" t="str">
        <f aca="false">IF(A29="","",IF(C29&lt;&gt;"","평가A",IF(F29&lt;&gt;"","진단 대체","기준점수 없음")))</f>
        <v/>
      </c>
      <c r="K29" s="8"/>
      <c r="L29" s="8"/>
      <c r="M29" s="8"/>
      <c r="N29" s="8"/>
      <c r="P29" s="0" t="str">
        <f aca="false">IF(TRIM(K29&amp;"")="","",UPPER(TRIM(K29&amp;"")))</f>
        <v/>
      </c>
      <c r="Q29" s="0" t="str">
        <f aca="false">IF(P29="","",IF(ISNUMBER(N29),ROUND(N29,1),IF(AND(ISNUMBER(L29),ISNUMBER(M29)),IF(M29&gt;0,ROUND(L29/M29*100,1),""),"")))</f>
        <v/>
      </c>
      <c r="R29" s="0" t="str">
        <f aca="false">IF(P29="","",IF(COUNTIF(참가자!$A$3:$A$52,P29)=0,"명단에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IF(A30="","",IFERROR(INDEX($Q$3:$Q$102,MATCH(A30,$P$3:$P$102,0)),""))</f>
        <v/>
      </c>
      <c r="D30" s="7" t="str">
        <f aca="false">IF(A30="","",IF(C30="","결석","응시"))</f>
        <v/>
      </c>
      <c r="E30" s="7" t="str">
        <f aca="false">IF(A30="","",IF(COUNTIF($P$3:$P$102,A30)&gt;1,"중복! 확인",""))</f>
        <v/>
      </c>
      <c r="F30" s="7" t="str">
        <f aca="false">IF(A30="","",IF(C30&lt;&gt;"",C30,IF(AND(USE_DIAG=1,진단!C30&lt;&gt;""),진단!C30,"")))</f>
        <v/>
      </c>
      <c r="G30" s="7" t="str">
        <f aca="false">IF(A30="","",IF(C30&lt;&gt;"","평가A",IF(F30&lt;&gt;"","진단 대체","기준점수 없음")))</f>
        <v/>
      </c>
      <c r="K30" s="8"/>
      <c r="L30" s="8"/>
      <c r="M30" s="8"/>
      <c r="N30" s="8"/>
      <c r="P30" s="0" t="str">
        <f aca="false">IF(TRIM(K30&amp;"")="","",UPPER(TRIM(K30&amp;"")))</f>
        <v/>
      </c>
      <c r="Q30" s="0" t="str">
        <f aca="false">IF(P30="","",IF(ISNUMBER(N30),ROUND(N30,1),IF(AND(ISNUMBER(L30),ISNUMBER(M30)),IF(M30&gt;0,ROUND(L30/M30*100,1),""),"")))</f>
        <v/>
      </c>
      <c r="R30" s="0" t="str">
        <f aca="false">IF(P30="","",IF(COUNTIF(참가자!$A$3:$A$52,P30)=0,"명단에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IF(A31="","",IFERROR(INDEX($Q$3:$Q$102,MATCH(A31,$P$3:$P$102,0)),""))</f>
        <v/>
      </c>
      <c r="D31" s="7" t="str">
        <f aca="false">IF(A31="","",IF(C31="","결석","응시"))</f>
        <v/>
      </c>
      <c r="E31" s="7" t="str">
        <f aca="false">IF(A31="","",IF(COUNTIF($P$3:$P$102,A31)&gt;1,"중복! 확인",""))</f>
        <v/>
      </c>
      <c r="F31" s="7" t="str">
        <f aca="false">IF(A31="","",IF(C31&lt;&gt;"",C31,IF(AND(USE_DIAG=1,진단!C31&lt;&gt;""),진단!C31,"")))</f>
        <v/>
      </c>
      <c r="G31" s="7" t="str">
        <f aca="false">IF(A31="","",IF(C31&lt;&gt;"","평가A",IF(F31&lt;&gt;"","진단 대체","기준점수 없음")))</f>
        <v/>
      </c>
      <c r="K31" s="8"/>
      <c r="L31" s="8"/>
      <c r="M31" s="8"/>
      <c r="N31" s="8"/>
      <c r="P31" s="0" t="str">
        <f aca="false">IF(TRIM(K31&amp;"")="","",UPPER(TRIM(K31&amp;"")))</f>
        <v/>
      </c>
      <c r="Q31" s="0" t="str">
        <f aca="false">IF(P31="","",IF(ISNUMBER(N31),ROUND(N31,1),IF(AND(ISNUMBER(L31),ISNUMBER(M31)),IF(M31&gt;0,ROUND(L31/M31*100,1),""),"")))</f>
        <v/>
      </c>
      <c r="R31" s="0" t="str">
        <f aca="false">IF(P31="","",IF(COUNTIF(참가자!$A$3:$A$52,P31)=0,"명단에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IF(A32="","",IFERROR(INDEX($Q$3:$Q$102,MATCH(A32,$P$3:$P$102,0)),""))</f>
        <v/>
      </c>
      <c r="D32" s="7" t="str">
        <f aca="false">IF(A32="","",IF(C32="","결석","응시"))</f>
        <v/>
      </c>
      <c r="E32" s="7" t="str">
        <f aca="false">IF(A32="","",IF(COUNTIF($P$3:$P$102,A32)&gt;1,"중복! 확인",""))</f>
        <v/>
      </c>
      <c r="F32" s="7" t="str">
        <f aca="false">IF(A32="","",IF(C32&lt;&gt;"",C32,IF(AND(USE_DIAG=1,진단!C32&lt;&gt;""),진단!C32,"")))</f>
        <v/>
      </c>
      <c r="G32" s="7" t="str">
        <f aca="false">IF(A32="","",IF(C32&lt;&gt;"","평가A",IF(F32&lt;&gt;"","진단 대체","기준점수 없음")))</f>
        <v/>
      </c>
      <c r="K32" s="8"/>
      <c r="L32" s="8"/>
      <c r="M32" s="8"/>
      <c r="N32" s="8"/>
      <c r="P32" s="0" t="str">
        <f aca="false">IF(TRIM(K32&amp;"")="","",UPPER(TRIM(K32&amp;"")))</f>
        <v/>
      </c>
      <c r="Q32" s="0" t="str">
        <f aca="false">IF(P32="","",IF(ISNUMBER(N32),ROUND(N32,1),IF(AND(ISNUMBER(L32),ISNUMBER(M32)),IF(M32&gt;0,ROUND(L32/M32*100,1),""),"")))</f>
        <v/>
      </c>
      <c r="R32" s="0" t="str">
        <f aca="false">IF(P32="","",IF(COUNTIF(참가자!$A$3:$A$52,P32)=0,"명단에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IF(A33="","",IFERROR(INDEX($Q$3:$Q$102,MATCH(A33,$P$3:$P$102,0)),""))</f>
        <v/>
      </c>
      <c r="D33" s="7" t="str">
        <f aca="false">IF(A33="","",IF(C33="","결석","응시"))</f>
        <v/>
      </c>
      <c r="E33" s="7" t="str">
        <f aca="false">IF(A33="","",IF(COUNTIF($P$3:$P$102,A33)&gt;1,"중복! 확인",""))</f>
        <v/>
      </c>
      <c r="F33" s="7" t="str">
        <f aca="false">IF(A33="","",IF(C33&lt;&gt;"",C33,IF(AND(USE_DIAG=1,진단!C33&lt;&gt;""),진단!C33,"")))</f>
        <v/>
      </c>
      <c r="G33" s="7" t="str">
        <f aca="false">IF(A33="","",IF(C33&lt;&gt;"","평가A",IF(F33&lt;&gt;"","진단 대체","기준점수 없음")))</f>
        <v/>
      </c>
      <c r="K33" s="8"/>
      <c r="L33" s="8"/>
      <c r="M33" s="8"/>
      <c r="N33" s="8"/>
      <c r="P33" s="0" t="str">
        <f aca="false">IF(TRIM(K33&amp;"")="","",UPPER(TRIM(K33&amp;"")))</f>
        <v/>
      </c>
      <c r="Q33" s="0" t="str">
        <f aca="false">IF(P33="","",IF(ISNUMBER(N33),ROUND(N33,1),IF(AND(ISNUMBER(L33),ISNUMBER(M33)),IF(M33&gt;0,ROUND(L33/M33*100,1),""),"")))</f>
        <v/>
      </c>
      <c r="R33" s="0" t="str">
        <f aca="false">IF(P33="","",IF(COUNTIF(참가자!$A$3:$A$52,P33)=0,"명단에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IF(A34="","",IFERROR(INDEX($Q$3:$Q$102,MATCH(A34,$P$3:$P$102,0)),""))</f>
        <v/>
      </c>
      <c r="D34" s="7" t="str">
        <f aca="false">IF(A34="","",IF(C34="","결석","응시"))</f>
        <v/>
      </c>
      <c r="E34" s="7" t="str">
        <f aca="false">IF(A34="","",IF(COUNTIF($P$3:$P$102,A34)&gt;1,"중복! 확인",""))</f>
        <v/>
      </c>
      <c r="F34" s="7" t="str">
        <f aca="false">IF(A34="","",IF(C34&lt;&gt;"",C34,IF(AND(USE_DIAG=1,진단!C34&lt;&gt;""),진단!C34,"")))</f>
        <v/>
      </c>
      <c r="G34" s="7" t="str">
        <f aca="false">IF(A34="","",IF(C34&lt;&gt;"","평가A",IF(F34&lt;&gt;"","진단 대체","기준점수 없음")))</f>
        <v/>
      </c>
      <c r="K34" s="8"/>
      <c r="L34" s="8"/>
      <c r="M34" s="8"/>
      <c r="N34" s="8"/>
      <c r="P34" s="0" t="str">
        <f aca="false">IF(TRIM(K34&amp;"")="","",UPPER(TRIM(K34&amp;"")))</f>
        <v/>
      </c>
      <c r="Q34" s="0" t="str">
        <f aca="false">IF(P34="","",IF(ISNUMBER(N34),ROUND(N34,1),IF(AND(ISNUMBER(L34),ISNUMBER(M34)),IF(M34&gt;0,ROUND(L34/M34*100,1),""),"")))</f>
        <v/>
      </c>
      <c r="R34" s="0" t="str">
        <f aca="false">IF(P34="","",IF(COUNTIF(참가자!$A$3:$A$52,P34)=0,"명단에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IF(A35="","",IFERROR(INDEX($Q$3:$Q$102,MATCH(A35,$P$3:$P$102,0)),""))</f>
        <v/>
      </c>
      <c r="D35" s="7" t="str">
        <f aca="false">IF(A35="","",IF(C35="","결석","응시"))</f>
        <v/>
      </c>
      <c r="E35" s="7" t="str">
        <f aca="false">IF(A35="","",IF(COUNTIF($P$3:$P$102,A35)&gt;1,"중복! 확인",""))</f>
        <v/>
      </c>
      <c r="F35" s="7" t="str">
        <f aca="false">IF(A35="","",IF(C35&lt;&gt;"",C35,IF(AND(USE_DIAG=1,진단!C35&lt;&gt;""),진단!C35,"")))</f>
        <v/>
      </c>
      <c r="G35" s="7" t="str">
        <f aca="false">IF(A35="","",IF(C35&lt;&gt;"","평가A",IF(F35&lt;&gt;"","진단 대체","기준점수 없음")))</f>
        <v/>
      </c>
      <c r="K35" s="8"/>
      <c r="L35" s="8"/>
      <c r="M35" s="8"/>
      <c r="N35" s="8"/>
      <c r="P35" s="0" t="str">
        <f aca="false">IF(TRIM(K35&amp;"")="","",UPPER(TRIM(K35&amp;"")))</f>
        <v/>
      </c>
      <c r="Q35" s="0" t="str">
        <f aca="false">IF(P35="","",IF(ISNUMBER(N35),ROUND(N35,1),IF(AND(ISNUMBER(L35),ISNUMBER(M35)),IF(M35&gt;0,ROUND(L35/M35*100,1),""),"")))</f>
        <v/>
      </c>
      <c r="R35" s="0" t="str">
        <f aca="false">IF(P35="","",IF(COUNTIF(참가자!$A$3:$A$52,P35)=0,"명단에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IF(A36="","",IFERROR(INDEX($Q$3:$Q$102,MATCH(A36,$P$3:$P$102,0)),""))</f>
        <v/>
      </c>
      <c r="D36" s="7" t="str">
        <f aca="false">IF(A36="","",IF(C36="","결석","응시"))</f>
        <v/>
      </c>
      <c r="E36" s="7" t="str">
        <f aca="false">IF(A36="","",IF(COUNTIF($P$3:$P$102,A36)&gt;1,"중복! 확인",""))</f>
        <v/>
      </c>
      <c r="F36" s="7" t="str">
        <f aca="false">IF(A36="","",IF(C36&lt;&gt;"",C36,IF(AND(USE_DIAG=1,진단!C36&lt;&gt;""),진단!C36,"")))</f>
        <v/>
      </c>
      <c r="G36" s="7" t="str">
        <f aca="false">IF(A36="","",IF(C36&lt;&gt;"","평가A",IF(F36&lt;&gt;"","진단 대체","기준점수 없음")))</f>
        <v/>
      </c>
      <c r="K36" s="8"/>
      <c r="L36" s="8"/>
      <c r="M36" s="8"/>
      <c r="N36" s="8"/>
      <c r="P36" s="0" t="str">
        <f aca="false">IF(TRIM(K36&amp;"")="","",UPPER(TRIM(K36&amp;"")))</f>
        <v/>
      </c>
      <c r="Q36" s="0" t="str">
        <f aca="false">IF(P36="","",IF(ISNUMBER(N36),ROUND(N36,1),IF(AND(ISNUMBER(L36),ISNUMBER(M36)),IF(M36&gt;0,ROUND(L36/M36*100,1),""),"")))</f>
        <v/>
      </c>
      <c r="R36" s="0" t="str">
        <f aca="false">IF(P36="","",IF(COUNTIF(참가자!$A$3:$A$52,P36)=0,"명단에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IF(A37="","",IFERROR(INDEX($Q$3:$Q$102,MATCH(A37,$P$3:$P$102,0)),""))</f>
        <v/>
      </c>
      <c r="D37" s="7" t="str">
        <f aca="false">IF(A37="","",IF(C37="","결석","응시"))</f>
        <v/>
      </c>
      <c r="E37" s="7" t="str">
        <f aca="false">IF(A37="","",IF(COUNTIF($P$3:$P$102,A37)&gt;1,"중복! 확인",""))</f>
        <v/>
      </c>
      <c r="F37" s="7" t="str">
        <f aca="false">IF(A37="","",IF(C37&lt;&gt;"",C37,IF(AND(USE_DIAG=1,진단!C37&lt;&gt;""),진단!C37,"")))</f>
        <v/>
      </c>
      <c r="G37" s="7" t="str">
        <f aca="false">IF(A37="","",IF(C37&lt;&gt;"","평가A",IF(F37&lt;&gt;"","진단 대체","기준점수 없음")))</f>
        <v/>
      </c>
      <c r="K37" s="8"/>
      <c r="L37" s="8"/>
      <c r="M37" s="8"/>
      <c r="N37" s="8"/>
      <c r="P37" s="0" t="str">
        <f aca="false">IF(TRIM(K37&amp;"")="","",UPPER(TRIM(K37&amp;"")))</f>
        <v/>
      </c>
      <c r="Q37" s="0" t="str">
        <f aca="false">IF(P37="","",IF(ISNUMBER(N37),ROUND(N37,1),IF(AND(ISNUMBER(L37),ISNUMBER(M37)),IF(M37&gt;0,ROUND(L37/M37*100,1),""),"")))</f>
        <v/>
      </c>
      <c r="R37" s="0" t="str">
        <f aca="false">IF(P37="","",IF(COUNTIF(참가자!$A$3:$A$52,P37)=0,"명단에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IF(A38="","",IFERROR(INDEX($Q$3:$Q$102,MATCH(A38,$P$3:$P$102,0)),""))</f>
        <v/>
      </c>
      <c r="D38" s="7" t="str">
        <f aca="false">IF(A38="","",IF(C38="","결석","응시"))</f>
        <v/>
      </c>
      <c r="E38" s="7" t="str">
        <f aca="false">IF(A38="","",IF(COUNTIF($P$3:$P$102,A38)&gt;1,"중복! 확인",""))</f>
        <v/>
      </c>
      <c r="F38" s="7" t="str">
        <f aca="false">IF(A38="","",IF(C38&lt;&gt;"",C38,IF(AND(USE_DIAG=1,진단!C38&lt;&gt;""),진단!C38,"")))</f>
        <v/>
      </c>
      <c r="G38" s="7" t="str">
        <f aca="false">IF(A38="","",IF(C38&lt;&gt;"","평가A",IF(F38&lt;&gt;"","진단 대체","기준점수 없음")))</f>
        <v/>
      </c>
      <c r="K38" s="8"/>
      <c r="L38" s="8"/>
      <c r="M38" s="8"/>
      <c r="N38" s="8"/>
      <c r="P38" s="0" t="str">
        <f aca="false">IF(TRIM(K38&amp;"")="","",UPPER(TRIM(K38&amp;"")))</f>
        <v/>
      </c>
      <c r="Q38" s="0" t="str">
        <f aca="false">IF(P38="","",IF(ISNUMBER(N38),ROUND(N38,1),IF(AND(ISNUMBER(L38),ISNUMBER(M38)),IF(M38&gt;0,ROUND(L38/M38*100,1),""),"")))</f>
        <v/>
      </c>
      <c r="R38" s="0" t="str">
        <f aca="false">IF(P38="","",IF(COUNTIF(참가자!$A$3:$A$52,P38)=0,"명단에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IF(A39="","",IFERROR(INDEX($Q$3:$Q$102,MATCH(A39,$P$3:$P$102,0)),""))</f>
        <v/>
      </c>
      <c r="D39" s="7" t="str">
        <f aca="false">IF(A39="","",IF(C39="","결석","응시"))</f>
        <v/>
      </c>
      <c r="E39" s="7" t="str">
        <f aca="false">IF(A39="","",IF(COUNTIF($P$3:$P$102,A39)&gt;1,"중복! 확인",""))</f>
        <v/>
      </c>
      <c r="F39" s="7" t="str">
        <f aca="false">IF(A39="","",IF(C39&lt;&gt;"",C39,IF(AND(USE_DIAG=1,진단!C39&lt;&gt;""),진단!C39,"")))</f>
        <v/>
      </c>
      <c r="G39" s="7" t="str">
        <f aca="false">IF(A39="","",IF(C39&lt;&gt;"","평가A",IF(F39&lt;&gt;"","진단 대체","기준점수 없음")))</f>
        <v/>
      </c>
      <c r="K39" s="8"/>
      <c r="L39" s="8"/>
      <c r="M39" s="8"/>
      <c r="N39" s="8"/>
      <c r="P39" s="0" t="str">
        <f aca="false">IF(TRIM(K39&amp;"")="","",UPPER(TRIM(K39&amp;"")))</f>
        <v/>
      </c>
      <c r="Q39" s="0" t="str">
        <f aca="false">IF(P39="","",IF(ISNUMBER(N39),ROUND(N39,1),IF(AND(ISNUMBER(L39),ISNUMBER(M39)),IF(M39&gt;0,ROUND(L39/M39*100,1),""),"")))</f>
        <v/>
      </c>
      <c r="R39" s="0" t="str">
        <f aca="false">IF(P39="","",IF(COUNTIF(참가자!$A$3:$A$52,P39)=0,"명단에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IF(A40="","",IFERROR(INDEX($Q$3:$Q$102,MATCH(A40,$P$3:$P$102,0)),""))</f>
        <v/>
      </c>
      <c r="D40" s="7" t="str">
        <f aca="false">IF(A40="","",IF(C40="","결석","응시"))</f>
        <v/>
      </c>
      <c r="E40" s="7" t="str">
        <f aca="false">IF(A40="","",IF(COUNTIF($P$3:$P$102,A40)&gt;1,"중복! 확인",""))</f>
        <v/>
      </c>
      <c r="F40" s="7" t="str">
        <f aca="false">IF(A40="","",IF(C40&lt;&gt;"",C40,IF(AND(USE_DIAG=1,진단!C40&lt;&gt;""),진단!C40,"")))</f>
        <v/>
      </c>
      <c r="G40" s="7" t="str">
        <f aca="false">IF(A40="","",IF(C40&lt;&gt;"","평가A",IF(F40&lt;&gt;"","진단 대체","기준점수 없음")))</f>
        <v/>
      </c>
      <c r="K40" s="8"/>
      <c r="L40" s="8"/>
      <c r="M40" s="8"/>
      <c r="N40" s="8"/>
      <c r="P40" s="0" t="str">
        <f aca="false">IF(TRIM(K40&amp;"")="","",UPPER(TRIM(K40&amp;"")))</f>
        <v/>
      </c>
      <c r="Q40" s="0" t="str">
        <f aca="false">IF(P40="","",IF(ISNUMBER(N40),ROUND(N40,1),IF(AND(ISNUMBER(L40),ISNUMBER(M40)),IF(M40&gt;0,ROUND(L40/M40*100,1),""),"")))</f>
        <v/>
      </c>
      <c r="R40" s="0" t="str">
        <f aca="false">IF(P40="","",IF(COUNTIF(참가자!$A$3:$A$52,P40)=0,"명단에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IF(A41="","",IFERROR(INDEX($Q$3:$Q$102,MATCH(A41,$P$3:$P$102,0)),""))</f>
        <v/>
      </c>
      <c r="D41" s="7" t="str">
        <f aca="false">IF(A41="","",IF(C41="","결석","응시"))</f>
        <v/>
      </c>
      <c r="E41" s="7" t="str">
        <f aca="false">IF(A41="","",IF(COUNTIF($P$3:$P$102,A41)&gt;1,"중복! 확인",""))</f>
        <v/>
      </c>
      <c r="F41" s="7" t="str">
        <f aca="false">IF(A41="","",IF(C41&lt;&gt;"",C41,IF(AND(USE_DIAG=1,진단!C41&lt;&gt;""),진단!C41,"")))</f>
        <v/>
      </c>
      <c r="G41" s="7" t="str">
        <f aca="false">IF(A41="","",IF(C41&lt;&gt;"","평가A",IF(F41&lt;&gt;"","진단 대체","기준점수 없음")))</f>
        <v/>
      </c>
      <c r="K41" s="8"/>
      <c r="L41" s="8"/>
      <c r="M41" s="8"/>
      <c r="N41" s="8"/>
      <c r="P41" s="0" t="str">
        <f aca="false">IF(TRIM(K41&amp;"")="","",UPPER(TRIM(K41&amp;"")))</f>
        <v/>
      </c>
      <c r="Q41" s="0" t="str">
        <f aca="false">IF(P41="","",IF(ISNUMBER(N41),ROUND(N41,1),IF(AND(ISNUMBER(L41),ISNUMBER(M41)),IF(M41&gt;0,ROUND(L41/M41*100,1),""),"")))</f>
        <v/>
      </c>
      <c r="R41" s="0" t="str">
        <f aca="false">IF(P41="","",IF(COUNTIF(참가자!$A$3:$A$52,P41)=0,"명단에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IF(A42="","",IFERROR(INDEX($Q$3:$Q$102,MATCH(A42,$P$3:$P$102,0)),""))</f>
        <v/>
      </c>
      <c r="D42" s="7" t="str">
        <f aca="false">IF(A42="","",IF(C42="","결석","응시"))</f>
        <v/>
      </c>
      <c r="E42" s="7" t="str">
        <f aca="false">IF(A42="","",IF(COUNTIF($P$3:$P$102,A42)&gt;1,"중복! 확인",""))</f>
        <v/>
      </c>
      <c r="F42" s="7" t="str">
        <f aca="false">IF(A42="","",IF(C42&lt;&gt;"",C42,IF(AND(USE_DIAG=1,진단!C42&lt;&gt;""),진단!C42,"")))</f>
        <v/>
      </c>
      <c r="G42" s="7" t="str">
        <f aca="false">IF(A42="","",IF(C42&lt;&gt;"","평가A",IF(F42&lt;&gt;"","진단 대체","기준점수 없음")))</f>
        <v/>
      </c>
      <c r="K42" s="8"/>
      <c r="L42" s="8"/>
      <c r="M42" s="8"/>
      <c r="N42" s="8"/>
      <c r="P42" s="0" t="str">
        <f aca="false">IF(TRIM(K42&amp;"")="","",UPPER(TRIM(K42&amp;"")))</f>
        <v/>
      </c>
      <c r="Q42" s="0" t="str">
        <f aca="false">IF(P42="","",IF(ISNUMBER(N42),ROUND(N42,1),IF(AND(ISNUMBER(L42),ISNUMBER(M42)),IF(M42&gt;0,ROUND(L42/M42*100,1),""),"")))</f>
        <v/>
      </c>
      <c r="R42" s="0" t="str">
        <f aca="false">IF(P42="","",IF(COUNTIF(참가자!$A$3:$A$52,P42)=0,"명단에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IF(A43="","",IFERROR(INDEX($Q$3:$Q$102,MATCH(A43,$P$3:$P$102,0)),""))</f>
        <v/>
      </c>
      <c r="D43" s="7" t="str">
        <f aca="false">IF(A43="","",IF(C43="","결석","응시"))</f>
        <v/>
      </c>
      <c r="E43" s="7" t="str">
        <f aca="false">IF(A43="","",IF(COUNTIF($P$3:$P$102,A43)&gt;1,"중복! 확인",""))</f>
        <v/>
      </c>
      <c r="F43" s="7" t="str">
        <f aca="false">IF(A43="","",IF(C43&lt;&gt;"",C43,IF(AND(USE_DIAG=1,진단!C43&lt;&gt;""),진단!C43,"")))</f>
        <v/>
      </c>
      <c r="G43" s="7" t="str">
        <f aca="false">IF(A43="","",IF(C43&lt;&gt;"","평가A",IF(F43&lt;&gt;"","진단 대체","기준점수 없음")))</f>
        <v/>
      </c>
      <c r="K43" s="8"/>
      <c r="L43" s="8"/>
      <c r="M43" s="8"/>
      <c r="N43" s="8"/>
      <c r="P43" s="0" t="str">
        <f aca="false">IF(TRIM(K43&amp;"")="","",UPPER(TRIM(K43&amp;"")))</f>
        <v/>
      </c>
      <c r="Q43" s="0" t="str">
        <f aca="false">IF(P43="","",IF(ISNUMBER(N43),ROUND(N43,1),IF(AND(ISNUMBER(L43),ISNUMBER(M43)),IF(M43&gt;0,ROUND(L43/M43*100,1),""),"")))</f>
        <v/>
      </c>
      <c r="R43" s="0" t="str">
        <f aca="false">IF(P43="","",IF(COUNTIF(참가자!$A$3:$A$52,P43)=0,"명단에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IF(A44="","",IFERROR(INDEX($Q$3:$Q$102,MATCH(A44,$P$3:$P$102,0)),""))</f>
        <v/>
      </c>
      <c r="D44" s="7" t="str">
        <f aca="false">IF(A44="","",IF(C44="","결석","응시"))</f>
        <v/>
      </c>
      <c r="E44" s="7" t="str">
        <f aca="false">IF(A44="","",IF(COUNTIF($P$3:$P$102,A44)&gt;1,"중복! 확인",""))</f>
        <v/>
      </c>
      <c r="F44" s="7" t="str">
        <f aca="false">IF(A44="","",IF(C44&lt;&gt;"",C44,IF(AND(USE_DIAG=1,진단!C44&lt;&gt;""),진단!C44,"")))</f>
        <v/>
      </c>
      <c r="G44" s="7" t="str">
        <f aca="false">IF(A44="","",IF(C44&lt;&gt;"","평가A",IF(F44&lt;&gt;"","진단 대체","기준점수 없음")))</f>
        <v/>
      </c>
      <c r="K44" s="8"/>
      <c r="L44" s="8"/>
      <c r="M44" s="8"/>
      <c r="N44" s="8"/>
      <c r="P44" s="0" t="str">
        <f aca="false">IF(TRIM(K44&amp;"")="","",UPPER(TRIM(K44&amp;"")))</f>
        <v/>
      </c>
      <c r="Q44" s="0" t="str">
        <f aca="false">IF(P44="","",IF(ISNUMBER(N44),ROUND(N44,1),IF(AND(ISNUMBER(L44),ISNUMBER(M44)),IF(M44&gt;0,ROUND(L44/M44*100,1),""),"")))</f>
        <v/>
      </c>
      <c r="R44" s="0" t="str">
        <f aca="false">IF(P44="","",IF(COUNTIF(참가자!$A$3:$A$52,P44)=0,"명단에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IF(A45="","",IFERROR(INDEX($Q$3:$Q$102,MATCH(A45,$P$3:$P$102,0)),""))</f>
        <v/>
      </c>
      <c r="D45" s="7" t="str">
        <f aca="false">IF(A45="","",IF(C45="","결석","응시"))</f>
        <v/>
      </c>
      <c r="E45" s="7" t="str">
        <f aca="false">IF(A45="","",IF(COUNTIF($P$3:$P$102,A45)&gt;1,"중복! 확인",""))</f>
        <v/>
      </c>
      <c r="F45" s="7" t="str">
        <f aca="false">IF(A45="","",IF(C45&lt;&gt;"",C45,IF(AND(USE_DIAG=1,진단!C45&lt;&gt;""),진단!C45,"")))</f>
        <v/>
      </c>
      <c r="G45" s="7" t="str">
        <f aca="false">IF(A45="","",IF(C45&lt;&gt;"","평가A",IF(F45&lt;&gt;"","진단 대체","기준점수 없음")))</f>
        <v/>
      </c>
      <c r="K45" s="8"/>
      <c r="L45" s="8"/>
      <c r="M45" s="8"/>
      <c r="N45" s="8"/>
      <c r="P45" s="0" t="str">
        <f aca="false">IF(TRIM(K45&amp;"")="","",UPPER(TRIM(K45&amp;"")))</f>
        <v/>
      </c>
      <c r="Q45" s="0" t="str">
        <f aca="false">IF(P45="","",IF(ISNUMBER(N45),ROUND(N45,1),IF(AND(ISNUMBER(L45),ISNUMBER(M45)),IF(M45&gt;0,ROUND(L45/M45*100,1),""),"")))</f>
        <v/>
      </c>
      <c r="R45" s="0" t="str">
        <f aca="false">IF(P45="","",IF(COUNTIF(참가자!$A$3:$A$52,P45)=0,"명단에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IF(A46="","",IFERROR(INDEX($Q$3:$Q$102,MATCH(A46,$P$3:$P$102,0)),""))</f>
        <v/>
      </c>
      <c r="D46" s="7" t="str">
        <f aca="false">IF(A46="","",IF(C46="","결석","응시"))</f>
        <v/>
      </c>
      <c r="E46" s="7" t="str">
        <f aca="false">IF(A46="","",IF(COUNTIF($P$3:$P$102,A46)&gt;1,"중복! 확인",""))</f>
        <v/>
      </c>
      <c r="F46" s="7" t="str">
        <f aca="false">IF(A46="","",IF(C46&lt;&gt;"",C46,IF(AND(USE_DIAG=1,진단!C46&lt;&gt;""),진단!C46,"")))</f>
        <v/>
      </c>
      <c r="G46" s="7" t="str">
        <f aca="false">IF(A46="","",IF(C46&lt;&gt;"","평가A",IF(F46&lt;&gt;"","진단 대체","기준점수 없음")))</f>
        <v/>
      </c>
      <c r="K46" s="8"/>
      <c r="L46" s="8"/>
      <c r="M46" s="8"/>
      <c r="N46" s="8"/>
      <c r="P46" s="0" t="str">
        <f aca="false">IF(TRIM(K46&amp;"")="","",UPPER(TRIM(K46&amp;"")))</f>
        <v/>
      </c>
      <c r="Q46" s="0" t="str">
        <f aca="false">IF(P46="","",IF(ISNUMBER(N46),ROUND(N46,1),IF(AND(ISNUMBER(L46),ISNUMBER(M46)),IF(M46&gt;0,ROUND(L46/M46*100,1),""),"")))</f>
        <v/>
      </c>
      <c r="R46" s="0" t="str">
        <f aca="false">IF(P46="","",IF(COUNTIF(참가자!$A$3:$A$52,P46)=0,"명단에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IF(A47="","",IFERROR(INDEX($Q$3:$Q$102,MATCH(A47,$P$3:$P$102,0)),""))</f>
        <v/>
      </c>
      <c r="D47" s="7" t="str">
        <f aca="false">IF(A47="","",IF(C47="","결석","응시"))</f>
        <v/>
      </c>
      <c r="E47" s="7" t="str">
        <f aca="false">IF(A47="","",IF(COUNTIF($P$3:$P$102,A47)&gt;1,"중복! 확인",""))</f>
        <v/>
      </c>
      <c r="F47" s="7" t="str">
        <f aca="false">IF(A47="","",IF(C47&lt;&gt;"",C47,IF(AND(USE_DIAG=1,진단!C47&lt;&gt;""),진단!C47,"")))</f>
        <v/>
      </c>
      <c r="G47" s="7" t="str">
        <f aca="false">IF(A47="","",IF(C47&lt;&gt;"","평가A",IF(F47&lt;&gt;"","진단 대체","기준점수 없음")))</f>
        <v/>
      </c>
      <c r="K47" s="8"/>
      <c r="L47" s="8"/>
      <c r="M47" s="8"/>
      <c r="N47" s="8"/>
      <c r="P47" s="0" t="str">
        <f aca="false">IF(TRIM(K47&amp;"")="","",UPPER(TRIM(K47&amp;"")))</f>
        <v/>
      </c>
      <c r="Q47" s="0" t="str">
        <f aca="false">IF(P47="","",IF(ISNUMBER(N47),ROUND(N47,1),IF(AND(ISNUMBER(L47),ISNUMBER(M47)),IF(M47&gt;0,ROUND(L47/M47*100,1),""),"")))</f>
        <v/>
      </c>
      <c r="R47" s="0" t="str">
        <f aca="false">IF(P47="","",IF(COUNTIF(참가자!$A$3:$A$52,P47)=0,"명단에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IF(A48="","",IFERROR(INDEX($Q$3:$Q$102,MATCH(A48,$P$3:$P$102,0)),""))</f>
        <v/>
      </c>
      <c r="D48" s="7" t="str">
        <f aca="false">IF(A48="","",IF(C48="","결석","응시"))</f>
        <v/>
      </c>
      <c r="E48" s="7" t="str">
        <f aca="false">IF(A48="","",IF(COUNTIF($P$3:$P$102,A48)&gt;1,"중복! 확인",""))</f>
        <v/>
      </c>
      <c r="F48" s="7" t="str">
        <f aca="false">IF(A48="","",IF(C48&lt;&gt;"",C48,IF(AND(USE_DIAG=1,진단!C48&lt;&gt;""),진단!C48,"")))</f>
        <v/>
      </c>
      <c r="G48" s="7" t="str">
        <f aca="false">IF(A48="","",IF(C48&lt;&gt;"","평가A",IF(F48&lt;&gt;"","진단 대체","기준점수 없음")))</f>
        <v/>
      </c>
      <c r="K48" s="8"/>
      <c r="L48" s="8"/>
      <c r="M48" s="8"/>
      <c r="N48" s="8"/>
      <c r="P48" s="0" t="str">
        <f aca="false">IF(TRIM(K48&amp;"")="","",UPPER(TRIM(K48&amp;"")))</f>
        <v/>
      </c>
      <c r="Q48" s="0" t="str">
        <f aca="false">IF(P48="","",IF(ISNUMBER(N48),ROUND(N48,1),IF(AND(ISNUMBER(L48),ISNUMBER(M48)),IF(M48&gt;0,ROUND(L48/M48*100,1),""),"")))</f>
        <v/>
      </c>
      <c r="R48" s="0" t="str">
        <f aca="false">IF(P48="","",IF(COUNTIF(참가자!$A$3:$A$52,P48)=0,"명단에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IF(A49="","",IFERROR(INDEX($Q$3:$Q$102,MATCH(A49,$P$3:$P$102,0)),""))</f>
        <v/>
      </c>
      <c r="D49" s="7" t="str">
        <f aca="false">IF(A49="","",IF(C49="","결석","응시"))</f>
        <v/>
      </c>
      <c r="E49" s="7" t="str">
        <f aca="false">IF(A49="","",IF(COUNTIF($P$3:$P$102,A49)&gt;1,"중복! 확인",""))</f>
        <v/>
      </c>
      <c r="F49" s="7" t="str">
        <f aca="false">IF(A49="","",IF(C49&lt;&gt;"",C49,IF(AND(USE_DIAG=1,진단!C49&lt;&gt;""),진단!C49,"")))</f>
        <v/>
      </c>
      <c r="G49" s="7" t="str">
        <f aca="false">IF(A49="","",IF(C49&lt;&gt;"","평가A",IF(F49&lt;&gt;"","진단 대체","기준점수 없음")))</f>
        <v/>
      </c>
      <c r="K49" s="8"/>
      <c r="L49" s="8"/>
      <c r="M49" s="8"/>
      <c r="N49" s="8"/>
      <c r="P49" s="0" t="str">
        <f aca="false">IF(TRIM(K49&amp;"")="","",UPPER(TRIM(K49&amp;"")))</f>
        <v/>
      </c>
      <c r="Q49" s="0" t="str">
        <f aca="false">IF(P49="","",IF(ISNUMBER(N49),ROUND(N49,1),IF(AND(ISNUMBER(L49),ISNUMBER(M49)),IF(M49&gt;0,ROUND(L49/M49*100,1),""),"")))</f>
        <v/>
      </c>
      <c r="R49" s="0" t="str">
        <f aca="false">IF(P49="","",IF(COUNTIF(참가자!$A$3:$A$52,P49)=0,"명단에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IF(A50="","",IFERROR(INDEX($Q$3:$Q$102,MATCH(A50,$P$3:$P$102,0)),""))</f>
        <v/>
      </c>
      <c r="D50" s="7" t="str">
        <f aca="false">IF(A50="","",IF(C50="","결석","응시"))</f>
        <v/>
      </c>
      <c r="E50" s="7" t="str">
        <f aca="false">IF(A50="","",IF(COUNTIF($P$3:$P$102,A50)&gt;1,"중복! 확인",""))</f>
        <v/>
      </c>
      <c r="F50" s="7" t="str">
        <f aca="false">IF(A50="","",IF(C50&lt;&gt;"",C50,IF(AND(USE_DIAG=1,진단!C50&lt;&gt;""),진단!C50,"")))</f>
        <v/>
      </c>
      <c r="G50" s="7" t="str">
        <f aca="false">IF(A50="","",IF(C50&lt;&gt;"","평가A",IF(F50&lt;&gt;"","진단 대체","기준점수 없음")))</f>
        <v/>
      </c>
      <c r="K50" s="8"/>
      <c r="L50" s="8"/>
      <c r="M50" s="8"/>
      <c r="N50" s="8"/>
      <c r="P50" s="0" t="str">
        <f aca="false">IF(TRIM(K50&amp;"")="","",UPPER(TRIM(K50&amp;"")))</f>
        <v/>
      </c>
      <c r="Q50" s="0" t="str">
        <f aca="false">IF(P50="","",IF(ISNUMBER(N50),ROUND(N50,1),IF(AND(ISNUMBER(L50),ISNUMBER(M50)),IF(M50&gt;0,ROUND(L50/M50*100,1),""),"")))</f>
        <v/>
      </c>
      <c r="R50" s="0" t="str">
        <f aca="false">IF(P50="","",IF(COUNTIF(참가자!$A$3:$A$52,P50)=0,"명단에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IF(A51="","",IFERROR(INDEX($Q$3:$Q$102,MATCH(A51,$P$3:$P$102,0)),""))</f>
        <v/>
      </c>
      <c r="D51" s="7" t="str">
        <f aca="false">IF(A51="","",IF(C51="","결석","응시"))</f>
        <v/>
      </c>
      <c r="E51" s="7" t="str">
        <f aca="false">IF(A51="","",IF(COUNTIF($P$3:$P$102,A51)&gt;1,"중복! 확인",""))</f>
        <v/>
      </c>
      <c r="F51" s="7" t="str">
        <f aca="false">IF(A51="","",IF(C51&lt;&gt;"",C51,IF(AND(USE_DIAG=1,진단!C51&lt;&gt;""),진단!C51,"")))</f>
        <v/>
      </c>
      <c r="G51" s="7" t="str">
        <f aca="false">IF(A51="","",IF(C51&lt;&gt;"","평가A",IF(F51&lt;&gt;"","진단 대체","기준점수 없음")))</f>
        <v/>
      </c>
      <c r="K51" s="8"/>
      <c r="L51" s="8"/>
      <c r="M51" s="8"/>
      <c r="N51" s="8"/>
      <c r="P51" s="0" t="str">
        <f aca="false">IF(TRIM(K51&amp;"")="","",UPPER(TRIM(K51&amp;"")))</f>
        <v/>
      </c>
      <c r="Q51" s="0" t="str">
        <f aca="false">IF(P51="","",IF(ISNUMBER(N51),ROUND(N51,1),IF(AND(ISNUMBER(L51),ISNUMBER(M51)),IF(M51&gt;0,ROUND(L51/M51*100,1),""),"")))</f>
        <v/>
      </c>
      <c r="R51" s="0" t="str">
        <f aca="false">IF(P51="","",IF(COUNTIF(참가자!$A$3:$A$52,P51)=0,"명단에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IF(A52="","",IFERROR(INDEX($Q$3:$Q$102,MATCH(A52,$P$3:$P$102,0)),""))</f>
        <v/>
      </c>
      <c r="D52" s="7" t="str">
        <f aca="false">IF(A52="","",IF(C52="","결석","응시"))</f>
        <v/>
      </c>
      <c r="E52" s="7" t="str">
        <f aca="false">IF(A52="","",IF(COUNTIF($P$3:$P$102,A52)&gt;1,"중복! 확인",""))</f>
        <v/>
      </c>
      <c r="F52" s="7" t="str">
        <f aca="false">IF(A52="","",IF(C52&lt;&gt;"",C52,IF(AND(USE_DIAG=1,진단!C52&lt;&gt;""),진단!C52,"")))</f>
        <v/>
      </c>
      <c r="G52" s="7" t="str">
        <f aca="false">IF(A52="","",IF(C52&lt;&gt;"","평가A",IF(F52&lt;&gt;"","진단 대체","기준점수 없음")))</f>
        <v/>
      </c>
      <c r="K52" s="8"/>
      <c r="L52" s="8"/>
      <c r="M52" s="8"/>
      <c r="N52" s="8"/>
      <c r="P52" s="0" t="str">
        <f aca="false">IF(TRIM(K52&amp;"")="","",UPPER(TRIM(K52&amp;"")))</f>
        <v/>
      </c>
      <c r="Q52" s="0" t="str">
        <f aca="false">IF(P52="","",IF(ISNUMBER(N52),ROUND(N52,1),IF(AND(ISNUMBER(L52),ISNUMBER(M52)),IF(M52&gt;0,ROUND(L52/M52*100,1),""),"")))</f>
        <v/>
      </c>
      <c r="R52" s="0" t="str">
        <f aca="false">IF(P52="","",IF(COUNTIF(참가자!$A$3:$A$52,P52)=0,"명단에 없는 코드",""))</f>
        <v/>
      </c>
    </row>
    <row r="53" customFormat="false" ht="15" hidden="false" customHeight="false" outlineLevel="0" collapsed="false">
      <c r="K53" s="8"/>
      <c r="L53" s="8"/>
      <c r="M53" s="8"/>
      <c r="N53" s="8"/>
      <c r="P53" s="0" t="str">
        <f aca="false">IF(TRIM(K53&amp;"")="","",UPPER(TRIM(K53&amp;"")))</f>
        <v/>
      </c>
      <c r="Q53" s="0" t="str">
        <f aca="false">IF(P53="","",IF(ISNUMBER(N53),ROUND(N53,1),IF(AND(ISNUMBER(L53),ISNUMBER(M53)),IF(M53&gt;0,ROUND(L53/M53*100,1),""),"")))</f>
        <v/>
      </c>
      <c r="R53" s="0" t="str">
        <f aca="false">IF(P53="","",IF(COUNTIF(참가자!$A$3:$A$52,P53)=0,"명단에 없는 코드",""))</f>
        <v/>
      </c>
    </row>
    <row r="54" customFormat="false" ht="15" hidden="false" customHeight="false" outlineLevel="0" collapsed="false">
      <c r="K54" s="8"/>
      <c r="L54" s="8"/>
      <c r="M54" s="8"/>
      <c r="N54" s="8"/>
      <c r="P54" s="0" t="str">
        <f aca="false">IF(TRIM(K54&amp;"")="","",UPPER(TRIM(K54&amp;"")))</f>
        <v/>
      </c>
      <c r="Q54" s="0" t="str">
        <f aca="false">IF(P54="","",IF(ISNUMBER(N54),ROUND(N54,1),IF(AND(ISNUMBER(L54),ISNUMBER(M54)),IF(M54&gt;0,ROUND(L54/M54*100,1),""),"")))</f>
        <v/>
      </c>
      <c r="R54" s="0" t="str">
        <f aca="false">IF(P54="","",IF(COUNTIF(참가자!$A$3:$A$52,P54)=0,"명단에 없는 코드",""))</f>
        <v/>
      </c>
    </row>
    <row r="55" customFormat="false" ht="15" hidden="false" customHeight="false" outlineLevel="0" collapsed="false">
      <c r="K55" s="8"/>
      <c r="L55" s="8"/>
      <c r="M55" s="8"/>
      <c r="N55" s="8"/>
      <c r="P55" s="0" t="str">
        <f aca="false">IF(TRIM(K55&amp;"")="","",UPPER(TRIM(K55&amp;"")))</f>
        <v/>
      </c>
      <c r="Q55" s="0" t="str">
        <f aca="false">IF(P55="","",IF(ISNUMBER(N55),ROUND(N55,1),IF(AND(ISNUMBER(L55),ISNUMBER(M55)),IF(M55&gt;0,ROUND(L55/M55*100,1),""),"")))</f>
        <v/>
      </c>
      <c r="R55" s="0" t="str">
        <f aca="false">IF(P55="","",IF(COUNTIF(참가자!$A$3:$A$52,P55)=0,"명단에 없는 코드",""))</f>
        <v/>
      </c>
    </row>
    <row r="56" customFormat="false" ht="15" hidden="false" customHeight="false" outlineLevel="0" collapsed="false">
      <c r="K56" s="8"/>
      <c r="L56" s="8"/>
      <c r="M56" s="8"/>
      <c r="N56" s="8"/>
      <c r="P56" s="0" t="str">
        <f aca="false">IF(TRIM(K56&amp;"")="","",UPPER(TRIM(K56&amp;"")))</f>
        <v/>
      </c>
      <c r="Q56" s="0" t="str">
        <f aca="false">IF(P56="","",IF(ISNUMBER(N56),ROUND(N56,1),IF(AND(ISNUMBER(L56),ISNUMBER(M56)),IF(M56&gt;0,ROUND(L56/M56*100,1),""),"")))</f>
        <v/>
      </c>
      <c r="R56" s="0" t="str">
        <f aca="false">IF(P56="","",IF(COUNTIF(참가자!$A$3:$A$52,P56)=0,"명단에 없는 코드",""))</f>
        <v/>
      </c>
    </row>
    <row r="57" customFormat="false" ht="15" hidden="false" customHeight="false" outlineLevel="0" collapsed="false">
      <c r="K57" s="8"/>
      <c r="L57" s="8"/>
      <c r="M57" s="8"/>
      <c r="N57" s="8"/>
      <c r="P57" s="0" t="str">
        <f aca="false">IF(TRIM(K57&amp;"")="","",UPPER(TRIM(K57&amp;"")))</f>
        <v/>
      </c>
      <c r="Q57" s="0" t="str">
        <f aca="false">IF(P57="","",IF(ISNUMBER(N57),ROUND(N57,1),IF(AND(ISNUMBER(L57),ISNUMBER(M57)),IF(M57&gt;0,ROUND(L57/M57*100,1),""),"")))</f>
        <v/>
      </c>
      <c r="R57" s="0" t="str">
        <f aca="false">IF(P57="","",IF(COUNTIF(참가자!$A$3:$A$52,P57)=0,"명단에 없는 코드",""))</f>
        <v/>
      </c>
    </row>
    <row r="58" customFormat="false" ht="15" hidden="false" customHeight="false" outlineLevel="0" collapsed="false">
      <c r="K58" s="8"/>
      <c r="L58" s="8"/>
      <c r="M58" s="8"/>
      <c r="N58" s="8"/>
      <c r="P58" s="0" t="str">
        <f aca="false">IF(TRIM(K58&amp;"")="","",UPPER(TRIM(K58&amp;"")))</f>
        <v/>
      </c>
      <c r="Q58" s="0" t="str">
        <f aca="false">IF(P58="","",IF(ISNUMBER(N58),ROUND(N58,1),IF(AND(ISNUMBER(L58),ISNUMBER(M58)),IF(M58&gt;0,ROUND(L58/M58*100,1),""),"")))</f>
        <v/>
      </c>
      <c r="R58" s="0" t="str">
        <f aca="false">IF(P58="","",IF(COUNTIF(참가자!$A$3:$A$52,P58)=0,"명단에 없는 코드",""))</f>
        <v/>
      </c>
    </row>
    <row r="59" customFormat="false" ht="15" hidden="false" customHeight="false" outlineLevel="0" collapsed="false">
      <c r="K59" s="8"/>
      <c r="L59" s="8"/>
      <c r="M59" s="8"/>
      <c r="N59" s="8"/>
      <c r="P59" s="0" t="str">
        <f aca="false">IF(TRIM(K59&amp;"")="","",UPPER(TRIM(K59&amp;"")))</f>
        <v/>
      </c>
      <c r="Q59" s="0" t="str">
        <f aca="false">IF(P59="","",IF(ISNUMBER(N59),ROUND(N59,1),IF(AND(ISNUMBER(L59),ISNUMBER(M59)),IF(M59&gt;0,ROUND(L59/M59*100,1),""),"")))</f>
        <v/>
      </c>
      <c r="R59" s="0" t="str">
        <f aca="false">IF(P59="","",IF(COUNTIF(참가자!$A$3:$A$52,P59)=0,"명단에 없는 코드",""))</f>
        <v/>
      </c>
    </row>
    <row r="60" customFormat="false" ht="15" hidden="false" customHeight="false" outlineLevel="0" collapsed="false">
      <c r="K60" s="8"/>
      <c r="L60" s="8"/>
      <c r="M60" s="8"/>
      <c r="N60" s="8"/>
      <c r="P60" s="0" t="str">
        <f aca="false">IF(TRIM(K60&amp;"")="","",UPPER(TRIM(K60&amp;"")))</f>
        <v/>
      </c>
      <c r="Q60" s="0" t="str">
        <f aca="false">IF(P60="","",IF(ISNUMBER(N60),ROUND(N60,1),IF(AND(ISNUMBER(L60),ISNUMBER(M60)),IF(M60&gt;0,ROUND(L60/M60*100,1),""),"")))</f>
        <v/>
      </c>
      <c r="R60" s="0" t="str">
        <f aca="false">IF(P60="","",IF(COUNTIF(참가자!$A$3:$A$52,P60)=0,"명단에 없는 코드",""))</f>
        <v/>
      </c>
    </row>
    <row r="61" customFormat="false" ht="15" hidden="false" customHeight="false" outlineLevel="0" collapsed="false">
      <c r="K61" s="8"/>
      <c r="L61" s="8"/>
      <c r="M61" s="8"/>
      <c r="N61" s="8"/>
      <c r="P61" s="0" t="str">
        <f aca="false">IF(TRIM(K61&amp;"")="","",UPPER(TRIM(K61&amp;"")))</f>
        <v/>
      </c>
      <c r="Q61" s="0" t="str">
        <f aca="false">IF(P61="","",IF(ISNUMBER(N61),ROUND(N61,1),IF(AND(ISNUMBER(L61),ISNUMBER(M61)),IF(M61&gt;0,ROUND(L61/M61*100,1),""),"")))</f>
        <v/>
      </c>
      <c r="R61" s="0" t="str">
        <f aca="false">IF(P61="","",IF(COUNTIF(참가자!$A$3:$A$52,P61)=0,"명단에 없는 코드",""))</f>
        <v/>
      </c>
    </row>
    <row r="62" customFormat="false" ht="15" hidden="false" customHeight="false" outlineLevel="0" collapsed="false">
      <c r="K62" s="8"/>
      <c r="L62" s="8"/>
      <c r="M62" s="8"/>
      <c r="N62" s="8"/>
      <c r="P62" s="0" t="str">
        <f aca="false">IF(TRIM(K62&amp;"")="","",UPPER(TRIM(K62&amp;"")))</f>
        <v/>
      </c>
      <c r="Q62" s="0" t="str">
        <f aca="false">IF(P62="","",IF(ISNUMBER(N62),ROUND(N62,1),IF(AND(ISNUMBER(L62),ISNUMBER(M62)),IF(M62&gt;0,ROUND(L62/M62*100,1),""),"")))</f>
        <v/>
      </c>
      <c r="R62" s="0" t="str">
        <f aca="false">IF(P62="","",IF(COUNTIF(참가자!$A$3:$A$52,P62)=0,"명단에 없는 코드",""))</f>
        <v/>
      </c>
    </row>
    <row r="63" customFormat="false" ht="15" hidden="false" customHeight="false" outlineLevel="0" collapsed="false">
      <c r="K63" s="8"/>
      <c r="L63" s="8"/>
      <c r="M63" s="8"/>
      <c r="N63" s="8"/>
      <c r="P63" s="0" t="str">
        <f aca="false">IF(TRIM(K63&amp;"")="","",UPPER(TRIM(K63&amp;"")))</f>
        <v/>
      </c>
      <c r="Q63" s="0" t="str">
        <f aca="false">IF(P63="","",IF(ISNUMBER(N63),ROUND(N63,1),IF(AND(ISNUMBER(L63),ISNUMBER(M63)),IF(M63&gt;0,ROUND(L63/M63*100,1),""),"")))</f>
        <v/>
      </c>
      <c r="R63" s="0" t="str">
        <f aca="false">IF(P63="","",IF(COUNTIF(참가자!$A$3:$A$52,P63)=0,"명단에 없는 코드",""))</f>
        <v/>
      </c>
    </row>
    <row r="64" customFormat="false" ht="15" hidden="false" customHeight="false" outlineLevel="0" collapsed="false">
      <c r="K64" s="8"/>
      <c r="L64" s="8"/>
      <c r="M64" s="8"/>
      <c r="N64" s="8"/>
      <c r="P64" s="0" t="str">
        <f aca="false">IF(TRIM(K64&amp;"")="","",UPPER(TRIM(K64&amp;"")))</f>
        <v/>
      </c>
      <c r="Q64" s="0" t="str">
        <f aca="false">IF(P64="","",IF(ISNUMBER(N64),ROUND(N64,1),IF(AND(ISNUMBER(L64),ISNUMBER(M64)),IF(M64&gt;0,ROUND(L64/M64*100,1),""),"")))</f>
        <v/>
      </c>
      <c r="R64" s="0" t="str">
        <f aca="false">IF(P64="","",IF(COUNTIF(참가자!$A$3:$A$52,P64)=0,"명단에 없는 코드",""))</f>
        <v/>
      </c>
    </row>
    <row r="65" customFormat="false" ht="15" hidden="false" customHeight="false" outlineLevel="0" collapsed="false">
      <c r="K65" s="8"/>
      <c r="L65" s="8"/>
      <c r="M65" s="8"/>
      <c r="N65" s="8"/>
      <c r="P65" s="0" t="str">
        <f aca="false">IF(TRIM(K65&amp;"")="","",UPPER(TRIM(K65&amp;"")))</f>
        <v/>
      </c>
      <c r="Q65" s="0" t="str">
        <f aca="false">IF(P65="","",IF(ISNUMBER(N65),ROUND(N65,1),IF(AND(ISNUMBER(L65),ISNUMBER(M65)),IF(M65&gt;0,ROUND(L65/M65*100,1),""),"")))</f>
        <v/>
      </c>
      <c r="R65" s="0" t="str">
        <f aca="false">IF(P65="","",IF(COUNTIF(참가자!$A$3:$A$52,P65)=0,"명단에 없는 코드",""))</f>
        <v/>
      </c>
    </row>
    <row r="66" customFormat="false" ht="15" hidden="false" customHeight="false" outlineLevel="0" collapsed="false">
      <c r="K66" s="8"/>
      <c r="L66" s="8"/>
      <c r="M66" s="8"/>
      <c r="N66" s="8"/>
      <c r="P66" s="0" t="str">
        <f aca="false">IF(TRIM(K66&amp;"")="","",UPPER(TRIM(K66&amp;"")))</f>
        <v/>
      </c>
      <c r="Q66" s="0" t="str">
        <f aca="false">IF(P66="","",IF(ISNUMBER(N66),ROUND(N66,1),IF(AND(ISNUMBER(L66),ISNUMBER(M66)),IF(M66&gt;0,ROUND(L66/M66*100,1),""),"")))</f>
        <v/>
      </c>
      <c r="R66" s="0" t="str">
        <f aca="false">IF(P66="","",IF(COUNTIF(참가자!$A$3:$A$52,P66)=0,"명단에 없는 코드",""))</f>
        <v/>
      </c>
    </row>
    <row r="67" customFormat="false" ht="15" hidden="false" customHeight="false" outlineLevel="0" collapsed="false">
      <c r="K67" s="8"/>
      <c r="L67" s="8"/>
      <c r="M67" s="8"/>
      <c r="N67" s="8"/>
      <c r="P67" s="0" t="str">
        <f aca="false">IF(TRIM(K67&amp;"")="","",UPPER(TRIM(K67&amp;"")))</f>
        <v/>
      </c>
      <c r="Q67" s="0" t="str">
        <f aca="false">IF(P67="","",IF(ISNUMBER(N67),ROUND(N67,1),IF(AND(ISNUMBER(L67),ISNUMBER(M67)),IF(M67&gt;0,ROUND(L67/M67*100,1),""),"")))</f>
        <v/>
      </c>
      <c r="R67" s="0" t="str">
        <f aca="false">IF(P67="","",IF(COUNTIF(참가자!$A$3:$A$52,P67)=0,"명단에 없는 코드",""))</f>
        <v/>
      </c>
    </row>
    <row r="68" customFormat="false" ht="15" hidden="false" customHeight="false" outlineLevel="0" collapsed="false">
      <c r="K68" s="8"/>
      <c r="L68" s="8"/>
      <c r="M68" s="8"/>
      <c r="N68" s="8"/>
      <c r="P68" s="0" t="str">
        <f aca="false">IF(TRIM(K68&amp;"")="","",UPPER(TRIM(K68&amp;"")))</f>
        <v/>
      </c>
      <c r="Q68" s="0" t="str">
        <f aca="false">IF(P68="","",IF(ISNUMBER(N68),ROUND(N68,1),IF(AND(ISNUMBER(L68),ISNUMBER(M68)),IF(M68&gt;0,ROUND(L68/M68*100,1),""),"")))</f>
        <v/>
      </c>
      <c r="R68" s="0" t="str">
        <f aca="false">IF(P68="","",IF(COUNTIF(참가자!$A$3:$A$52,P68)=0,"명단에 없는 코드",""))</f>
        <v/>
      </c>
    </row>
    <row r="69" customFormat="false" ht="15" hidden="false" customHeight="false" outlineLevel="0" collapsed="false">
      <c r="K69" s="8"/>
      <c r="L69" s="8"/>
      <c r="M69" s="8"/>
      <c r="N69" s="8"/>
      <c r="P69" s="0" t="str">
        <f aca="false">IF(TRIM(K69&amp;"")="","",UPPER(TRIM(K69&amp;"")))</f>
        <v/>
      </c>
      <c r="Q69" s="0" t="str">
        <f aca="false">IF(P69="","",IF(ISNUMBER(N69),ROUND(N69,1),IF(AND(ISNUMBER(L69),ISNUMBER(M69)),IF(M69&gt;0,ROUND(L69/M69*100,1),""),"")))</f>
        <v/>
      </c>
      <c r="R69" s="0" t="str">
        <f aca="false">IF(P69="","",IF(COUNTIF(참가자!$A$3:$A$52,P69)=0,"명단에 없는 코드",""))</f>
        <v/>
      </c>
    </row>
    <row r="70" customFormat="false" ht="15" hidden="false" customHeight="false" outlineLevel="0" collapsed="false">
      <c r="K70" s="8"/>
      <c r="L70" s="8"/>
      <c r="M70" s="8"/>
      <c r="N70" s="8"/>
      <c r="P70" s="0" t="str">
        <f aca="false">IF(TRIM(K70&amp;"")="","",UPPER(TRIM(K70&amp;"")))</f>
        <v/>
      </c>
      <c r="Q70" s="0" t="str">
        <f aca="false">IF(P70="","",IF(ISNUMBER(N70),ROUND(N70,1),IF(AND(ISNUMBER(L70),ISNUMBER(M70)),IF(M70&gt;0,ROUND(L70/M70*100,1),""),"")))</f>
        <v/>
      </c>
      <c r="R70" s="0" t="str">
        <f aca="false">IF(P70="","",IF(COUNTIF(참가자!$A$3:$A$52,P70)=0,"명단에 없는 코드",""))</f>
        <v/>
      </c>
    </row>
    <row r="71" customFormat="false" ht="15" hidden="false" customHeight="false" outlineLevel="0" collapsed="false">
      <c r="K71" s="8"/>
      <c r="L71" s="8"/>
      <c r="M71" s="8"/>
      <c r="N71" s="8"/>
      <c r="P71" s="0" t="str">
        <f aca="false">IF(TRIM(K71&amp;"")="","",UPPER(TRIM(K71&amp;"")))</f>
        <v/>
      </c>
      <c r="Q71" s="0" t="str">
        <f aca="false">IF(P71="","",IF(ISNUMBER(N71),ROUND(N71,1),IF(AND(ISNUMBER(L71),ISNUMBER(M71)),IF(M71&gt;0,ROUND(L71/M71*100,1),""),"")))</f>
        <v/>
      </c>
      <c r="R71" s="0" t="str">
        <f aca="false">IF(P71="","",IF(COUNTIF(참가자!$A$3:$A$52,P71)=0,"명단에 없는 코드",""))</f>
        <v/>
      </c>
    </row>
    <row r="72" customFormat="false" ht="15" hidden="false" customHeight="false" outlineLevel="0" collapsed="false">
      <c r="K72" s="8"/>
      <c r="L72" s="8"/>
      <c r="M72" s="8"/>
      <c r="N72" s="8"/>
      <c r="P72" s="0" t="str">
        <f aca="false">IF(TRIM(K72&amp;"")="","",UPPER(TRIM(K72&amp;"")))</f>
        <v/>
      </c>
      <c r="Q72" s="0" t="str">
        <f aca="false">IF(P72="","",IF(ISNUMBER(N72),ROUND(N72,1),IF(AND(ISNUMBER(L72),ISNUMBER(M72)),IF(M72&gt;0,ROUND(L72/M72*100,1),""),"")))</f>
        <v/>
      </c>
      <c r="R72" s="0" t="str">
        <f aca="false">IF(P72="","",IF(COUNTIF(참가자!$A$3:$A$52,P72)=0,"명단에 없는 코드",""))</f>
        <v/>
      </c>
    </row>
    <row r="73" customFormat="false" ht="15" hidden="false" customHeight="false" outlineLevel="0" collapsed="false">
      <c r="K73" s="8"/>
      <c r="L73" s="8"/>
      <c r="M73" s="8"/>
      <c r="N73" s="8"/>
      <c r="P73" s="0" t="str">
        <f aca="false">IF(TRIM(K73&amp;"")="","",UPPER(TRIM(K73&amp;"")))</f>
        <v/>
      </c>
      <c r="Q73" s="0" t="str">
        <f aca="false">IF(P73="","",IF(ISNUMBER(N73),ROUND(N73,1),IF(AND(ISNUMBER(L73),ISNUMBER(M73)),IF(M73&gt;0,ROUND(L73/M73*100,1),""),"")))</f>
        <v/>
      </c>
      <c r="R73" s="0" t="str">
        <f aca="false">IF(P73="","",IF(COUNTIF(참가자!$A$3:$A$52,P73)=0,"명단에 없는 코드",""))</f>
        <v/>
      </c>
    </row>
    <row r="74" customFormat="false" ht="15" hidden="false" customHeight="false" outlineLevel="0" collapsed="false">
      <c r="K74" s="8"/>
      <c r="L74" s="8"/>
      <c r="M74" s="8"/>
      <c r="N74" s="8"/>
      <c r="P74" s="0" t="str">
        <f aca="false">IF(TRIM(K74&amp;"")="","",UPPER(TRIM(K74&amp;"")))</f>
        <v/>
      </c>
      <c r="Q74" s="0" t="str">
        <f aca="false">IF(P74="","",IF(ISNUMBER(N74),ROUND(N74,1),IF(AND(ISNUMBER(L74),ISNUMBER(M74)),IF(M74&gt;0,ROUND(L74/M74*100,1),""),"")))</f>
        <v/>
      </c>
      <c r="R74" s="0" t="str">
        <f aca="false">IF(P74="","",IF(COUNTIF(참가자!$A$3:$A$52,P74)=0,"명단에 없는 코드",""))</f>
        <v/>
      </c>
    </row>
    <row r="75" customFormat="false" ht="15" hidden="false" customHeight="false" outlineLevel="0" collapsed="false">
      <c r="K75" s="8"/>
      <c r="L75" s="8"/>
      <c r="M75" s="8"/>
      <c r="N75" s="8"/>
      <c r="P75" s="0" t="str">
        <f aca="false">IF(TRIM(K75&amp;"")="","",UPPER(TRIM(K75&amp;"")))</f>
        <v/>
      </c>
      <c r="Q75" s="0" t="str">
        <f aca="false">IF(P75="","",IF(ISNUMBER(N75),ROUND(N75,1),IF(AND(ISNUMBER(L75),ISNUMBER(M75)),IF(M75&gt;0,ROUND(L75/M75*100,1),""),"")))</f>
        <v/>
      </c>
      <c r="R75" s="0" t="str">
        <f aca="false">IF(P75="","",IF(COUNTIF(참가자!$A$3:$A$52,P75)=0,"명단에 없는 코드",""))</f>
        <v/>
      </c>
    </row>
    <row r="76" customFormat="false" ht="15" hidden="false" customHeight="false" outlineLevel="0" collapsed="false">
      <c r="K76" s="8"/>
      <c r="L76" s="8"/>
      <c r="M76" s="8"/>
      <c r="N76" s="8"/>
      <c r="P76" s="0" t="str">
        <f aca="false">IF(TRIM(K76&amp;"")="","",UPPER(TRIM(K76&amp;"")))</f>
        <v/>
      </c>
      <c r="Q76" s="0" t="str">
        <f aca="false">IF(P76="","",IF(ISNUMBER(N76),ROUND(N76,1),IF(AND(ISNUMBER(L76),ISNUMBER(M76)),IF(M76&gt;0,ROUND(L76/M76*100,1),""),"")))</f>
        <v/>
      </c>
      <c r="R76" s="0" t="str">
        <f aca="false">IF(P76="","",IF(COUNTIF(참가자!$A$3:$A$52,P76)=0,"명단에 없는 코드",""))</f>
        <v/>
      </c>
    </row>
    <row r="77" customFormat="false" ht="15" hidden="false" customHeight="false" outlineLevel="0" collapsed="false">
      <c r="K77" s="8"/>
      <c r="L77" s="8"/>
      <c r="M77" s="8"/>
      <c r="N77" s="8"/>
      <c r="P77" s="0" t="str">
        <f aca="false">IF(TRIM(K77&amp;"")="","",UPPER(TRIM(K77&amp;"")))</f>
        <v/>
      </c>
      <c r="Q77" s="0" t="str">
        <f aca="false">IF(P77="","",IF(ISNUMBER(N77),ROUND(N77,1),IF(AND(ISNUMBER(L77),ISNUMBER(M77)),IF(M77&gt;0,ROUND(L77/M77*100,1),""),"")))</f>
        <v/>
      </c>
      <c r="R77" s="0" t="str">
        <f aca="false">IF(P77="","",IF(COUNTIF(참가자!$A$3:$A$52,P77)=0,"명단에 없는 코드",""))</f>
        <v/>
      </c>
    </row>
    <row r="78" customFormat="false" ht="15" hidden="false" customHeight="false" outlineLevel="0" collapsed="false">
      <c r="K78" s="8"/>
      <c r="L78" s="8"/>
      <c r="M78" s="8"/>
      <c r="N78" s="8"/>
      <c r="P78" s="0" t="str">
        <f aca="false">IF(TRIM(K78&amp;"")="","",UPPER(TRIM(K78&amp;"")))</f>
        <v/>
      </c>
      <c r="Q78" s="0" t="str">
        <f aca="false">IF(P78="","",IF(ISNUMBER(N78),ROUND(N78,1),IF(AND(ISNUMBER(L78),ISNUMBER(M78)),IF(M78&gt;0,ROUND(L78/M78*100,1),""),"")))</f>
        <v/>
      </c>
      <c r="R78" s="0" t="str">
        <f aca="false">IF(P78="","",IF(COUNTIF(참가자!$A$3:$A$52,P78)=0,"명단에 없는 코드",""))</f>
        <v/>
      </c>
    </row>
    <row r="79" customFormat="false" ht="15" hidden="false" customHeight="false" outlineLevel="0" collapsed="false">
      <c r="K79" s="8"/>
      <c r="L79" s="8"/>
      <c r="M79" s="8"/>
      <c r="N79" s="8"/>
      <c r="P79" s="0" t="str">
        <f aca="false">IF(TRIM(K79&amp;"")="","",UPPER(TRIM(K79&amp;"")))</f>
        <v/>
      </c>
      <c r="Q79" s="0" t="str">
        <f aca="false">IF(P79="","",IF(ISNUMBER(N79),ROUND(N79,1),IF(AND(ISNUMBER(L79),ISNUMBER(M79)),IF(M79&gt;0,ROUND(L79/M79*100,1),""),"")))</f>
        <v/>
      </c>
      <c r="R79" s="0" t="str">
        <f aca="false">IF(P79="","",IF(COUNTIF(참가자!$A$3:$A$52,P79)=0,"명단에 없는 코드",""))</f>
        <v/>
      </c>
    </row>
    <row r="80" customFormat="false" ht="15" hidden="false" customHeight="false" outlineLevel="0" collapsed="false">
      <c r="K80" s="8"/>
      <c r="L80" s="8"/>
      <c r="M80" s="8"/>
      <c r="N80" s="8"/>
      <c r="P80" s="0" t="str">
        <f aca="false">IF(TRIM(K80&amp;"")="","",UPPER(TRIM(K80&amp;"")))</f>
        <v/>
      </c>
      <c r="Q80" s="0" t="str">
        <f aca="false">IF(P80="","",IF(ISNUMBER(N80),ROUND(N80,1),IF(AND(ISNUMBER(L80),ISNUMBER(M80)),IF(M80&gt;0,ROUND(L80/M80*100,1),""),"")))</f>
        <v/>
      </c>
      <c r="R80" s="0" t="str">
        <f aca="false">IF(P80="","",IF(COUNTIF(참가자!$A$3:$A$52,P80)=0,"명단에 없는 코드",""))</f>
        <v/>
      </c>
    </row>
    <row r="81" customFormat="false" ht="15" hidden="false" customHeight="false" outlineLevel="0" collapsed="false">
      <c r="K81" s="8"/>
      <c r="L81" s="8"/>
      <c r="M81" s="8"/>
      <c r="N81" s="8"/>
      <c r="P81" s="0" t="str">
        <f aca="false">IF(TRIM(K81&amp;"")="","",UPPER(TRIM(K81&amp;"")))</f>
        <v/>
      </c>
      <c r="Q81" s="0" t="str">
        <f aca="false">IF(P81="","",IF(ISNUMBER(N81),ROUND(N81,1),IF(AND(ISNUMBER(L81),ISNUMBER(M81)),IF(M81&gt;0,ROUND(L81/M81*100,1),""),"")))</f>
        <v/>
      </c>
      <c r="R81" s="0" t="str">
        <f aca="false">IF(P81="","",IF(COUNTIF(참가자!$A$3:$A$52,P81)=0,"명단에 없는 코드",""))</f>
        <v/>
      </c>
    </row>
    <row r="82" customFormat="false" ht="15" hidden="false" customHeight="false" outlineLevel="0" collapsed="false">
      <c r="K82" s="8"/>
      <c r="L82" s="8"/>
      <c r="M82" s="8"/>
      <c r="N82" s="8"/>
      <c r="P82" s="0" t="str">
        <f aca="false">IF(TRIM(K82&amp;"")="","",UPPER(TRIM(K82&amp;"")))</f>
        <v/>
      </c>
      <c r="Q82" s="0" t="str">
        <f aca="false">IF(P82="","",IF(ISNUMBER(N82),ROUND(N82,1),IF(AND(ISNUMBER(L82),ISNUMBER(M82)),IF(M82&gt;0,ROUND(L82/M82*100,1),""),"")))</f>
        <v/>
      </c>
      <c r="R82" s="0" t="str">
        <f aca="false">IF(P82="","",IF(COUNTIF(참가자!$A$3:$A$52,P82)=0,"명단에 없는 코드",""))</f>
        <v/>
      </c>
    </row>
    <row r="83" customFormat="false" ht="15" hidden="false" customHeight="false" outlineLevel="0" collapsed="false">
      <c r="K83" s="8"/>
      <c r="L83" s="8"/>
      <c r="M83" s="8"/>
      <c r="N83" s="8"/>
      <c r="P83" s="0" t="str">
        <f aca="false">IF(TRIM(K83&amp;"")="","",UPPER(TRIM(K83&amp;"")))</f>
        <v/>
      </c>
      <c r="Q83" s="0" t="str">
        <f aca="false">IF(P83="","",IF(ISNUMBER(N83),ROUND(N83,1),IF(AND(ISNUMBER(L83),ISNUMBER(M83)),IF(M83&gt;0,ROUND(L83/M83*100,1),""),"")))</f>
        <v/>
      </c>
      <c r="R83" s="0" t="str">
        <f aca="false">IF(P83="","",IF(COUNTIF(참가자!$A$3:$A$52,P83)=0,"명단에 없는 코드",""))</f>
        <v/>
      </c>
    </row>
    <row r="84" customFormat="false" ht="15" hidden="false" customHeight="false" outlineLevel="0" collapsed="false">
      <c r="K84" s="8"/>
      <c r="L84" s="8"/>
      <c r="M84" s="8"/>
      <c r="N84" s="8"/>
      <c r="P84" s="0" t="str">
        <f aca="false">IF(TRIM(K84&amp;"")="","",UPPER(TRIM(K84&amp;"")))</f>
        <v/>
      </c>
      <c r="Q84" s="0" t="str">
        <f aca="false">IF(P84="","",IF(ISNUMBER(N84),ROUND(N84,1),IF(AND(ISNUMBER(L84),ISNUMBER(M84)),IF(M84&gt;0,ROUND(L84/M84*100,1),""),"")))</f>
        <v/>
      </c>
      <c r="R84" s="0" t="str">
        <f aca="false">IF(P84="","",IF(COUNTIF(참가자!$A$3:$A$52,P84)=0,"명단에 없는 코드",""))</f>
        <v/>
      </c>
    </row>
    <row r="85" customFormat="false" ht="15" hidden="false" customHeight="false" outlineLevel="0" collapsed="false">
      <c r="K85" s="8"/>
      <c r="L85" s="8"/>
      <c r="M85" s="8"/>
      <c r="N85" s="8"/>
      <c r="P85" s="0" t="str">
        <f aca="false">IF(TRIM(K85&amp;"")="","",UPPER(TRIM(K85&amp;"")))</f>
        <v/>
      </c>
      <c r="Q85" s="0" t="str">
        <f aca="false">IF(P85="","",IF(ISNUMBER(N85),ROUND(N85,1),IF(AND(ISNUMBER(L85),ISNUMBER(M85)),IF(M85&gt;0,ROUND(L85/M85*100,1),""),"")))</f>
        <v/>
      </c>
      <c r="R85" s="0" t="str">
        <f aca="false">IF(P85="","",IF(COUNTIF(참가자!$A$3:$A$52,P85)=0,"명단에 없는 코드",""))</f>
        <v/>
      </c>
    </row>
    <row r="86" customFormat="false" ht="15" hidden="false" customHeight="false" outlineLevel="0" collapsed="false">
      <c r="K86" s="8"/>
      <c r="L86" s="8"/>
      <c r="M86" s="8"/>
      <c r="N86" s="8"/>
      <c r="P86" s="0" t="str">
        <f aca="false">IF(TRIM(K86&amp;"")="","",UPPER(TRIM(K86&amp;"")))</f>
        <v/>
      </c>
      <c r="Q86" s="0" t="str">
        <f aca="false">IF(P86="","",IF(ISNUMBER(N86),ROUND(N86,1),IF(AND(ISNUMBER(L86),ISNUMBER(M86)),IF(M86&gt;0,ROUND(L86/M86*100,1),""),"")))</f>
        <v/>
      </c>
      <c r="R86" s="0" t="str">
        <f aca="false">IF(P86="","",IF(COUNTIF(참가자!$A$3:$A$52,P86)=0,"명단에 없는 코드",""))</f>
        <v/>
      </c>
    </row>
    <row r="87" customFormat="false" ht="15" hidden="false" customHeight="false" outlineLevel="0" collapsed="false">
      <c r="K87" s="8"/>
      <c r="L87" s="8"/>
      <c r="M87" s="8"/>
      <c r="N87" s="8"/>
      <c r="P87" s="0" t="str">
        <f aca="false">IF(TRIM(K87&amp;"")="","",UPPER(TRIM(K87&amp;"")))</f>
        <v/>
      </c>
      <c r="Q87" s="0" t="str">
        <f aca="false">IF(P87="","",IF(ISNUMBER(N87),ROUND(N87,1),IF(AND(ISNUMBER(L87),ISNUMBER(M87)),IF(M87&gt;0,ROUND(L87/M87*100,1),""),"")))</f>
        <v/>
      </c>
      <c r="R87" s="0" t="str">
        <f aca="false">IF(P87="","",IF(COUNTIF(참가자!$A$3:$A$52,P87)=0,"명단에 없는 코드",""))</f>
        <v/>
      </c>
    </row>
    <row r="88" customFormat="false" ht="15" hidden="false" customHeight="false" outlineLevel="0" collapsed="false">
      <c r="K88" s="8"/>
      <c r="L88" s="8"/>
      <c r="M88" s="8"/>
      <c r="N88" s="8"/>
      <c r="P88" s="0" t="str">
        <f aca="false">IF(TRIM(K88&amp;"")="","",UPPER(TRIM(K88&amp;"")))</f>
        <v/>
      </c>
      <c r="Q88" s="0" t="str">
        <f aca="false">IF(P88="","",IF(ISNUMBER(N88),ROUND(N88,1),IF(AND(ISNUMBER(L88),ISNUMBER(M88)),IF(M88&gt;0,ROUND(L88/M88*100,1),""),"")))</f>
        <v/>
      </c>
      <c r="R88" s="0" t="str">
        <f aca="false">IF(P88="","",IF(COUNTIF(참가자!$A$3:$A$52,P88)=0,"명단에 없는 코드",""))</f>
        <v/>
      </c>
    </row>
    <row r="89" customFormat="false" ht="15" hidden="false" customHeight="false" outlineLevel="0" collapsed="false">
      <c r="K89" s="8"/>
      <c r="L89" s="8"/>
      <c r="M89" s="8"/>
      <c r="N89" s="8"/>
      <c r="P89" s="0" t="str">
        <f aca="false">IF(TRIM(K89&amp;"")="","",UPPER(TRIM(K89&amp;"")))</f>
        <v/>
      </c>
      <c r="Q89" s="0" t="str">
        <f aca="false">IF(P89="","",IF(ISNUMBER(N89),ROUND(N89,1),IF(AND(ISNUMBER(L89),ISNUMBER(M89)),IF(M89&gt;0,ROUND(L89/M89*100,1),""),"")))</f>
        <v/>
      </c>
      <c r="R89" s="0" t="str">
        <f aca="false">IF(P89="","",IF(COUNTIF(참가자!$A$3:$A$52,P89)=0,"명단에 없는 코드",""))</f>
        <v/>
      </c>
    </row>
    <row r="90" customFormat="false" ht="15" hidden="false" customHeight="false" outlineLevel="0" collapsed="false">
      <c r="K90" s="8"/>
      <c r="L90" s="8"/>
      <c r="M90" s="8"/>
      <c r="N90" s="8"/>
      <c r="P90" s="0" t="str">
        <f aca="false">IF(TRIM(K90&amp;"")="","",UPPER(TRIM(K90&amp;"")))</f>
        <v/>
      </c>
      <c r="Q90" s="0" t="str">
        <f aca="false">IF(P90="","",IF(ISNUMBER(N90),ROUND(N90,1),IF(AND(ISNUMBER(L90),ISNUMBER(M90)),IF(M90&gt;0,ROUND(L90/M90*100,1),""),"")))</f>
        <v/>
      </c>
      <c r="R90" s="0" t="str">
        <f aca="false">IF(P90="","",IF(COUNTIF(참가자!$A$3:$A$52,P90)=0,"명단에 없는 코드",""))</f>
        <v/>
      </c>
    </row>
    <row r="91" customFormat="false" ht="15" hidden="false" customHeight="false" outlineLevel="0" collapsed="false">
      <c r="K91" s="8"/>
      <c r="L91" s="8"/>
      <c r="M91" s="8"/>
      <c r="N91" s="8"/>
      <c r="P91" s="0" t="str">
        <f aca="false">IF(TRIM(K91&amp;"")="","",UPPER(TRIM(K91&amp;"")))</f>
        <v/>
      </c>
      <c r="Q91" s="0" t="str">
        <f aca="false">IF(P91="","",IF(ISNUMBER(N91),ROUND(N91,1),IF(AND(ISNUMBER(L91),ISNUMBER(M91)),IF(M91&gt;0,ROUND(L91/M91*100,1),""),"")))</f>
        <v/>
      </c>
      <c r="R91" s="0" t="str">
        <f aca="false">IF(P91="","",IF(COUNTIF(참가자!$A$3:$A$52,P91)=0,"명단에 없는 코드",""))</f>
        <v/>
      </c>
    </row>
    <row r="92" customFormat="false" ht="15" hidden="false" customHeight="false" outlineLevel="0" collapsed="false">
      <c r="K92" s="8"/>
      <c r="L92" s="8"/>
      <c r="M92" s="8"/>
      <c r="N92" s="8"/>
      <c r="P92" s="0" t="str">
        <f aca="false">IF(TRIM(K92&amp;"")="","",UPPER(TRIM(K92&amp;"")))</f>
        <v/>
      </c>
      <c r="Q92" s="0" t="str">
        <f aca="false">IF(P92="","",IF(ISNUMBER(N92),ROUND(N92,1),IF(AND(ISNUMBER(L92),ISNUMBER(M92)),IF(M92&gt;0,ROUND(L92/M92*100,1),""),"")))</f>
        <v/>
      </c>
      <c r="R92" s="0" t="str">
        <f aca="false">IF(P92="","",IF(COUNTIF(참가자!$A$3:$A$52,P92)=0,"명단에 없는 코드",""))</f>
        <v/>
      </c>
    </row>
    <row r="93" customFormat="false" ht="15" hidden="false" customHeight="false" outlineLevel="0" collapsed="false">
      <c r="K93" s="8"/>
      <c r="L93" s="8"/>
      <c r="M93" s="8"/>
      <c r="N93" s="8"/>
      <c r="P93" s="0" t="str">
        <f aca="false">IF(TRIM(K93&amp;"")="","",UPPER(TRIM(K93&amp;"")))</f>
        <v/>
      </c>
      <c r="Q93" s="0" t="str">
        <f aca="false">IF(P93="","",IF(ISNUMBER(N93),ROUND(N93,1),IF(AND(ISNUMBER(L93),ISNUMBER(M93)),IF(M93&gt;0,ROUND(L93/M93*100,1),""),"")))</f>
        <v/>
      </c>
      <c r="R93" s="0" t="str">
        <f aca="false">IF(P93="","",IF(COUNTIF(참가자!$A$3:$A$52,P93)=0,"명단에 없는 코드",""))</f>
        <v/>
      </c>
    </row>
    <row r="94" customFormat="false" ht="15" hidden="false" customHeight="false" outlineLevel="0" collapsed="false">
      <c r="K94" s="8"/>
      <c r="L94" s="8"/>
      <c r="M94" s="8"/>
      <c r="N94" s="8"/>
      <c r="P94" s="0" t="str">
        <f aca="false">IF(TRIM(K94&amp;"")="","",UPPER(TRIM(K94&amp;"")))</f>
        <v/>
      </c>
      <c r="Q94" s="0" t="str">
        <f aca="false">IF(P94="","",IF(ISNUMBER(N94),ROUND(N94,1),IF(AND(ISNUMBER(L94),ISNUMBER(M94)),IF(M94&gt;0,ROUND(L94/M94*100,1),""),"")))</f>
        <v/>
      </c>
      <c r="R94" s="0" t="str">
        <f aca="false">IF(P94="","",IF(COUNTIF(참가자!$A$3:$A$52,P94)=0,"명단에 없는 코드",""))</f>
        <v/>
      </c>
    </row>
    <row r="95" customFormat="false" ht="15" hidden="false" customHeight="false" outlineLevel="0" collapsed="false">
      <c r="K95" s="8"/>
      <c r="L95" s="8"/>
      <c r="M95" s="8"/>
      <c r="N95" s="8"/>
      <c r="P95" s="0" t="str">
        <f aca="false">IF(TRIM(K95&amp;"")="","",UPPER(TRIM(K95&amp;"")))</f>
        <v/>
      </c>
      <c r="Q95" s="0" t="str">
        <f aca="false">IF(P95="","",IF(ISNUMBER(N95),ROUND(N95,1),IF(AND(ISNUMBER(L95),ISNUMBER(M95)),IF(M95&gt;0,ROUND(L95/M95*100,1),""),"")))</f>
        <v/>
      </c>
      <c r="R95" s="0" t="str">
        <f aca="false">IF(P95="","",IF(COUNTIF(참가자!$A$3:$A$52,P95)=0,"명단에 없는 코드",""))</f>
        <v/>
      </c>
    </row>
    <row r="96" customFormat="false" ht="15" hidden="false" customHeight="false" outlineLevel="0" collapsed="false">
      <c r="K96" s="8"/>
      <c r="L96" s="8"/>
      <c r="M96" s="8"/>
      <c r="N96" s="8"/>
      <c r="P96" s="0" t="str">
        <f aca="false">IF(TRIM(K96&amp;"")="","",UPPER(TRIM(K96&amp;"")))</f>
        <v/>
      </c>
      <c r="Q96" s="0" t="str">
        <f aca="false">IF(P96="","",IF(ISNUMBER(N96),ROUND(N96,1),IF(AND(ISNUMBER(L96),ISNUMBER(M96)),IF(M96&gt;0,ROUND(L96/M96*100,1),""),"")))</f>
        <v/>
      </c>
      <c r="R96" s="0" t="str">
        <f aca="false">IF(P96="","",IF(COUNTIF(참가자!$A$3:$A$52,P96)=0,"명단에 없는 코드",""))</f>
        <v/>
      </c>
    </row>
    <row r="97" customFormat="false" ht="15" hidden="false" customHeight="false" outlineLevel="0" collapsed="false">
      <c r="K97" s="8"/>
      <c r="L97" s="8"/>
      <c r="M97" s="8"/>
      <c r="N97" s="8"/>
      <c r="P97" s="0" t="str">
        <f aca="false">IF(TRIM(K97&amp;"")="","",UPPER(TRIM(K97&amp;"")))</f>
        <v/>
      </c>
      <c r="Q97" s="0" t="str">
        <f aca="false">IF(P97="","",IF(ISNUMBER(N97),ROUND(N97,1),IF(AND(ISNUMBER(L97),ISNUMBER(M97)),IF(M97&gt;0,ROUND(L97/M97*100,1),""),"")))</f>
        <v/>
      </c>
      <c r="R97" s="0" t="str">
        <f aca="false">IF(P97="","",IF(COUNTIF(참가자!$A$3:$A$52,P97)=0,"명단에 없는 코드",""))</f>
        <v/>
      </c>
    </row>
    <row r="98" customFormat="false" ht="15" hidden="false" customHeight="false" outlineLevel="0" collapsed="false">
      <c r="K98" s="8"/>
      <c r="L98" s="8"/>
      <c r="M98" s="8"/>
      <c r="N98" s="8"/>
      <c r="P98" s="0" t="str">
        <f aca="false">IF(TRIM(K98&amp;"")="","",UPPER(TRIM(K98&amp;"")))</f>
        <v/>
      </c>
      <c r="Q98" s="0" t="str">
        <f aca="false">IF(P98="","",IF(ISNUMBER(N98),ROUND(N98,1),IF(AND(ISNUMBER(L98),ISNUMBER(M98)),IF(M98&gt;0,ROUND(L98/M98*100,1),""),"")))</f>
        <v/>
      </c>
      <c r="R98" s="0" t="str">
        <f aca="false">IF(P98="","",IF(COUNTIF(참가자!$A$3:$A$52,P98)=0,"명단에 없는 코드",""))</f>
        <v/>
      </c>
    </row>
    <row r="99" customFormat="false" ht="15" hidden="false" customHeight="false" outlineLevel="0" collapsed="false">
      <c r="K99" s="8"/>
      <c r="L99" s="8"/>
      <c r="M99" s="8"/>
      <c r="N99" s="8"/>
      <c r="P99" s="0" t="str">
        <f aca="false">IF(TRIM(K99&amp;"")="","",UPPER(TRIM(K99&amp;"")))</f>
        <v/>
      </c>
      <c r="Q99" s="0" t="str">
        <f aca="false">IF(P99="","",IF(ISNUMBER(N99),ROUND(N99,1),IF(AND(ISNUMBER(L99),ISNUMBER(M99)),IF(M99&gt;0,ROUND(L99/M99*100,1),""),"")))</f>
        <v/>
      </c>
      <c r="R99" s="0" t="str">
        <f aca="false">IF(P99="","",IF(COUNTIF(참가자!$A$3:$A$52,P99)=0,"명단에 없는 코드",""))</f>
        <v/>
      </c>
    </row>
    <row r="100" customFormat="false" ht="15" hidden="false" customHeight="false" outlineLevel="0" collapsed="false">
      <c r="K100" s="8"/>
      <c r="L100" s="8"/>
      <c r="M100" s="8"/>
      <c r="N100" s="8"/>
      <c r="P100" s="0" t="str">
        <f aca="false">IF(TRIM(K100&amp;"")="","",UPPER(TRIM(K100&amp;"")))</f>
        <v/>
      </c>
      <c r="Q100" s="0" t="str">
        <f aca="false">IF(P100="","",IF(ISNUMBER(N100),ROUND(N100,1),IF(AND(ISNUMBER(L100),ISNUMBER(M100)),IF(M100&gt;0,ROUND(L100/M100*100,1),""),"")))</f>
        <v/>
      </c>
      <c r="R100" s="0" t="str">
        <f aca="false">IF(P100="","",IF(COUNTIF(참가자!$A$3:$A$52,P100)=0,"명단에 없는 코드",""))</f>
        <v/>
      </c>
    </row>
    <row r="101" customFormat="false" ht="15" hidden="false" customHeight="false" outlineLevel="0" collapsed="false">
      <c r="K101" s="8"/>
      <c r="L101" s="8"/>
      <c r="M101" s="8"/>
      <c r="N101" s="8"/>
      <c r="P101" s="0" t="str">
        <f aca="false">IF(TRIM(K101&amp;"")="","",UPPER(TRIM(K101&amp;"")))</f>
        <v/>
      </c>
      <c r="Q101" s="0" t="str">
        <f aca="false">IF(P101="","",IF(ISNUMBER(N101),ROUND(N101,1),IF(AND(ISNUMBER(L101),ISNUMBER(M101)),IF(M101&gt;0,ROUND(L101/M101*100,1),""),"")))</f>
        <v/>
      </c>
      <c r="R101" s="0" t="str">
        <f aca="false">IF(P101="","",IF(COUNTIF(참가자!$A$3:$A$52,P101)=0,"명단에 없는 코드",""))</f>
        <v/>
      </c>
    </row>
    <row r="102" customFormat="false" ht="15" hidden="false" customHeight="false" outlineLevel="0" collapsed="false">
      <c r="K102" s="8"/>
      <c r="L102" s="8"/>
      <c r="M102" s="8"/>
      <c r="N102" s="8"/>
      <c r="P102" s="0" t="str">
        <f aca="false">IF(TRIM(K102&amp;"")="","",UPPER(TRIM(K102&amp;"")))</f>
        <v/>
      </c>
      <c r="Q102" s="0" t="str">
        <f aca="false">IF(P102="","",IF(ISNUMBER(N102),ROUND(N102,1),IF(AND(ISNUMBER(L102),ISNUMBER(M102)),IF(M102&gt;0,ROUND(L102/M102*100,1),""),"")))</f>
        <v/>
      </c>
      <c r="R102" s="0" t="str">
        <f aca="false">IF(P102="","",IF(COUNTIF(참가자!$A$3:$A$52,P102)=0,"명단에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7"/>
    <col collapsed="false" customWidth="true" hidden="false" outlineLevel="0" max="7" min="5" style="0" width="11"/>
    <col collapsed="false" customWidth="true" hidden="false" outlineLevel="0" max="8" min="8" style="0" width="9"/>
    <col collapsed="false" customWidth="true" hidden="false" outlineLevel="0" max="9" min="9" style="0" width="24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3"/>
    <col collapsed="false" customWidth="true" hidden="false" outlineLevel="0" max="17" min="16" style="0" width="12"/>
    <col collapsed="false" customWidth="true" hidden="false" outlineLevel="0" max="18" min="18" style="0" width="16"/>
  </cols>
  <sheetData>
    <row r="1" customFormat="false" ht="15" hidden="false" customHeight="false" outlineLevel="0" collapsed="false">
      <c r="A1" s="4" t="s">
        <v>33</v>
      </c>
      <c r="K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F2" s="5" t="s">
        <v>31</v>
      </c>
      <c r="G2" s="5" t="s">
        <v>34</v>
      </c>
      <c r="H2" s="5" t="s">
        <v>35</v>
      </c>
      <c r="I2" s="5" t="s">
        <v>36</v>
      </c>
      <c r="K2" s="6" t="s">
        <v>1</v>
      </c>
      <c r="L2" s="6" t="s">
        <v>25</v>
      </c>
      <c r="M2" s="6" t="s">
        <v>26</v>
      </c>
      <c r="N2" s="6" t="s">
        <v>22</v>
      </c>
      <c r="P2" s="2" t="s">
        <v>27</v>
      </c>
      <c r="Q2" s="2" t="s">
        <v>28</v>
      </c>
      <c r="R2" s="2" t="s">
        <v>29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IF(A3="","",IFERROR(INDEX($Q$3:$Q$102,MATCH(A3,$P$3:$P$102,0)),""))</f>
        <v>80</v>
      </c>
      <c r="D3" s="7" t="str">
        <f aca="false">IF(A3="","",IF(C3="","결석","응시"))</f>
        <v>응시</v>
      </c>
      <c r="E3" s="7" t="str">
        <f aca="false">IF(A3="","",IF(COUNTIF($P$3:$P$102,A3)&gt;1,"중복! 확인",""))</f>
        <v/>
      </c>
      <c r="F3" s="7" t="n">
        <f aca="false">IF(A3="","",평가A!F3)</f>
        <v>60</v>
      </c>
      <c r="G3" s="7" t="n">
        <f aca="false">IF(A3="","",IF(OR(C3="",F3=""),"",ROUND(C3-F3,1)))</f>
        <v>20</v>
      </c>
      <c r="H3" s="7" t="n">
        <f aca="false">IF(A3="","",IF(C3="","",IF(C3&gt;=HIGH_CUT,PTS_HIGH,IF(F3="","",IF(G3&gt;=STEP2,PTS_HIGH,IF(G3&gt;=STEP1,PTS_MID,PTS_LOW))))))</f>
        <v>20</v>
      </c>
      <c r="I3" s="7" t="str">
        <f aca="false">IF(A3="","",IF(C3="","결석 - 평균에서 제외",IF(C3&gt;=HIGH_CUT,"고득점 유지",IF(F3="","기준점수 없음 - 평균에서 제외",IF(G3&gt;=STEP2,"크게 향상",IF(G3&gt;=STEP1,"유지·소폭 향상","하락"))))))</f>
        <v>크게 향상</v>
      </c>
      <c r="K3" s="8" t="s">
        <v>37</v>
      </c>
      <c r="L3" s="8" t="n">
        <v>8</v>
      </c>
      <c r="M3" s="8" t="n">
        <v>10</v>
      </c>
      <c r="N3" s="8"/>
      <c r="P3" s="0" t="str">
        <f aca="false">IF(TRIM(K3&amp;"")="","",UPPER(TRIM(K3&amp;"")))</f>
        <v>K7QM</v>
      </c>
      <c r="Q3" s="9" t="n">
        <f aca="false">IF(P3="","",IF(ISNUMBER(N3),ROUND(N3,1),IF(AND(ISNUMBER(L3),ISNUMBER(M3)),IF(M3&gt;0,ROUND(L3/M3*100,1),""),"")))</f>
        <v>80</v>
      </c>
      <c r="R3" s="0" t="str">
        <f aca="false">IF(P3="","",IF(COUNTIF(참가자!$A$3:$A$52,P3)=0,"명단에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IF(A4="","",IFERROR(INDEX($Q$3:$Q$102,MATCH(A4,$P$3:$P$102,0)),""))</f>
        <v>90</v>
      </c>
      <c r="D4" s="7" t="str">
        <f aca="false">IF(A4="","",IF(C4="","결석","응시"))</f>
        <v>응시</v>
      </c>
      <c r="E4" s="7" t="str">
        <f aca="false">IF(A4="","",IF(COUNTIF($P$3:$P$102,A4)&gt;1,"중복! 확인",""))</f>
        <v/>
      </c>
      <c r="F4" s="7" t="n">
        <f aca="false">IF(A4="","",평가A!F4)</f>
        <v>90</v>
      </c>
      <c r="G4" s="7" t="n">
        <f aca="false">IF(A4="","",IF(OR(C4="",F4=""),"",ROUND(C4-F4,1)))</f>
        <v>0</v>
      </c>
      <c r="H4" s="7" t="n">
        <f aca="false">IF(A4="","",IF(C4="","",IF(C4&gt;=HIGH_CUT,PTS_HIGH,IF(F4="","",IF(G4&gt;=STEP2,PTS_HIGH,IF(G4&gt;=STEP1,PTS_MID,PTS_LOW))))))</f>
        <v>20</v>
      </c>
      <c r="I4" s="7" t="str">
        <f aca="false">IF(A4="","",IF(C4="","결석 - 평균에서 제외",IF(C4&gt;=HIGH_CUT,"고득점 유지",IF(F4="","기준점수 없음 - 평균에서 제외",IF(G4&gt;=STEP2,"크게 향상",IF(G4&gt;=STEP1,"유지·소폭 향상","하락"))))))</f>
        <v>고득점 유지</v>
      </c>
      <c r="K4" s="8" t="s">
        <v>6</v>
      </c>
      <c r="L4" s="8" t="n">
        <v>9</v>
      </c>
      <c r="M4" s="8" t="n">
        <v>10</v>
      </c>
      <c r="N4" s="8"/>
      <c r="P4" s="0" t="str">
        <f aca="false">IF(TRIM(K4&amp;"")="","",UPPER(TRIM(K4&amp;"")))</f>
        <v>R4XT</v>
      </c>
      <c r="Q4" s="9" t="n">
        <f aca="false">IF(P4="","",IF(ISNUMBER(N4),ROUND(N4,1),IF(AND(ISNUMBER(L4),ISNUMBER(M4)),IF(M4&gt;0,ROUND(L4/M4*100,1),""),"")))</f>
        <v>90</v>
      </c>
      <c r="R4" s="0" t="str">
        <f aca="false">IF(P4="","",IF(COUNTIF(참가자!$A$3:$A$52,P4)=0,"명단에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IF(A5="","",IFERROR(INDEX($Q$3:$Q$102,MATCH(A5,$P$3:$P$102,0)),""))</f>
        <v>50</v>
      </c>
      <c r="D5" s="7" t="str">
        <f aca="false">IF(A5="","",IF(C5="","결석","응시"))</f>
        <v>응시</v>
      </c>
      <c r="E5" s="7" t="str">
        <f aca="false">IF(A5="","",IF(COUNTIF($P$3:$P$102,A5)&gt;1,"중복! 확인",""))</f>
        <v/>
      </c>
      <c r="F5" s="7" t="n">
        <f aca="false">IF(A5="","",평가A!F5)</f>
        <v>50</v>
      </c>
      <c r="G5" s="7" t="n">
        <f aca="false">IF(A5="","",IF(OR(C5="",F5=""),"",ROUND(C5-F5,1)))</f>
        <v>0</v>
      </c>
      <c r="H5" s="7" t="n">
        <f aca="false">IF(A5="","",IF(C5="","",IF(C5&gt;=HIGH_CUT,PTS_HIGH,IF(F5="","",IF(G5&gt;=STEP2,PTS_HIGH,IF(G5&gt;=STEP1,PTS_MID,PTS_LOW))))))</f>
        <v>10</v>
      </c>
      <c r="I5" s="7" t="str">
        <f aca="false">IF(A5="","",IF(C5="","결석 - 평균에서 제외",IF(C5&gt;=HIGH_CUT,"고득점 유지",IF(F5="","기준점수 없음 - 평균에서 제외",IF(G5&gt;=STEP2,"크게 향상",IF(G5&gt;=STEP1,"유지·소폭 향상","하락"))))))</f>
        <v>유지·소폭 향상</v>
      </c>
      <c r="K5" s="8" t="s">
        <v>7</v>
      </c>
      <c r="L5" s="8" t="n">
        <v>5</v>
      </c>
      <c r="M5" s="8" t="n">
        <v>10</v>
      </c>
      <c r="N5" s="8"/>
      <c r="P5" s="0" t="str">
        <f aca="false">IF(TRIM(K5&amp;"")="","",UPPER(TRIM(K5&amp;"")))</f>
        <v>H9WC</v>
      </c>
      <c r="Q5" s="9" t="n">
        <f aca="false">IF(P5="","",IF(ISNUMBER(N5),ROUND(N5,1),IF(AND(ISNUMBER(L5),ISNUMBER(M5)),IF(M5&gt;0,ROUND(L5/M5*100,1),""),"")))</f>
        <v>50</v>
      </c>
      <c r="R5" s="0" t="str">
        <f aca="false">IF(P5="","",IF(COUNTIF(참가자!$A$3:$A$52,P5)=0,"명단에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n">
        <f aca="false">IF(A6="","",IFERROR(INDEX($Q$3:$Q$102,MATCH(A6,$P$3:$P$102,0)),""))</f>
        <v>60</v>
      </c>
      <c r="D6" s="7" t="str">
        <f aca="false">IF(A6="","",IF(C6="","결석","응시"))</f>
        <v>응시</v>
      </c>
      <c r="E6" s="7" t="str">
        <f aca="false">IF(A6="","",IF(COUNTIF($P$3:$P$102,A6)&gt;1,"중복! 확인",""))</f>
        <v/>
      </c>
      <c r="F6" s="7" t="n">
        <f aca="false">IF(A6="","",평가A!F6)</f>
        <v>70</v>
      </c>
      <c r="G6" s="7" t="n">
        <f aca="false">IF(A6="","",IF(OR(C6="",F6=""),"",ROUND(C6-F6,1)))</f>
        <v>-10</v>
      </c>
      <c r="H6" s="7" t="n">
        <f aca="false">IF(A6="","",IF(C6="","",IF(C6&gt;=HIGH_CUT,PTS_HIGH,IF(F6="","",IF(G6&gt;=STEP2,PTS_HIGH,IF(G6&gt;=STEP1,PTS_MID,PTS_LOW))))))</f>
        <v>0</v>
      </c>
      <c r="I6" s="7" t="str">
        <f aca="false">IF(A6="","",IF(C6="","결석 - 평균에서 제외",IF(C6&gt;=HIGH_CUT,"고득점 유지",IF(F6="","기준점수 없음 - 평균에서 제외",IF(G6&gt;=STEP2,"크게 향상",IF(G6&gt;=STEP1,"유지·소폭 향상","하락"))))))</f>
        <v>하락</v>
      </c>
      <c r="K6" s="8" t="s">
        <v>8</v>
      </c>
      <c r="L6" s="8" t="n">
        <v>6</v>
      </c>
      <c r="M6" s="8" t="n">
        <v>10</v>
      </c>
      <c r="N6" s="8"/>
      <c r="P6" s="0" t="str">
        <f aca="false">IF(TRIM(K6&amp;"")="","",UPPER(TRIM(K6&amp;"")))</f>
        <v>B3NV</v>
      </c>
      <c r="Q6" s="9" t="n">
        <f aca="false">IF(P6="","",IF(ISNUMBER(N6),ROUND(N6,1),IF(AND(ISNUMBER(L6),ISNUMBER(M6)),IF(M6&gt;0,ROUND(L6/M6*100,1),""),"")))</f>
        <v>60</v>
      </c>
      <c r="R6" s="0" t="str">
        <f aca="false">IF(P6="","",IF(COUNTIF(참가자!$A$3:$A$52,P6)=0,"명단에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n">
        <f aca="false">IF(A7="","",IFERROR(INDEX($Q$3:$Q$102,MATCH(A7,$P$3:$P$102,0)),""))</f>
        <v>70</v>
      </c>
      <c r="D7" s="7" t="str">
        <f aca="false">IF(A7="","",IF(C7="","결석","응시"))</f>
        <v>응시</v>
      </c>
      <c r="E7" s="7" t="str">
        <f aca="false">IF(A7="","",IF(COUNTIF($P$3:$P$102,A7)&gt;1,"중복! 확인",""))</f>
        <v/>
      </c>
      <c r="F7" s="7" t="n">
        <f aca="false">IF(A7="","",평가A!F7)</f>
        <v>58.3</v>
      </c>
      <c r="G7" s="7" t="n">
        <f aca="false">IF(A7="","",IF(OR(C7="",F7=""),"",ROUND(C7-F7,1)))</f>
        <v>11.7</v>
      </c>
      <c r="H7" s="7" t="n">
        <f aca="false">IF(A7="","",IF(C7="","",IF(C7&gt;=HIGH_CUT,PTS_HIGH,IF(F7="","",IF(G7&gt;=STEP2,PTS_HIGH,IF(G7&gt;=STEP1,PTS_MID,PTS_LOW))))))</f>
        <v>20</v>
      </c>
      <c r="I7" s="7" t="str">
        <f aca="false">IF(A7="","",IF(C7="","결석 - 평균에서 제외",IF(C7&gt;=HIGH_CUT,"고득점 유지",IF(F7="","기준점수 없음 - 평균에서 제외",IF(G7&gt;=STEP2,"크게 향상",IF(G7&gt;=STEP1,"유지·소폭 향상","하락"))))))</f>
        <v>크게 향상</v>
      </c>
      <c r="K7" s="8" t="s">
        <v>10</v>
      </c>
      <c r="L7" s="8" t="n">
        <v>7</v>
      </c>
      <c r="M7" s="8" t="n">
        <v>10</v>
      </c>
      <c r="N7" s="8"/>
      <c r="P7" s="0" t="str">
        <f aca="false">IF(TRIM(K7&amp;"")="","",UPPER(TRIM(K7&amp;"")))</f>
        <v>Z8LD</v>
      </c>
      <c r="Q7" s="9" t="n">
        <f aca="false">IF(P7="","",IF(ISNUMBER(N7),ROUND(N7,1),IF(AND(ISNUMBER(L7),ISNUMBER(M7)),IF(M7&gt;0,ROUND(L7/M7*100,1),""),"")))</f>
        <v>70</v>
      </c>
      <c r="R7" s="0" t="str">
        <f aca="false">IF(P7="","",IF(COUNTIF(참가자!$A$3:$A$52,P7)=0,"명단에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IF(A8="","",IFERROR(INDEX($Q$3:$Q$102,MATCH(A8,$P$3:$P$102,0)),""))</f>
        <v>100</v>
      </c>
      <c r="D8" s="7" t="str">
        <f aca="false">IF(A8="","",IF(C8="","결석","응시"))</f>
        <v>응시</v>
      </c>
      <c r="E8" s="7" t="str">
        <f aca="false">IF(A8="","",IF(COUNTIF($P$3:$P$102,A8)&gt;1,"중복! 확인",""))</f>
        <v/>
      </c>
      <c r="F8" s="7" t="n">
        <f aca="false">IF(A8="","",평가A!F8)</f>
        <v>80</v>
      </c>
      <c r="G8" s="7" t="n">
        <f aca="false">IF(A8="","",IF(OR(C8="",F8=""),"",ROUND(C8-F8,1)))</f>
        <v>20</v>
      </c>
      <c r="H8" s="7" t="n">
        <f aca="false">IF(A8="","",IF(C8="","",IF(C8&gt;=HIGH_CUT,PTS_HIGH,IF(F8="","",IF(G8&gt;=STEP2,PTS_HIGH,IF(G8&gt;=STEP1,PTS_MID,PTS_LOW))))))</f>
        <v>20</v>
      </c>
      <c r="I8" s="7" t="str">
        <f aca="false">IF(A8="","",IF(C8="","결석 - 평균에서 제외",IF(C8&gt;=HIGH_CUT,"고득점 유지",IF(F8="","기준점수 없음 - 평균에서 제외",IF(G8&gt;=STEP2,"크게 향상",IF(G8&gt;=STEP1,"유지·소폭 향상","하락"))))))</f>
        <v>고득점 유지</v>
      </c>
      <c r="K8" s="8" t="s">
        <v>11</v>
      </c>
      <c r="L8" s="8" t="n">
        <v>10</v>
      </c>
      <c r="M8" s="8" t="n">
        <v>10</v>
      </c>
      <c r="N8" s="8"/>
      <c r="P8" s="0" t="str">
        <f aca="false">IF(TRIM(K8&amp;"")="","",UPPER(TRIM(K8&amp;"")))</f>
        <v>M2PF</v>
      </c>
      <c r="Q8" s="9" t="n">
        <f aca="false">IF(P8="","",IF(ISNUMBER(N8),ROUND(N8,1),IF(AND(ISNUMBER(L8),ISNUMBER(M8)),IF(M8&gt;0,ROUND(L8/M8*100,1),""),"")))</f>
        <v>100</v>
      </c>
      <c r="R8" s="0" t="str">
        <f aca="false">IF(P8="","",IF(COUNTIF(참가자!$A$3:$A$52,P8)=0,"명단에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str">
        <f aca="false">IF(A9="","",IFERROR(INDEX($Q$3:$Q$102,MATCH(A9,$P$3:$P$102,0)),""))</f>
        <v/>
      </c>
      <c r="D9" s="7" t="str">
        <f aca="false">IF(A9="","",IF(C9="","결석","응시"))</f>
        <v>결석</v>
      </c>
      <c r="E9" s="7" t="str">
        <f aca="false">IF(A9="","",IF(COUNTIF($P$3:$P$102,A9)&gt;1,"중복! 확인",""))</f>
        <v/>
      </c>
      <c r="F9" s="7" t="n">
        <f aca="false">IF(A9="","",평가A!F9)</f>
        <v>40</v>
      </c>
      <c r="G9" s="7" t="str">
        <f aca="false">IF(A9="","",IF(OR(C9="",F9=""),"",ROUND(C9-F9,1)))</f>
        <v/>
      </c>
      <c r="H9" s="7" t="str">
        <f aca="false">IF(A9="","",IF(C9="","",IF(C9&gt;=HIGH_CUT,PTS_HIGH,IF(F9="","",IF(G9&gt;=STEP2,PTS_HIGH,IF(G9&gt;=STEP1,PTS_MID,PTS_LOW))))))</f>
        <v/>
      </c>
      <c r="I9" s="7" t="str">
        <f aca="false">IF(A9="","",IF(C9="","결석 - 평균에서 제외",IF(C9&gt;=HIGH_CUT,"고득점 유지",IF(F9="","기준점수 없음 - 평균에서 제외",IF(G9&gt;=STEP2,"크게 향상",IF(G9&gt;=STEP1,"유지·소폭 향상","하락"))))))</f>
        <v>결석 - 평균에서 제외</v>
      </c>
      <c r="K9" s="8" t="s">
        <v>14</v>
      </c>
      <c r="L9" s="8" t="n">
        <v>8</v>
      </c>
      <c r="M9" s="8" t="n">
        <v>10</v>
      </c>
      <c r="N9" s="8"/>
      <c r="P9" s="0" t="str">
        <f aca="false">IF(TRIM(K9&amp;"")="","",UPPER(TRIM(K9&amp;"")))</f>
        <v>C5JR</v>
      </c>
      <c r="Q9" s="9" t="n">
        <f aca="false">IF(P9="","",IF(ISNUMBER(N9),ROUND(N9,1),IF(AND(ISNUMBER(L9),ISNUMBER(M9)),IF(M9&gt;0,ROUND(L9/M9*100,1),""),"")))</f>
        <v>80</v>
      </c>
      <c r="R9" s="0" t="str">
        <f aca="false">IF(P9="","",IF(COUNTIF(참가자!$A$3:$A$52,P9)=0,"명단에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IF(A10="","",IFERROR(INDEX($Q$3:$Q$102,MATCH(A10,$P$3:$P$102,0)),""))</f>
        <v>80</v>
      </c>
      <c r="D10" s="7" t="str">
        <f aca="false">IF(A10="","",IF(C10="","결석","응시"))</f>
        <v>응시</v>
      </c>
      <c r="E10" s="7" t="str">
        <f aca="false">IF(A10="","",IF(COUNTIF($P$3:$P$102,A10)&gt;1,"중복! 확인",""))</f>
        <v/>
      </c>
      <c r="F10" s="7" t="n">
        <f aca="false">IF(A10="","",평가A!F10)</f>
        <v>100</v>
      </c>
      <c r="G10" s="7" t="n">
        <f aca="false">IF(A10="","",IF(OR(C10="",F10=""),"",ROUND(C10-F10,1)))</f>
        <v>-20</v>
      </c>
      <c r="H10" s="7" t="n">
        <f aca="false">IF(A10="","",IF(C10="","",IF(C10&gt;=HIGH_CUT,PTS_HIGH,IF(F10="","",IF(G10&gt;=STEP2,PTS_HIGH,IF(G10&gt;=STEP1,PTS_MID,PTS_LOW))))))</f>
        <v>0</v>
      </c>
      <c r="I10" s="7" t="str">
        <f aca="false">IF(A10="","",IF(C10="","결석 - 평균에서 제외",IF(C10&gt;=HIGH_CUT,"고득점 유지",IF(F10="","기준점수 없음 - 평균에서 제외",IF(G10&gt;=STEP2,"크게 향상",IF(G10&gt;=STEP1,"유지·소폭 향상","하락"))))))</f>
        <v>하락</v>
      </c>
      <c r="K10" s="8" t="s">
        <v>15</v>
      </c>
      <c r="L10" s="8" t="n">
        <v>7</v>
      </c>
      <c r="M10" s="8" t="n">
        <v>10</v>
      </c>
      <c r="N10" s="8"/>
      <c r="P10" s="0" t="str">
        <f aca="false">IF(TRIM(K10&amp;"")="","",UPPER(TRIM(K10&amp;"")))</f>
        <v>W3KE</v>
      </c>
      <c r="Q10" s="9" t="n">
        <f aca="false">IF(P10="","",IF(ISNUMBER(N10),ROUND(N10,1),IF(AND(ISNUMBER(L10),ISNUMBER(M10)),IF(M10&gt;0,ROUND(L10/M10*100,1),""),"")))</f>
        <v>70</v>
      </c>
      <c r="R10" s="0" t="str">
        <f aca="false">IF(P10="","",IF(COUNTIF(참가자!$A$3:$A$52,P10)=0,"명단에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IF(A11="","",IFERROR(INDEX($Q$3:$Q$102,MATCH(A11,$P$3:$P$102,0)),""))</f>
        <v>70</v>
      </c>
      <c r="D11" s="7" t="str">
        <f aca="false">IF(A11="","",IF(C11="","결석","응시"))</f>
        <v>응시</v>
      </c>
      <c r="E11" s="7" t="str">
        <f aca="false">IF(A11="","",IF(COUNTIF($P$3:$P$102,A11)&gt;1,"중복! 확인",""))</f>
        <v/>
      </c>
      <c r="F11" s="7" t="n">
        <f aca="false">IF(A11="","",평가A!F11)</f>
        <v>60</v>
      </c>
      <c r="G11" s="7" t="n">
        <f aca="false">IF(A11="","",IF(OR(C11="",F11=""),"",ROUND(C11-F11,1)))</f>
        <v>10</v>
      </c>
      <c r="H11" s="7" t="n">
        <f aca="false">IF(A11="","",IF(C11="","",IF(C11&gt;=HIGH_CUT,PTS_HIGH,IF(F11="","",IF(G11&gt;=STEP2,PTS_HIGH,IF(G11&gt;=STEP1,PTS_MID,PTS_LOW))))))</f>
        <v>20</v>
      </c>
      <c r="I11" s="7" t="str">
        <f aca="false">IF(A11="","",IF(C11="","결석 - 평균에서 제외",IF(C11&gt;=HIGH_CUT,"고득점 유지",IF(F11="","기준점수 없음 - 평균에서 제외",IF(G11&gt;=STEP2,"크게 향상",IF(G11&gt;=STEP1,"유지·소폭 향상","하락"))))))</f>
        <v>크게 향상</v>
      </c>
      <c r="K11" s="8" t="s">
        <v>16</v>
      </c>
      <c r="L11" s="8" t="n">
        <v>7</v>
      </c>
      <c r="M11" s="8" t="n">
        <v>10</v>
      </c>
      <c r="N11" s="8"/>
      <c r="P11" s="0" t="str">
        <f aca="false">IF(TRIM(K11&amp;"")="","",UPPER(TRIM(K11&amp;"")))</f>
        <v>F8UA</v>
      </c>
      <c r="Q11" s="9" t="n">
        <f aca="false">IF(P11="","",IF(ISNUMBER(N11),ROUND(N11,1),IF(AND(ISNUMBER(L11),ISNUMBER(M11)),IF(M11&gt;0,ROUND(L11/M11*100,1),""),"")))</f>
        <v>70</v>
      </c>
      <c r="R11" s="0" t="str">
        <f aca="false">IF(P11="","",IF(COUNTIF(참가자!$A$3:$A$52,P11)=0,"명단에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IF(A12="","",IFERROR(INDEX($Q$3:$Q$102,MATCH(A12,$P$3:$P$102,0)),""))</f>
        <v>70</v>
      </c>
      <c r="D12" s="7" t="str">
        <f aca="false">IF(A12="","",IF(C12="","결석","응시"))</f>
        <v>응시</v>
      </c>
      <c r="E12" s="7" t="str">
        <f aca="false">IF(A12="","",IF(COUNTIF($P$3:$P$102,A12)&gt;1,"중복! 확인",""))</f>
        <v/>
      </c>
      <c r="F12" s="7" t="n">
        <f aca="false">IF(A12="","",평가A!F12)</f>
        <v>70</v>
      </c>
      <c r="G12" s="7" t="n">
        <f aca="false">IF(A12="","",IF(OR(C12="",F12=""),"",ROUND(C12-F12,1)))</f>
        <v>0</v>
      </c>
      <c r="H12" s="7" t="n">
        <f aca="false">IF(A12="","",IF(C12="","",IF(C12&gt;=HIGH_CUT,PTS_HIGH,IF(F12="","",IF(G12&gt;=STEP2,PTS_HIGH,IF(G12&gt;=STEP1,PTS_MID,PTS_LOW))))))</f>
        <v>10</v>
      </c>
      <c r="I12" s="7" t="str">
        <f aca="false">IF(A12="","",IF(C12="","결석 - 평균에서 제외",IF(C12&gt;=HIGH_CUT,"고득점 유지",IF(F12="","기준점수 없음 - 평균에서 제외",IF(G12&gt;=STEP2,"크게 향상",IF(G12&gt;=STEP1,"유지·소폭 향상","하락"))))))</f>
        <v>유지·소폭 향상</v>
      </c>
      <c r="K12" s="8" t="s">
        <v>18</v>
      </c>
      <c r="L12" s="8" t="n">
        <v>19</v>
      </c>
      <c r="M12" s="8" t="n">
        <v>20</v>
      </c>
      <c r="N12" s="8"/>
      <c r="P12" s="0" t="str">
        <f aca="false">IF(TRIM(K12&amp;"")="","",UPPER(TRIM(K12&amp;"")))</f>
        <v>N4GS</v>
      </c>
      <c r="Q12" s="9" t="n">
        <f aca="false">IF(P12="","",IF(ISNUMBER(N12),ROUND(N12,1),IF(AND(ISNUMBER(L12),ISNUMBER(M12)),IF(M12&gt;0,ROUND(L12/M12*100,1),""),"")))</f>
        <v>95</v>
      </c>
      <c r="R12" s="0" t="str">
        <f aca="false">IF(P12="","",IF(COUNTIF(참가자!$A$3:$A$52,P12)=0,"명단에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n">
        <f aca="false">IF(A13="","",IFERROR(INDEX($Q$3:$Q$102,MATCH(A13,$P$3:$P$102,0)),""))</f>
        <v>95</v>
      </c>
      <c r="D13" s="7" t="str">
        <f aca="false">IF(A13="","",IF(C13="","결석","응시"))</f>
        <v>응시</v>
      </c>
      <c r="E13" s="7" t="str">
        <f aca="false">IF(A13="","",IF(COUNTIF($P$3:$P$102,A13)&gt;1,"중복! 확인",""))</f>
        <v/>
      </c>
      <c r="F13" s="7" t="str">
        <f aca="false">IF(A13="","",평가A!F13)</f>
        <v/>
      </c>
      <c r="G13" s="7" t="str">
        <f aca="false">IF(A13="","",IF(OR(C13="",F13=""),"",ROUND(C13-F13,1)))</f>
        <v/>
      </c>
      <c r="H13" s="7" t="n">
        <f aca="false">IF(A13="","",IF(C13="","",IF(C13&gt;=HIGH_CUT,PTS_HIGH,IF(F13="","",IF(G13&gt;=STEP2,PTS_HIGH,IF(G13&gt;=STEP1,PTS_MID,PTS_LOW))))))</f>
        <v>20</v>
      </c>
      <c r="I13" s="7" t="str">
        <f aca="false">IF(A13="","",IF(C13="","결석 - 평균에서 제외",IF(C13&gt;=HIGH_CUT,"고득점 유지",IF(F13="","기준점수 없음 - 평균에서 제외",IF(G13&gt;=STEP2,"크게 향상",IF(G13&gt;=STEP1,"유지·소폭 향상","하락"))))))</f>
        <v>고득점 유지</v>
      </c>
      <c r="K13" s="8" t="s">
        <v>19</v>
      </c>
      <c r="L13" s="8" t="n">
        <v>6</v>
      </c>
      <c r="M13" s="8" t="n">
        <v>10</v>
      </c>
      <c r="N13" s="8"/>
      <c r="P13" s="0" t="str">
        <f aca="false">IF(TRIM(K13&amp;"")="","",UPPER(TRIM(K13&amp;"")))</f>
        <v>D7VB</v>
      </c>
      <c r="Q13" s="9" t="n">
        <f aca="false">IF(P13="","",IF(ISNUMBER(N13),ROUND(N13,1),IF(AND(ISNUMBER(L13),ISNUMBER(M13)),IF(M13&gt;0,ROUND(L13/M13*100,1),""),"")))</f>
        <v>60</v>
      </c>
      <c r="R13" s="0" t="str">
        <f aca="false">IF(P13="","",IF(COUNTIF(참가자!$A$3:$A$52,P13)=0,"명단에 없는 코드",""))</f>
        <v/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n">
        <f aca="false">IF(A14="","",IFERROR(INDEX($Q$3:$Q$102,MATCH(A14,$P$3:$P$102,0)),""))</f>
        <v>60</v>
      </c>
      <c r="D14" s="7" t="str">
        <f aca="false">IF(A14="","",IF(C14="","결석","응시"))</f>
        <v>응시</v>
      </c>
      <c r="E14" s="7" t="str">
        <f aca="false">IF(A14="","",IF(COUNTIF($P$3:$P$102,A14)&gt;1,"중복! 확인",""))</f>
        <v/>
      </c>
      <c r="F14" s="7" t="n">
        <f aca="false">IF(A14="","",평가A!F14)</f>
        <v>60</v>
      </c>
      <c r="G14" s="7" t="n">
        <f aca="false">IF(A14="","",IF(OR(C14="",F14=""),"",ROUND(C14-F14,1)))</f>
        <v>0</v>
      </c>
      <c r="H14" s="7" t="n">
        <f aca="false">IF(A14="","",IF(C14="","",IF(C14&gt;=HIGH_CUT,PTS_HIGH,IF(F14="","",IF(G14&gt;=STEP2,PTS_HIGH,IF(G14&gt;=STEP1,PTS_MID,PTS_LOW))))))</f>
        <v>10</v>
      </c>
      <c r="I14" s="7" t="str">
        <f aca="false">IF(A14="","",IF(C14="","결석 - 평균에서 제외",IF(C14&gt;=HIGH_CUT,"고득점 유지",IF(F14="","기준점수 없음 - 평균에서 제외",IF(G14&gt;=STEP2,"크게 향상",IF(G14&gt;=STEP1,"유지·소폭 향상","하락"))))))</f>
        <v>유지·소폭 향상</v>
      </c>
      <c r="K14" s="8"/>
      <c r="L14" s="8"/>
      <c r="M14" s="8"/>
      <c r="N14" s="8"/>
      <c r="P14" s="0" t="str">
        <f aca="false">IF(TRIM(K14&amp;"")="","",UPPER(TRIM(K14&amp;"")))</f>
        <v/>
      </c>
      <c r="Q14" s="0" t="str">
        <f aca="false">IF(P14="","",IF(ISNUMBER(N14),ROUND(N14,1),IF(AND(ISNUMBER(L14),ISNUMBER(M14)),IF(M14&gt;0,ROUND(L14/M14*100,1),""),"")))</f>
        <v/>
      </c>
      <c r="R14" s="0" t="str">
        <f aca="false">IF(P14="","",IF(COUNTIF(참가자!$A$3:$A$52,P14)=0,"명단에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IF(A15="","",IFERROR(INDEX($Q$3:$Q$102,MATCH(A15,$P$3:$P$102,0)),""))</f>
        <v/>
      </c>
      <c r="D15" s="7" t="str">
        <f aca="false">IF(A15="","",IF(C15="","결석","응시"))</f>
        <v/>
      </c>
      <c r="E15" s="7" t="str">
        <f aca="false">IF(A15="","",IF(COUNTIF($P$3:$P$102,A15)&gt;1,"중복! 확인",""))</f>
        <v/>
      </c>
      <c r="F15" s="7" t="str">
        <f aca="false">IF(A15="","",평가A!F15)</f>
        <v/>
      </c>
      <c r="G15" s="7" t="str">
        <f aca="false">IF(A15="","",IF(OR(C15="",F15=""),"",ROUND(C15-F15,1)))</f>
        <v/>
      </c>
      <c r="H15" s="7" t="str">
        <f aca="false">IF(A15="","",IF(C15="","",IF(C15&gt;=HIGH_CUT,PTS_HIGH,IF(F15="","",IF(G15&gt;=STEP2,PTS_HIGH,IF(G15&gt;=STEP1,PTS_MID,PTS_LOW))))))</f>
        <v/>
      </c>
      <c r="I15" s="7" t="str">
        <f aca="false">IF(A15="","",IF(C15="","결석 - 평균에서 제외",IF(C15&gt;=HIGH_CUT,"고득점 유지",IF(F15="","기준점수 없음 - 평균에서 제외",IF(G15&gt;=STEP2,"크게 향상",IF(G15&gt;=STEP1,"유지·소폭 향상","하락"))))))</f>
        <v/>
      </c>
      <c r="K15" s="8"/>
      <c r="L15" s="8"/>
      <c r="M15" s="8"/>
      <c r="N15" s="8"/>
      <c r="P15" s="0" t="str">
        <f aca="false">IF(TRIM(K15&amp;"")="","",UPPER(TRIM(K15&amp;"")))</f>
        <v/>
      </c>
      <c r="Q15" s="0" t="str">
        <f aca="false">IF(P15="","",IF(ISNUMBER(N15),ROUND(N15,1),IF(AND(ISNUMBER(L15),ISNUMBER(M15)),IF(M15&gt;0,ROUND(L15/M15*100,1),""),"")))</f>
        <v/>
      </c>
      <c r="R15" s="0" t="str">
        <f aca="false">IF(P15="","",IF(COUNTIF(참가자!$A$3:$A$52,P15)=0,"명단에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IF(A16="","",IFERROR(INDEX($Q$3:$Q$102,MATCH(A16,$P$3:$P$102,0)),""))</f>
        <v/>
      </c>
      <c r="D16" s="7" t="str">
        <f aca="false">IF(A16="","",IF(C16="","결석","응시"))</f>
        <v/>
      </c>
      <c r="E16" s="7" t="str">
        <f aca="false">IF(A16="","",IF(COUNTIF($P$3:$P$102,A16)&gt;1,"중복! 확인",""))</f>
        <v/>
      </c>
      <c r="F16" s="7" t="str">
        <f aca="false">IF(A16="","",평가A!F16)</f>
        <v/>
      </c>
      <c r="G16" s="7" t="str">
        <f aca="false">IF(A16="","",IF(OR(C16="",F16=""),"",ROUND(C16-F16,1)))</f>
        <v/>
      </c>
      <c r="H16" s="7" t="str">
        <f aca="false">IF(A16="","",IF(C16="","",IF(C16&gt;=HIGH_CUT,PTS_HIGH,IF(F16="","",IF(G16&gt;=STEP2,PTS_HIGH,IF(G16&gt;=STEP1,PTS_MID,PTS_LOW))))))</f>
        <v/>
      </c>
      <c r="I16" s="7" t="str">
        <f aca="false">IF(A16="","",IF(C16="","결석 - 평균에서 제외",IF(C16&gt;=HIGH_CUT,"고득점 유지",IF(F16="","기준점수 없음 - 평균에서 제외",IF(G16&gt;=STEP2,"크게 향상",IF(G16&gt;=STEP1,"유지·소폭 향상","하락"))))))</f>
        <v/>
      </c>
      <c r="K16" s="8"/>
      <c r="L16" s="8"/>
      <c r="M16" s="8"/>
      <c r="N16" s="8"/>
      <c r="P16" s="0" t="str">
        <f aca="false">IF(TRIM(K16&amp;"")="","",UPPER(TRIM(K16&amp;"")))</f>
        <v/>
      </c>
      <c r="Q16" s="0" t="str">
        <f aca="false">IF(P16="","",IF(ISNUMBER(N16),ROUND(N16,1),IF(AND(ISNUMBER(L16),ISNUMBER(M16)),IF(M16&gt;0,ROUND(L16/M16*100,1),""),"")))</f>
        <v/>
      </c>
      <c r="R16" s="0" t="str">
        <f aca="false">IF(P16="","",IF(COUNTIF(참가자!$A$3:$A$52,P16)=0,"명단에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IF(A17="","",IFERROR(INDEX($Q$3:$Q$102,MATCH(A17,$P$3:$P$102,0)),""))</f>
        <v/>
      </c>
      <c r="D17" s="7" t="str">
        <f aca="false">IF(A17="","",IF(C17="","결석","응시"))</f>
        <v/>
      </c>
      <c r="E17" s="7" t="str">
        <f aca="false">IF(A17="","",IF(COUNTIF($P$3:$P$102,A17)&gt;1,"중복! 확인",""))</f>
        <v/>
      </c>
      <c r="F17" s="7" t="str">
        <f aca="false">IF(A17="","",평가A!F17)</f>
        <v/>
      </c>
      <c r="G17" s="7" t="str">
        <f aca="false">IF(A17="","",IF(OR(C17="",F17=""),"",ROUND(C17-F17,1)))</f>
        <v/>
      </c>
      <c r="H17" s="7" t="str">
        <f aca="false">IF(A17="","",IF(C17="","",IF(C17&gt;=HIGH_CUT,PTS_HIGH,IF(F17="","",IF(G17&gt;=STEP2,PTS_HIGH,IF(G17&gt;=STEP1,PTS_MID,PTS_LOW))))))</f>
        <v/>
      </c>
      <c r="I17" s="7" t="str">
        <f aca="false">IF(A17="","",IF(C17="","결석 - 평균에서 제외",IF(C17&gt;=HIGH_CUT,"고득점 유지",IF(F17="","기준점수 없음 - 평균에서 제외",IF(G17&gt;=STEP2,"크게 향상",IF(G17&gt;=STEP1,"유지·소폭 향상","하락"))))))</f>
        <v/>
      </c>
      <c r="K17" s="8"/>
      <c r="L17" s="8"/>
      <c r="M17" s="8"/>
      <c r="N17" s="8"/>
      <c r="P17" s="0" t="str">
        <f aca="false">IF(TRIM(K17&amp;"")="","",UPPER(TRIM(K17&amp;"")))</f>
        <v/>
      </c>
      <c r="Q17" s="0" t="str">
        <f aca="false">IF(P17="","",IF(ISNUMBER(N17),ROUND(N17,1),IF(AND(ISNUMBER(L17),ISNUMBER(M17)),IF(M17&gt;0,ROUND(L17/M17*100,1),""),"")))</f>
        <v/>
      </c>
      <c r="R17" s="0" t="str">
        <f aca="false">IF(P17="","",IF(COUNTIF(참가자!$A$3:$A$52,P17)=0,"명단에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IF(A18="","",IFERROR(INDEX($Q$3:$Q$102,MATCH(A18,$P$3:$P$102,0)),""))</f>
        <v/>
      </c>
      <c r="D18" s="7" t="str">
        <f aca="false">IF(A18="","",IF(C18="","결석","응시"))</f>
        <v/>
      </c>
      <c r="E18" s="7" t="str">
        <f aca="false">IF(A18="","",IF(COUNTIF($P$3:$P$102,A18)&gt;1,"중복! 확인",""))</f>
        <v/>
      </c>
      <c r="F18" s="7" t="str">
        <f aca="false">IF(A18="","",평가A!F18)</f>
        <v/>
      </c>
      <c r="G18" s="7" t="str">
        <f aca="false">IF(A18="","",IF(OR(C18="",F18=""),"",ROUND(C18-F18,1)))</f>
        <v/>
      </c>
      <c r="H18" s="7" t="str">
        <f aca="false">IF(A18="","",IF(C18="","",IF(C18&gt;=HIGH_CUT,PTS_HIGH,IF(F18="","",IF(G18&gt;=STEP2,PTS_HIGH,IF(G18&gt;=STEP1,PTS_MID,PTS_LOW))))))</f>
        <v/>
      </c>
      <c r="I18" s="7" t="str">
        <f aca="false">IF(A18="","",IF(C18="","결석 - 평균에서 제외",IF(C18&gt;=HIGH_CUT,"고득점 유지",IF(F18="","기준점수 없음 - 평균에서 제외",IF(G18&gt;=STEP2,"크게 향상",IF(G18&gt;=STEP1,"유지·소폭 향상","하락"))))))</f>
        <v/>
      </c>
      <c r="K18" s="8"/>
      <c r="L18" s="8"/>
      <c r="M18" s="8"/>
      <c r="N18" s="8"/>
      <c r="P18" s="0" t="str">
        <f aca="false">IF(TRIM(K18&amp;"")="","",UPPER(TRIM(K18&amp;"")))</f>
        <v/>
      </c>
      <c r="Q18" s="0" t="str">
        <f aca="false">IF(P18="","",IF(ISNUMBER(N18),ROUND(N18,1),IF(AND(ISNUMBER(L18),ISNUMBER(M18)),IF(M18&gt;0,ROUND(L18/M18*100,1),""),"")))</f>
        <v/>
      </c>
      <c r="R18" s="0" t="str">
        <f aca="false">IF(P18="","",IF(COUNTIF(참가자!$A$3:$A$52,P18)=0,"명단에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IF(A19="","",IFERROR(INDEX($Q$3:$Q$102,MATCH(A19,$P$3:$P$102,0)),""))</f>
        <v/>
      </c>
      <c r="D19" s="7" t="str">
        <f aca="false">IF(A19="","",IF(C19="","결석","응시"))</f>
        <v/>
      </c>
      <c r="E19" s="7" t="str">
        <f aca="false">IF(A19="","",IF(COUNTIF($P$3:$P$102,A19)&gt;1,"중복! 확인",""))</f>
        <v/>
      </c>
      <c r="F19" s="7" t="str">
        <f aca="false">IF(A19="","",평가A!F19)</f>
        <v/>
      </c>
      <c r="G19" s="7" t="str">
        <f aca="false">IF(A19="","",IF(OR(C19="",F19=""),"",ROUND(C19-F19,1)))</f>
        <v/>
      </c>
      <c r="H19" s="7" t="str">
        <f aca="false">IF(A19="","",IF(C19="","",IF(C19&gt;=HIGH_CUT,PTS_HIGH,IF(F19="","",IF(G19&gt;=STEP2,PTS_HIGH,IF(G19&gt;=STEP1,PTS_MID,PTS_LOW))))))</f>
        <v/>
      </c>
      <c r="I19" s="7" t="str">
        <f aca="false">IF(A19="","",IF(C19="","결석 - 평균에서 제외",IF(C19&gt;=HIGH_CUT,"고득점 유지",IF(F19="","기준점수 없음 - 평균에서 제외",IF(G19&gt;=STEP2,"크게 향상",IF(G19&gt;=STEP1,"유지·소폭 향상","하락"))))))</f>
        <v/>
      </c>
      <c r="K19" s="8"/>
      <c r="L19" s="8"/>
      <c r="M19" s="8"/>
      <c r="N19" s="8"/>
      <c r="P19" s="0" t="str">
        <f aca="false">IF(TRIM(K19&amp;"")="","",UPPER(TRIM(K19&amp;"")))</f>
        <v/>
      </c>
      <c r="Q19" s="0" t="str">
        <f aca="false">IF(P19="","",IF(ISNUMBER(N19),ROUND(N19,1),IF(AND(ISNUMBER(L19),ISNUMBER(M19)),IF(M19&gt;0,ROUND(L19/M19*100,1),""),"")))</f>
        <v/>
      </c>
      <c r="R19" s="0" t="str">
        <f aca="false">IF(P19="","",IF(COUNTIF(참가자!$A$3:$A$52,P19)=0,"명단에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IF(A20="","",IFERROR(INDEX($Q$3:$Q$102,MATCH(A20,$P$3:$P$102,0)),""))</f>
        <v/>
      </c>
      <c r="D20" s="7" t="str">
        <f aca="false">IF(A20="","",IF(C20="","결석","응시"))</f>
        <v/>
      </c>
      <c r="E20" s="7" t="str">
        <f aca="false">IF(A20="","",IF(COUNTIF($P$3:$P$102,A20)&gt;1,"중복! 확인",""))</f>
        <v/>
      </c>
      <c r="F20" s="7" t="str">
        <f aca="false">IF(A20="","",평가A!F20)</f>
        <v/>
      </c>
      <c r="G20" s="7" t="str">
        <f aca="false">IF(A20="","",IF(OR(C20="",F20=""),"",ROUND(C20-F20,1)))</f>
        <v/>
      </c>
      <c r="H20" s="7" t="str">
        <f aca="false">IF(A20="","",IF(C20="","",IF(C20&gt;=HIGH_CUT,PTS_HIGH,IF(F20="","",IF(G20&gt;=STEP2,PTS_HIGH,IF(G20&gt;=STEP1,PTS_MID,PTS_LOW))))))</f>
        <v/>
      </c>
      <c r="I20" s="7" t="str">
        <f aca="false">IF(A20="","",IF(C20="","결석 - 평균에서 제외",IF(C20&gt;=HIGH_CUT,"고득점 유지",IF(F20="","기준점수 없음 - 평균에서 제외",IF(G20&gt;=STEP2,"크게 향상",IF(G20&gt;=STEP1,"유지·소폭 향상","하락"))))))</f>
        <v/>
      </c>
      <c r="K20" s="8"/>
      <c r="L20" s="8"/>
      <c r="M20" s="8"/>
      <c r="N20" s="8"/>
      <c r="P20" s="0" t="str">
        <f aca="false">IF(TRIM(K20&amp;"")="","",UPPER(TRIM(K20&amp;"")))</f>
        <v/>
      </c>
      <c r="Q20" s="0" t="str">
        <f aca="false">IF(P20="","",IF(ISNUMBER(N20),ROUND(N20,1),IF(AND(ISNUMBER(L20),ISNUMBER(M20)),IF(M20&gt;0,ROUND(L20/M20*100,1),""),"")))</f>
        <v/>
      </c>
      <c r="R20" s="0" t="str">
        <f aca="false">IF(P20="","",IF(COUNTIF(참가자!$A$3:$A$52,P20)=0,"명단에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IF(A21="","",IFERROR(INDEX($Q$3:$Q$102,MATCH(A21,$P$3:$P$102,0)),""))</f>
        <v/>
      </c>
      <c r="D21" s="7" t="str">
        <f aca="false">IF(A21="","",IF(C21="","결석","응시"))</f>
        <v/>
      </c>
      <c r="E21" s="7" t="str">
        <f aca="false">IF(A21="","",IF(COUNTIF($P$3:$P$102,A21)&gt;1,"중복! 확인",""))</f>
        <v/>
      </c>
      <c r="F21" s="7" t="str">
        <f aca="false">IF(A21="","",평가A!F21)</f>
        <v/>
      </c>
      <c r="G21" s="7" t="str">
        <f aca="false">IF(A21="","",IF(OR(C21="",F21=""),"",ROUND(C21-F21,1)))</f>
        <v/>
      </c>
      <c r="H21" s="7" t="str">
        <f aca="false">IF(A21="","",IF(C21="","",IF(C21&gt;=HIGH_CUT,PTS_HIGH,IF(F21="","",IF(G21&gt;=STEP2,PTS_HIGH,IF(G21&gt;=STEP1,PTS_MID,PTS_LOW))))))</f>
        <v/>
      </c>
      <c r="I21" s="7" t="str">
        <f aca="false">IF(A21="","",IF(C21="","결석 - 평균에서 제외",IF(C21&gt;=HIGH_CUT,"고득점 유지",IF(F21="","기준점수 없음 - 평균에서 제외",IF(G21&gt;=STEP2,"크게 향상",IF(G21&gt;=STEP1,"유지·소폭 향상","하락"))))))</f>
        <v/>
      </c>
      <c r="K21" s="8"/>
      <c r="L21" s="8"/>
      <c r="M21" s="8"/>
      <c r="N21" s="8"/>
      <c r="P21" s="0" t="str">
        <f aca="false">IF(TRIM(K21&amp;"")="","",UPPER(TRIM(K21&amp;"")))</f>
        <v/>
      </c>
      <c r="Q21" s="0" t="str">
        <f aca="false">IF(P21="","",IF(ISNUMBER(N21),ROUND(N21,1),IF(AND(ISNUMBER(L21),ISNUMBER(M21)),IF(M21&gt;0,ROUND(L21/M21*100,1),""),"")))</f>
        <v/>
      </c>
      <c r="R21" s="0" t="str">
        <f aca="false">IF(P21="","",IF(COUNTIF(참가자!$A$3:$A$52,P21)=0,"명단에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IF(A22="","",IFERROR(INDEX($Q$3:$Q$102,MATCH(A22,$P$3:$P$102,0)),""))</f>
        <v/>
      </c>
      <c r="D22" s="7" t="str">
        <f aca="false">IF(A22="","",IF(C22="","결석","응시"))</f>
        <v/>
      </c>
      <c r="E22" s="7" t="str">
        <f aca="false">IF(A22="","",IF(COUNTIF($P$3:$P$102,A22)&gt;1,"중복! 확인",""))</f>
        <v/>
      </c>
      <c r="F22" s="7" t="str">
        <f aca="false">IF(A22="","",평가A!F22)</f>
        <v/>
      </c>
      <c r="G22" s="7" t="str">
        <f aca="false">IF(A22="","",IF(OR(C22="",F22=""),"",ROUND(C22-F22,1)))</f>
        <v/>
      </c>
      <c r="H22" s="7" t="str">
        <f aca="false">IF(A22="","",IF(C22="","",IF(C22&gt;=HIGH_CUT,PTS_HIGH,IF(F22="","",IF(G22&gt;=STEP2,PTS_HIGH,IF(G22&gt;=STEP1,PTS_MID,PTS_LOW))))))</f>
        <v/>
      </c>
      <c r="I22" s="7" t="str">
        <f aca="false">IF(A22="","",IF(C22="","결석 - 평균에서 제외",IF(C22&gt;=HIGH_CUT,"고득점 유지",IF(F22="","기준점수 없음 - 평균에서 제외",IF(G22&gt;=STEP2,"크게 향상",IF(G22&gt;=STEP1,"유지·소폭 향상","하락"))))))</f>
        <v/>
      </c>
      <c r="K22" s="8"/>
      <c r="L22" s="8"/>
      <c r="M22" s="8"/>
      <c r="N22" s="8"/>
      <c r="P22" s="0" t="str">
        <f aca="false">IF(TRIM(K22&amp;"")="","",UPPER(TRIM(K22&amp;"")))</f>
        <v/>
      </c>
      <c r="Q22" s="0" t="str">
        <f aca="false">IF(P22="","",IF(ISNUMBER(N22),ROUND(N22,1),IF(AND(ISNUMBER(L22),ISNUMBER(M22)),IF(M22&gt;0,ROUND(L22/M22*100,1),""),"")))</f>
        <v/>
      </c>
      <c r="R22" s="0" t="str">
        <f aca="false">IF(P22="","",IF(COUNTIF(참가자!$A$3:$A$52,P22)=0,"명단에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IF(A23="","",IFERROR(INDEX($Q$3:$Q$102,MATCH(A23,$P$3:$P$102,0)),""))</f>
        <v/>
      </c>
      <c r="D23" s="7" t="str">
        <f aca="false">IF(A23="","",IF(C23="","결석","응시"))</f>
        <v/>
      </c>
      <c r="E23" s="7" t="str">
        <f aca="false">IF(A23="","",IF(COUNTIF($P$3:$P$102,A23)&gt;1,"중복! 확인",""))</f>
        <v/>
      </c>
      <c r="F23" s="7" t="str">
        <f aca="false">IF(A23="","",평가A!F23)</f>
        <v/>
      </c>
      <c r="G23" s="7" t="str">
        <f aca="false">IF(A23="","",IF(OR(C23="",F23=""),"",ROUND(C23-F23,1)))</f>
        <v/>
      </c>
      <c r="H23" s="7" t="str">
        <f aca="false">IF(A23="","",IF(C23="","",IF(C23&gt;=HIGH_CUT,PTS_HIGH,IF(F23="","",IF(G23&gt;=STEP2,PTS_HIGH,IF(G23&gt;=STEP1,PTS_MID,PTS_LOW))))))</f>
        <v/>
      </c>
      <c r="I23" s="7" t="str">
        <f aca="false">IF(A23="","",IF(C23="","결석 - 평균에서 제외",IF(C23&gt;=HIGH_CUT,"고득점 유지",IF(F23="","기준점수 없음 - 평균에서 제외",IF(G23&gt;=STEP2,"크게 향상",IF(G23&gt;=STEP1,"유지·소폭 향상","하락"))))))</f>
        <v/>
      </c>
      <c r="K23" s="8"/>
      <c r="L23" s="8"/>
      <c r="M23" s="8"/>
      <c r="N23" s="8"/>
      <c r="P23" s="0" t="str">
        <f aca="false">IF(TRIM(K23&amp;"")="","",UPPER(TRIM(K23&amp;"")))</f>
        <v/>
      </c>
      <c r="Q23" s="0" t="str">
        <f aca="false">IF(P23="","",IF(ISNUMBER(N23),ROUND(N23,1),IF(AND(ISNUMBER(L23),ISNUMBER(M23)),IF(M23&gt;0,ROUND(L23/M23*100,1),""),"")))</f>
        <v/>
      </c>
      <c r="R23" s="0" t="str">
        <f aca="false">IF(P23="","",IF(COUNTIF(참가자!$A$3:$A$52,P23)=0,"명단에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IF(A24="","",IFERROR(INDEX($Q$3:$Q$102,MATCH(A24,$P$3:$P$102,0)),""))</f>
        <v/>
      </c>
      <c r="D24" s="7" t="str">
        <f aca="false">IF(A24="","",IF(C24="","결석","응시"))</f>
        <v/>
      </c>
      <c r="E24" s="7" t="str">
        <f aca="false">IF(A24="","",IF(COUNTIF($P$3:$P$102,A24)&gt;1,"중복! 확인",""))</f>
        <v/>
      </c>
      <c r="F24" s="7" t="str">
        <f aca="false">IF(A24="","",평가A!F24)</f>
        <v/>
      </c>
      <c r="G24" s="7" t="str">
        <f aca="false">IF(A24="","",IF(OR(C24="",F24=""),"",ROUND(C24-F24,1)))</f>
        <v/>
      </c>
      <c r="H24" s="7" t="str">
        <f aca="false">IF(A24="","",IF(C24="","",IF(C24&gt;=HIGH_CUT,PTS_HIGH,IF(F24="","",IF(G24&gt;=STEP2,PTS_HIGH,IF(G24&gt;=STEP1,PTS_MID,PTS_LOW))))))</f>
        <v/>
      </c>
      <c r="I24" s="7" t="str">
        <f aca="false">IF(A24="","",IF(C24="","결석 - 평균에서 제외",IF(C24&gt;=HIGH_CUT,"고득점 유지",IF(F24="","기준점수 없음 - 평균에서 제외",IF(G24&gt;=STEP2,"크게 향상",IF(G24&gt;=STEP1,"유지·소폭 향상","하락"))))))</f>
        <v/>
      </c>
      <c r="K24" s="8"/>
      <c r="L24" s="8"/>
      <c r="M24" s="8"/>
      <c r="N24" s="8"/>
      <c r="P24" s="0" t="str">
        <f aca="false">IF(TRIM(K24&amp;"")="","",UPPER(TRIM(K24&amp;"")))</f>
        <v/>
      </c>
      <c r="Q24" s="0" t="str">
        <f aca="false">IF(P24="","",IF(ISNUMBER(N24),ROUND(N24,1),IF(AND(ISNUMBER(L24),ISNUMBER(M24)),IF(M24&gt;0,ROUND(L24/M24*100,1),""),"")))</f>
        <v/>
      </c>
      <c r="R24" s="0" t="str">
        <f aca="false">IF(P24="","",IF(COUNTIF(참가자!$A$3:$A$52,P24)=0,"명단에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IF(A25="","",IFERROR(INDEX($Q$3:$Q$102,MATCH(A25,$P$3:$P$102,0)),""))</f>
        <v/>
      </c>
      <c r="D25" s="7" t="str">
        <f aca="false">IF(A25="","",IF(C25="","결석","응시"))</f>
        <v/>
      </c>
      <c r="E25" s="7" t="str">
        <f aca="false">IF(A25="","",IF(COUNTIF($P$3:$P$102,A25)&gt;1,"중복! 확인",""))</f>
        <v/>
      </c>
      <c r="F25" s="7" t="str">
        <f aca="false">IF(A25="","",평가A!F25)</f>
        <v/>
      </c>
      <c r="G25" s="7" t="str">
        <f aca="false">IF(A25="","",IF(OR(C25="",F25=""),"",ROUND(C25-F25,1)))</f>
        <v/>
      </c>
      <c r="H25" s="7" t="str">
        <f aca="false">IF(A25="","",IF(C25="","",IF(C25&gt;=HIGH_CUT,PTS_HIGH,IF(F25="","",IF(G25&gt;=STEP2,PTS_HIGH,IF(G25&gt;=STEP1,PTS_MID,PTS_LOW))))))</f>
        <v/>
      </c>
      <c r="I25" s="7" t="str">
        <f aca="false">IF(A25="","",IF(C25="","결석 - 평균에서 제외",IF(C25&gt;=HIGH_CUT,"고득점 유지",IF(F25="","기준점수 없음 - 평균에서 제외",IF(G25&gt;=STEP2,"크게 향상",IF(G25&gt;=STEP1,"유지·소폭 향상","하락"))))))</f>
        <v/>
      </c>
      <c r="K25" s="8"/>
      <c r="L25" s="8"/>
      <c r="M25" s="8"/>
      <c r="N25" s="8"/>
      <c r="P25" s="0" t="str">
        <f aca="false">IF(TRIM(K25&amp;"")="","",UPPER(TRIM(K25&amp;"")))</f>
        <v/>
      </c>
      <c r="Q25" s="0" t="str">
        <f aca="false">IF(P25="","",IF(ISNUMBER(N25),ROUND(N25,1),IF(AND(ISNUMBER(L25),ISNUMBER(M25)),IF(M25&gt;0,ROUND(L25/M25*100,1),""),"")))</f>
        <v/>
      </c>
      <c r="R25" s="0" t="str">
        <f aca="false">IF(P25="","",IF(COUNTIF(참가자!$A$3:$A$52,P25)=0,"명단에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IF(A26="","",IFERROR(INDEX($Q$3:$Q$102,MATCH(A26,$P$3:$P$102,0)),""))</f>
        <v/>
      </c>
      <c r="D26" s="7" t="str">
        <f aca="false">IF(A26="","",IF(C26="","결석","응시"))</f>
        <v/>
      </c>
      <c r="E26" s="7" t="str">
        <f aca="false">IF(A26="","",IF(COUNTIF($P$3:$P$102,A26)&gt;1,"중복! 확인",""))</f>
        <v/>
      </c>
      <c r="F26" s="7" t="str">
        <f aca="false">IF(A26="","",평가A!F26)</f>
        <v/>
      </c>
      <c r="G26" s="7" t="str">
        <f aca="false">IF(A26="","",IF(OR(C26="",F26=""),"",ROUND(C26-F26,1)))</f>
        <v/>
      </c>
      <c r="H26" s="7" t="str">
        <f aca="false">IF(A26="","",IF(C26="","",IF(C26&gt;=HIGH_CUT,PTS_HIGH,IF(F26="","",IF(G26&gt;=STEP2,PTS_HIGH,IF(G26&gt;=STEP1,PTS_MID,PTS_LOW))))))</f>
        <v/>
      </c>
      <c r="I26" s="7" t="str">
        <f aca="false">IF(A26="","",IF(C26="","결석 - 평균에서 제외",IF(C26&gt;=HIGH_CUT,"고득점 유지",IF(F26="","기준점수 없음 - 평균에서 제외",IF(G26&gt;=STEP2,"크게 향상",IF(G26&gt;=STEP1,"유지·소폭 향상","하락"))))))</f>
        <v/>
      </c>
      <c r="K26" s="8"/>
      <c r="L26" s="8"/>
      <c r="M26" s="8"/>
      <c r="N26" s="8"/>
      <c r="P26" s="0" t="str">
        <f aca="false">IF(TRIM(K26&amp;"")="","",UPPER(TRIM(K26&amp;"")))</f>
        <v/>
      </c>
      <c r="Q26" s="0" t="str">
        <f aca="false">IF(P26="","",IF(ISNUMBER(N26),ROUND(N26,1),IF(AND(ISNUMBER(L26),ISNUMBER(M26)),IF(M26&gt;0,ROUND(L26/M26*100,1),""),"")))</f>
        <v/>
      </c>
      <c r="R26" s="0" t="str">
        <f aca="false">IF(P26="","",IF(COUNTIF(참가자!$A$3:$A$52,P26)=0,"명단에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IF(A27="","",IFERROR(INDEX($Q$3:$Q$102,MATCH(A27,$P$3:$P$102,0)),""))</f>
        <v/>
      </c>
      <c r="D27" s="7" t="str">
        <f aca="false">IF(A27="","",IF(C27="","결석","응시"))</f>
        <v/>
      </c>
      <c r="E27" s="7" t="str">
        <f aca="false">IF(A27="","",IF(COUNTIF($P$3:$P$102,A27)&gt;1,"중복! 확인",""))</f>
        <v/>
      </c>
      <c r="F27" s="7" t="str">
        <f aca="false">IF(A27="","",평가A!F27)</f>
        <v/>
      </c>
      <c r="G27" s="7" t="str">
        <f aca="false">IF(A27="","",IF(OR(C27="",F27=""),"",ROUND(C27-F27,1)))</f>
        <v/>
      </c>
      <c r="H27" s="7" t="str">
        <f aca="false">IF(A27="","",IF(C27="","",IF(C27&gt;=HIGH_CUT,PTS_HIGH,IF(F27="","",IF(G27&gt;=STEP2,PTS_HIGH,IF(G27&gt;=STEP1,PTS_MID,PTS_LOW))))))</f>
        <v/>
      </c>
      <c r="I27" s="7" t="str">
        <f aca="false">IF(A27="","",IF(C27="","결석 - 평균에서 제외",IF(C27&gt;=HIGH_CUT,"고득점 유지",IF(F27="","기준점수 없음 - 평균에서 제외",IF(G27&gt;=STEP2,"크게 향상",IF(G27&gt;=STEP1,"유지·소폭 향상","하락"))))))</f>
        <v/>
      </c>
      <c r="K27" s="8"/>
      <c r="L27" s="8"/>
      <c r="M27" s="8"/>
      <c r="N27" s="8"/>
      <c r="P27" s="0" t="str">
        <f aca="false">IF(TRIM(K27&amp;"")="","",UPPER(TRIM(K27&amp;"")))</f>
        <v/>
      </c>
      <c r="Q27" s="0" t="str">
        <f aca="false">IF(P27="","",IF(ISNUMBER(N27),ROUND(N27,1),IF(AND(ISNUMBER(L27),ISNUMBER(M27)),IF(M27&gt;0,ROUND(L27/M27*100,1),""),"")))</f>
        <v/>
      </c>
      <c r="R27" s="0" t="str">
        <f aca="false">IF(P27="","",IF(COUNTIF(참가자!$A$3:$A$52,P27)=0,"명단에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IF(A28="","",IFERROR(INDEX($Q$3:$Q$102,MATCH(A28,$P$3:$P$102,0)),""))</f>
        <v/>
      </c>
      <c r="D28" s="7" t="str">
        <f aca="false">IF(A28="","",IF(C28="","결석","응시"))</f>
        <v/>
      </c>
      <c r="E28" s="7" t="str">
        <f aca="false">IF(A28="","",IF(COUNTIF($P$3:$P$102,A28)&gt;1,"중복! 확인",""))</f>
        <v/>
      </c>
      <c r="F28" s="7" t="str">
        <f aca="false">IF(A28="","",평가A!F28)</f>
        <v/>
      </c>
      <c r="G28" s="7" t="str">
        <f aca="false">IF(A28="","",IF(OR(C28="",F28=""),"",ROUND(C28-F28,1)))</f>
        <v/>
      </c>
      <c r="H28" s="7" t="str">
        <f aca="false">IF(A28="","",IF(C28="","",IF(C28&gt;=HIGH_CUT,PTS_HIGH,IF(F28="","",IF(G28&gt;=STEP2,PTS_HIGH,IF(G28&gt;=STEP1,PTS_MID,PTS_LOW))))))</f>
        <v/>
      </c>
      <c r="I28" s="7" t="str">
        <f aca="false">IF(A28="","",IF(C28="","결석 - 평균에서 제외",IF(C28&gt;=HIGH_CUT,"고득점 유지",IF(F28="","기준점수 없음 - 평균에서 제외",IF(G28&gt;=STEP2,"크게 향상",IF(G28&gt;=STEP1,"유지·소폭 향상","하락"))))))</f>
        <v/>
      </c>
      <c r="K28" s="8"/>
      <c r="L28" s="8"/>
      <c r="M28" s="8"/>
      <c r="N28" s="8"/>
      <c r="P28" s="0" t="str">
        <f aca="false">IF(TRIM(K28&amp;"")="","",UPPER(TRIM(K28&amp;"")))</f>
        <v/>
      </c>
      <c r="Q28" s="0" t="str">
        <f aca="false">IF(P28="","",IF(ISNUMBER(N28),ROUND(N28,1),IF(AND(ISNUMBER(L28),ISNUMBER(M28)),IF(M28&gt;0,ROUND(L28/M28*100,1),""),"")))</f>
        <v/>
      </c>
      <c r="R28" s="0" t="str">
        <f aca="false">IF(P28="","",IF(COUNTIF(참가자!$A$3:$A$52,P28)=0,"명단에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IF(A29="","",IFERROR(INDEX($Q$3:$Q$102,MATCH(A29,$P$3:$P$102,0)),""))</f>
        <v/>
      </c>
      <c r="D29" s="7" t="str">
        <f aca="false">IF(A29="","",IF(C29="","결석","응시"))</f>
        <v/>
      </c>
      <c r="E29" s="7" t="str">
        <f aca="false">IF(A29="","",IF(COUNTIF($P$3:$P$102,A29)&gt;1,"중복! 확인",""))</f>
        <v/>
      </c>
      <c r="F29" s="7" t="str">
        <f aca="false">IF(A29="","",평가A!F29)</f>
        <v/>
      </c>
      <c r="G29" s="7" t="str">
        <f aca="false">IF(A29="","",IF(OR(C29="",F29=""),"",ROUND(C29-F29,1)))</f>
        <v/>
      </c>
      <c r="H29" s="7" t="str">
        <f aca="false">IF(A29="","",IF(C29="","",IF(C29&gt;=HIGH_CUT,PTS_HIGH,IF(F29="","",IF(G29&gt;=STEP2,PTS_HIGH,IF(G29&gt;=STEP1,PTS_MID,PTS_LOW))))))</f>
        <v/>
      </c>
      <c r="I29" s="7" t="str">
        <f aca="false">IF(A29="","",IF(C29="","결석 - 평균에서 제외",IF(C29&gt;=HIGH_CUT,"고득점 유지",IF(F29="","기준점수 없음 - 평균에서 제외",IF(G29&gt;=STEP2,"크게 향상",IF(G29&gt;=STEP1,"유지·소폭 향상","하락"))))))</f>
        <v/>
      </c>
      <c r="K29" s="8"/>
      <c r="L29" s="8"/>
      <c r="M29" s="8"/>
      <c r="N29" s="8"/>
      <c r="P29" s="0" t="str">
        <f aca="false">IF(TRIM(K29&amp;"")="","",UPPER(TRIM(K29&amp;"")))</f>
        <v/>
      </c>
      <c r="Q29" s="0" t="str">
        <f aca="false">IF(P29="","",IF(ISNUMBER(N29),ROUND(N29,1),IF(AND(ISNUMBER(L29),ISNUMBER(M29)),IF(M29&gt;0,ROUND(L29/M29*100,1),""),"")))</f>
        <v/>
      </c>
      <c r="R29" s="0" t="str">
        <f aca="false">IF(P29="","",IF(COUNTIF(참가자!$A$3:$A$52,P29)=0,"명단에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IF(A30="","",IFERROR(INDEX($Q$3:$Q$102,MATCH(A30,$P$3:$P$102,0)),""))</f>
        <v/>
      </c>
      <c r="D30" s="7" t="str">
        <f aca="false">IF(A30="","",IF(C30="","결석","응시"))</f>
        <v/>
      </c>
      <c r="E30" s="7" t="str">
        <f aca="false">IF(A30="","",IF(COUNTIF($P$3:$P$102,A30)&gt;1,"중복! 확인",""))</f>
        <v/>
      </c>
      <c r="F30" s="7" t="str">
        <f aca="false">IF(A30="","",평가A!F30)</f>
        <v/>
      </c>
      <c r="G30" s="7" t="str">
        <f aca="false">IF(A30="","",IF(OR(C30="",F30=""),"",ROUND(C30-F30,1)))</f>
        <v/>
      </c>
      <c r="H30" s="7" t="str">
        <f aca="false">IF(A30="","",IF(C30="","",IF(C30&gt;=HIGH_CUT,PTS_HIGH,IF(F30="","",IF(G30&gt;=STEP2,PTS_HIGH,IF(G30&gt;=STEP1,PTS_MID,PTS_LOW))))))</f>
        <v/>
      </c>
      <c r="I30" s="7" t="str">
        <f aca="false">IF(A30="","",IF(C30="","결석 - 평균에서 제외",IF(C30&gt;=HIGH_CUT,"고득점 유지",IF(F30="","기준점수 없음 - 평균에서 제외",IF(G30&gt;=STEP2,"크게 향상",IF(G30&gt;=STEP1,"유지·소폭 향상","하락"))))))</f>
        <v/>
      </c>
      <c r="K30" s="8"/>
      <c r="L30" s="8"/>
      <c r="M30" s="8"/>
      <c r="N30" s="8"/>
      <c r="P30" s="0" t="str">
        <f aca="false">IF(TRIM(K30&amp;"")="","",UPPER(TRIM(K30&amp;"")))</f>
        <v/>
      </c>
      <c r="Q30" s="0" t="str">
        <f aca="false">IF(P30="","",IF(ISNUMBER(N30),ROUND(N30,1),IF(AND(ISNUMBER(L30),ISNUMBER(M30)),IF(M30&gt;0,ROUND(L30/M30*100,1),""),"")))</f>
        <v/>
      </c>
      <c r="R30" s="0" t="str">
        <f aca="false">IF(P30="","",IF(COUNTIF(참가자!$A$3:$A$52,P30)=0,"명단에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IF(A31="","",IFERROR(INDEX($Q$3:$Q$102,MATCH(A31,$P$3:$P$102,0)),""))</f>
        <v/>
      </c>
      <c r="D31" s="7" t="str">
        <f aca="false">IF(A31="","",IF(C31="","결석","응시"))</f>
        <v/>
      </c>
      <c r="E31" s="7" t="str">
        <f aca="false">IF(A31="","",IF(COUNTIF($P$3:$P$102,A31)&gt;1,"중복! 확인",""))</f>
        <v/>
      </c>
      <c r="F31" s="7" t="str">
        <f aca="false">IF(A31="","",평가A!F31)</f>
        <v/>
      </c>
      <c r="G31" s="7" t="str">
        <f aca="false">IF(A31="","",IF(OR(C31="",F31=""),"",ROUND(C31-F31,1)))</f>
        <v/>
      </c>
      <c r="H31" s="7" t="str">
        <f aca="false">IF(A31="","",IF(C31="","",IF(C31&gt;=HIGH_CUT,PTS_HIGH,IF(F31="","",IF(G31&gt;=STEP2,PTS_HIGH,IF(G31&gt;=STEP1,PTS_MID,PTS_LOW))))))</f>
        <v/>
      </c>
      <c r="I31" s="7" t="str">
        <f aca="false">IF(A31="","",IF(C31="","결석 - 평균에서 제외",IF(C31&gt;=HIGH_CUT,"고득점 유지",IF(F31="","기준점수 없음 - 평균에서 제외",IF(G31&gt;=STEP2,"크게 향상",IF(G31&gt;=STEP1,"유지·소폭 향상","하락"))))))</f>
        <v/>
      </c>
      <c r="K31" s="8"/>
      <c r="L31" s="8"/>
      <c r="M31" s="8"/>
      <c r="N31" s="8"/>
      <c r="P31" s="0" t="str">
        <f aca="false">IF(TRIM(K31&amp;"")="","",UPPER(TRIM(K31&amp;"")))</f>
        <v/>
      </c>
      <c r="Q31" s="0" t="str">
        <f aca="false">IF(P31="","",IF(ISNUMBER(N31),ROUND(N31,1),IF(AND(ISNUMBER(L31),ISNUMBER(M31)),IF(M31&gt;0,ROUND(L31/M31*100,1),""),"")))</f>
        <v/>
      </c>
      <c r="R31" s="0" t="str">
        <f aca="false">IF(P31="","",IF(COUNTIF(참가자!$A$3:$A$52,P31)=0,"명단에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IF(A32="","",IFERROR(INDEX($Q$3:$Q$102,MATCH(A32,$P$3:$P$102,0)),""))</f>
        <v/>
      </c>
      <c r="D32" s="7" t="str">
        <f aca="false">IF(A32="","",IF(C32="","결석","응시"))</f>
        <v/>
      </c>
      <c r="E32" s="7" t="str">
        <f aca="false">IF(A32="","",IF(COUNTIF($P$3:$P$102,A32)&gt;1,"중복! 확인",""))</f>
        <v/>
      </c>
      <c r="F32" s="7" t="str">
        <f aca="false">IF(A32="","",평가A!F32)</f>
        <v/>
      </c>
      <c r="G32" s="7" t="str">
        <f aca="false">IF(A32="","",IF(OR(C32="",F32=""),"",ROUND(C32-F32,1)))</f>
        <v/>
      </c>
      <c r="H32" s="7" t="str">
        <f aca="false">IF(A32="","",IF(C32="","",IF(C32&gt;=HIGH_CUT,PTS_HIGH,IF(F32="","",IF(G32&gt;=STEP2,PTS_HIGH,IF(G32&gt;=STEP1,PTS_MID,PTS_LOW))))))</f>
        <v/>
      </c>
      <c r="I32" s="7" t="str">
        <f aca="false">IF(A32="","",IF(C32="","결석 - 평균에서 제외",IF(C32&gt;=HIGH_CUT,"고득점 유지",IF(F32="","기준점수 없음 - 평균에서 제외",IF(G32&gt;=STEP2,"크게 향상",IF(G32&gt;=STEP1,"유지·소폭 향상","하락"))))))</f>
        <v/>
      </c>
      <c r="K32" s="8"/>
      <c r="L32" s="8"/>
      <c r="M32" s="8"/>
      <c r="N32" s="8"/>
      <c r="P32" s="0" t="str">
        <f aca="false">IF(TRIM(K32&amp;"")="","",UPPER(TRIM(K32&amp;"")))</f>
        <v/>
      </c>
      <c r="Q32" s="0" t="str">
        <f aca="false">IF(P32="","",IF(ISNUMBER(N32),ROUND(N32,1),IF(AND(ISNUMBER(L32),ISNUMBER(M32)),IF(M32&gt;0,ROUND(L32/M32*100,1),""),"")))</f>
        <v/>
      </c>
      <c r="R32" s="0" t="str">
        <f aca="false">IF(P32="","",IF(COUNTIF(참가자!$A$3:$A$52,P32)=0,"명단에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IF(A33="","",IFERROR(INDEX($Q$3:$Q$102,MATCH(A33,$P$3:$P$102,0)),""))</f>
        <v/>
      </c>
      <c r="D33" s="7" t="str">
        <f aca="false">IF(A33="","",IF(C33="","결석","응시"))</f>
        <v/>
      </c>
      <c r="E33" s="7" t="str">
        <f aca="false">IF(A33="","",IF(COUNTIF($P$3:$P$102,A33)&gt;1,"중복! 확인",""))</f>
        <v/>
      </c>
      <c r="F33" s="7" t="str">
        <f aca="false">IF(A33="","",평가A!F33)</f>
        <v/>
      </c>
      <c r="G33" s="7" t="str">
        <f aca="false">IF(A33="","",IF(OR(C33="",F33=""),"",ROUND(C33-F33,1)))</f>
        <v/>
      </c>
      <c r="H33" s="7" t="str">
        <f aca="false">IF(A33="","",IF(C33="","",IF(C33&gt;=HIGH_CUT,PTS_HIGH,IF(F33="","",IF(G33&gt;=STEP2,PTS_HIGH,IF(G33&gt;=STEP1,PTS_MID,PTS_LOW))))))</f>
        <v/>
      </c>
      <c r="I33" s="7" t="str">
        <f aca="false">IF(A33="","",IF(C33="","결석 - 평균에서 제외",IF(C33&gt;=HIGH_CUT,"고득점 유지",IF(F33="","기준점수 없음 - 평균에서 제외",IF(G33&gt;=STEP2,"크게 향상",IF(G33&gt;=STEP1,"유지·소폭 향상","하락"))))))</f>
        <v/>
      </c>
      <c r="K33" s="8"/>
      <c r="L33" s="8"/>
      <c r="M33" s="8"/>
      <c r="N33" s="8"/>
      <c r="P33" s="0" t="str">
        <f aca="false">IF(TRIM(K33&amp;"")="","",UPPER(TRIM(K33&amp;"")))</f>
        <v/>
      </c>
      <c r="Q33" s="0" t="str">
        <f aca="false">IF(P33="","",IF(ISNUMBER(N33),ROUND(N33,1),IF(AND(ISNUMBER(L33),ISNUMBER(M33)),IF(M33&gt;0,ROUND(L33/M33*100,1),""),"")))</f>
        <v/>
      </c>
      <c r="R33" s="0" t="str">
        <f aca="false">IF(P33="","",IF(COUNTIF(참가자!$A$3:$A$52,P33)=0,"명단에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IF(A34="","",IFERROR(INDEX($Q$3:$Q$102,MATCH(A34,$P$3:$P$102,0)),""))</f>
        <v/>
      </c>
      <c r="D34" s="7" t="str">
        <f aca="false">IF(A34="","",IF(C34="","결석","응시"))</f>
        <v/>
      </c>
      <c r="E34" s="7" t="str">
        <f aca="false">IF(A34="","",IF(COUNTIF($P$3:$P$102,A34)&gt;1,"중복! 확인",""))</f>
        <v/>
      </c>
      <c r="F34" s="7" t="str">
        <f aca="false">IF(A34="","",평가A!F34)</f>
        <v/>
      </c>
      <c r="G34" s="7" t="str">
        <f aca="false">IF(A34="","",IF(OR(C34="",F34=""),"",ROUND(C34-F34,1)))</f>
        <v/>
      </c>
      <c r="H34" s="7" t="str">
        <f aca="false">IF(A34="","",IF(C34="","",IF(C34&gt;=HIGH_CUT,PTS_HIGH,IF(F34="","",IF(G34&gt;=STEP2,PTS_HIGH,IF(G34&gt;=STEP1,PTS_MID,PTS_LOW))))))</f>
        <v/>
      </c>
      <c r="I34" s="7" t="str">
        <f aca="false">IF(A34="","",IF(C34="","결석 - 평균에서 제외",IF(C34&gt;=HIGH_CUT,"고득점 유지",IF(F34="","기준점수 없음 - 평균에서 제외",IF(G34&gt;=STEP2,"크게 향상",IF(G34&gt;=STEP1,"유지·소폭 향상","하락"))))))</f>
        <v/>
      </c>
      <c r="K34" s="8"/>
      <c r="L34" s="8"/>
      <c r="M34" s="8"/>
      <c r="N34" s="8"/>
      <c r="P34" s="0" t="str">
        <f aca="false">IF(TRIM(K34&amp;"")="","",UPPER(TRIM(K34&amp;"")))</f>
        <v/>
      </c>
      <c r="Q34" s="0" t="str">
        <f aca="false">IF(P34="","",IF(ISNUMBER(N34),ROUND(N34,1),IF(AND(ISNUMBER(L34),ISNUMBER(M34)),IF(M34&gt;0,ROUND(L34/M34*100,1),""),"")))</f>
        <v/>
      </c>
      <c r="R34" s="0" t="str">
        <f aca="false">IF(P34="","",IF(COUNTIF(참가자!$A$3:$A$52,P34)=0,"명단에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IF(A35="","",IFERROR(INDEX($Q$3:$Q$102,MATCH(A35,$P$3:$P$102,0)),""))</f>
        <v/>
      </c>
      <c r="D35" s="7" t="str">
        <f aca="false">IF(A35="","",IF(C35="","결석","응시"))</f>
        <v/>
      </c>
      <c r="E35" s="7" t="str">
        <f aca="false">IF(A35="","",IF(COUNTIF($P$3:$P$102,A35)&gt;1,"중복! 확인",""))</f>
        <v/>
      </c>
      <c r="F35" s="7" t="str">
        <f aca="false">IF(A35="","",평가A!F35)</f>
        <v/>
      </c>
      <c r="G35" s="7" t="str">
        <f aca="false">IF(A35="","",IF(OR(C35="",F35=""),"",ROUND(C35-F35,1)))</f>
        <v/>
      </c>
      <c r="H35" s="7" t="str">
        <f aca="false">IF(A35="","",IF(C35="","",IF(C35&gt;=HIGH_CUT,PTS_HIGH,IF(F35="","",IF(G35&gt;=STEP2,PTS_HIGH,IF(G35&gt;=STEP1,PTS_MID,PTS_LOW))))))</f>
        <v/>
      </c>
      <c r="I35" s="7" t="str">
        <f aca="false">IF(A35="","",IF(C35="","결석 - 평균에서 제외",IF(C35&gt;=HIGH_CUT,"고득점 유지",IF(F35="","기준점수 없음 - 평균에서 제외",IF(G35&gt;=STEP2,"크게 향상",IF(G35&gt;=STEP1,"유지·소폭 향상","하락"))))))</f>
        <v/>
      </c>
      <c r="K35" s="8"/>
      <c r="L35" s="8"/>
      <c r="M35" s="8"/>
      <c r="N35" s="8"/>
      <c r="P35" s="0" t="str">
        <f aca="false">IF(TRIM(K35&amp;"")="","",UPPER(TRIM(K35&amp;"")))</f>
        <v/>
      </c>
      <c r="Q35" s="0" t="str">
        <f aca="false">IF(P35="","",IF(ISNUMBER(N35),ROUND(N35,1),IF(AND(ISNUMBER(L35),ISNUMBER(M35)),IF(M35&gt;0,ROUND(L35/M35*100,1),""),"")))</f>
        <v/>
      </c>
      <c r="R35" s="0" t="str">
        <f aca="false">IF(P35="","",IF(COUNTIF(참가자!$A$3:$A$52,P35)=0,"명단에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IF(A36="","",IFERROR(INDEX($Q$3:$Q$102,MATCH(A36,$P$3:$P$102,0)),""))</f>
        <v/>
      </c>
      <c r="D36" s="7" t="str">
        <f aca="false">IF(A36="","",IF(C36="","결석","응시"))</f>
        <v/>
      </c>
      <c r="E36" s="7" t="str">
        <f aca="false">IF(A36="","",IF(COUNTIF($P$3:$P$102,A36)&gt;1,"중복! 확인",""))</f>
        <v/>
      </c>
      <c r="F36" s="7" t="str">
        <f aca="false">IF(A36="","",평가A!F36)</f>
        <v/>
      </c>
      <c r="G36" s="7" t="str">
        <f aca="false">IF(A36="","",IF(OR(C36="",F36=""),"",ROUND(C36-F36,1)))</f>
        <v/>
      </c>
      <c r="H36" s="7" t="str">
        <f aca="false">IF(A36="","",IF(C36="","",IF(C36&gt;=HIGH_CUT,PTS_HIGH,IF(F36="","",IF(G36&gt;=STEP2,PTS_HIGH,IF(G36&gt;=STEP1,PTS_MID,PTS_LOW))))))</f>
        <v/>
      </c>
      <c r="I36" s="7" t="str">
        <f aca="false">IF(A36="","",IF(C36="","결석 - 평균에서 제외",IF(C36&gt;=HIGH_CUT,"고득점 유지",IF(F36="","기준점수 없음 - 평균에서 제외",IF(G36&gt;=STEP2,"크게 향상",IF(G36&gt;=STEP1,"유지·소폭 향상","하락"))))))</f>
        <v/>
      </c>
      <c r="K36" s="8"/>
      <c r="L36" s="8"/>
      <c r="M36" s="8"/>
      <c r="N36" s="8"/>
      <c r="P36" s="0" t="str">
        <f aca="false">IF(TRIM(K36&amp;"")="","",UPPER(TRIM(K36&amp;"")))</f>
        <v/>
      </c>
      <c r="Q36" s="0" t="str">
        <f aca="false">IF(P36="","",IF(ISNUMBER(N36),ROUND(N36,1),IF(AND(ISNUMBER(L36),ISNUMBER(M36)),IF(M36&gt;0,ROUND(L36/M36*100,1),""),"")))</f>
        <v/>
      </c>
      <c r="R36" s="0" t="str">
        <f aca="false">IF(P36="","",IF(COUNTIF(참가자!$A$3:$A$52,P36)=0,"명단에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IF(A37="","",IFERROR(INDEX($Q$3:$Q$102,MATCH(A37,$P$3:$P$102,0)),""))</f>
        <v/>
      </c>
      <c r="D37" s="7" t="str">
        <f aca="false">IF(A37="","",IF(C37="","결석","응시"))</f>
        <v/>
      </c>
      <c r="E37" s="7" t="str">
        <f aca="false">IF(A37="","",IF(COUNTIF($P$3:$P$102,A37)&gt;1,"중복! 확인",""))</f>
        <v/>
      </c>
      <c r="F37" s="7" t="str">
        <f aca="false">IF(A37="","",평가A!F37)</f>
        <v/>
      </c>
      <c r="G37" s="7" t="str">
        <f aca="false">IF(A37="","",IF(OR(C37="",F37=""),"",ROUND(C37-F37,1)))</f>
        <v/>
      </c>
      <c r="H37" s="7" t="str">
        <f aca="false">IF(A37="","",IF(C37="","",IF(C37&gt;=HIGH_CUT,PTS_HIGH,IF(F37="","",IF(G37&gt;=STEP2,PTS_HIGH,IF(G37&gt;=STEP1,PTS_MID,PTS_LOW))))))</f>
        <v/>
      </c>
      <c r="I37" s="7" t="str">
        <f aca="false">IF(A37="","",IF(C37="","결석 - 평균에서 제외",IF(C37&gt;=HIGH_CUT,"고득점 유지",IF(F37="","기준점수 없음 - 평균에서 제외",IF(G37&gt;=STEP2,"크게 향상",IF(G37&gt;=STEP1,"유지·소폭 향상","하락"))))))</f>
        <v/>
      </c>
      <c r="K37" s="8"/>
      <c r="L37" s="8"/>
      <c r="M37" s="8"/>
      <c r="N37" s="8"/>
      <c r="P37" s="0" t="str">
        <f aca="false">IF(TRIM(K37&amp;"")="","",UPPER(TRIM(K37&amp;"")))</f>
        <v/>
      </c>
      <c r="Q37" s="0" t="str">
        <f aca="false">IF(P37="","",IF(ISNUMBER(N37),ROUND(N37,1),IF(AND(ISNUMBER(L37),ISNUMBER(M37)),IF(M37&gt;0,ROUND(L37/M37*100,1),""),"")))</f>
        <v/>
      </c>
      <c r="R37" s="0" t="str">
        <f aca="false">IF(P37="","",IF(COUNTIF(참가자!$A$3:$A$52,P37)=0,"명단에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IF(A38="","",IFERROR(INDEX($Q$3:$Q$102,MATCH(A38,$P$3:$P$102,0)),""))</f>
        <v/>
      </c>
      <c r="D38" s="7" t="str">
        <f aca="false">IF(A38="","",IF(C38="","결석","응시"))</f>
        <v/>
      </c>
      <c r="E38" s="7" t="str">
        <f aca="false">IF(A38="","",IF(COUNTIF($P$3:$P$102,A38)&gt;1,"중복! 확인",""))</f>
        <v/>
      </c>
      <c r="F38" s="7" t="str">
        <f aca="false">IF(A38="","",평가A!F38)</f>
        <v/>
      </c>
      <c r="G38" s="7" t="str">
        <f aca="false">IF(A38="","",IF(OR(C38="",F38=""),"",ROUND(C38-F38,1)))</f>
        <v/>
      </c>
      <c r="H38" s="7" t="str">
        <f aca="false">IF(A38="","",IF(C38="","",IF(C38&gt;=HIGH_CUT,PTS_HIGH,IF(F38="","",IF(G38&gt;=STEP2,PTS_HIGH,IF(G38&gt;=STEP1,PTS_MID,PTS_LOW))))))</f>
        <v/>
      </c>
      <c r="I38" s="7" t="str">
        <f aca="false">IF(A38="","",IF(C38="","결석 - 평균에서 제외",IF(C38&gt;=HIGH_CUT,"고득점 유지",IF(F38="","기준점수 없음 - 평균에서 제외",IF(G38&gt;=STEP2,"크게 향상",IF(G38&gt;=STEP1,"유지·소폭 향상","하락"))))))</f>
        <v/>
      </c>
      <c r="K38" s="8"/>
      <c r="L38" s="8"/>
      <c r="M38" s="8"/>
      <c r="N38" s="8"/>
      <c r="P38" s="0" t="str">
        <f aca="false">IF(TRIM(K38&amp;"")="","",UPPER(TRIM(K38&amp;"")))</f>
        <v/>
      </c>
      <c r="Q38" s="0" t="str">
        <f aca="false">IF(P38="","",IF(ISNUMBER(N38),ROUND(N38,1),IF(AND(ISNUMBER(L38),ISNUMBER(M38)),IF(M38&gt;0,ROUND(L38/M38*100,1),""),"")))</f>
        <v/>
      </c>
      <c r="R38" s="0" t="str">
        <f aca="false">IF(P38="","",IF(COUNTIF(참가자!$A$3:$A$52,P38)=0,"명단에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IF(A39="","",IFERROR(INDEX($Q$3:$Q$102,MATCH(A39,$P$3:$P$102,0)),""))</f>
        <v/>
      </c>
      <c r="D39" s="7" t="str">
        <f aca="false">IF(A39="","",IF(C39="","결석","응시"))</f>
        <v/>
      </c>
      <c r="E39" s="7" t="str">
        <f aca="false">IF(A39="","",IF(COUNTIF($P$3:$P$102,A39)&gt;1,"중복! 확인",""))</f>
        <v/>
      </c>
      <c r="F39" s="7" t="str">
        <f aca="false">IF(A39="","",평가A!F39)</f>
        <v/>
      </c>
      <c r="G39" s="7" t="str">
        <f aca="false">IF(A39="","",IF(OR(C39="",F39=""),"",ROUND(C39-F39,1)))</f>
        <v/>
      </c>
      <c r="H39" s="7" t="str">
        <f aca="false">IF(A39="","",IF(C39="","",IF(C39&gt;=HIGH_CUT,PTS_HIGH,IF(F39="","",IF(G39&gt;=STEP2,PTS_HIGH,IF(G39&gt;=STEP1,PTS_MID,PTS_LOW))))))</f>
        <v/>
      </c>
      <c r="I39" s="7" t="str">
        <f aca="false">IF(A39="","",IF(C39="","결석 - 평균에서 제외",IF(C39&gt;=HIGH_CUT,"고득점 유지",IF(F39="","기준점수 없음 - 평균에서 제외",IF(G39&gt;=STEP2,"크게 향상",IF(G39&gt;=STEP1,"유지·소폭 향상","하락"))))))</f>
        <v/>
      </c>
      <c r="K39" s="8"/>
      <c r="L39" s="8"/>
      <c r="M39" s="8"/>
      <c r="N39" s="8"/>
      <c r="P39" s="0" t="str">
        <f aca="false">IF(TRIM(K39&amp;"")="","",UPPER(TRIM(K39&amp;"")))</f>
        <v/>
      </c>
      <c r="Q39" s="0" t="str">
        <f aca="false">IF(P39="","",IF(ISNUMBER(N39),ROUND(N39,1),IF(AND(ISNUMBER(L39),ISNUMBER(M39)),IF(M39&gt;0,ROUND(L39/M39*100,1),""),"")))</f>
        <v/>
      </c>
      <c r="R39" s="0" t="str">
        <f aca="false">IF(P39="","",IF(COUNTIF(참가자!$A$3:$A$52,P39)=0,"명단에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IF(A40="","",IFERROR(INDEX($Q$3:$Q$102,MATCH(A40,$P$3:$P$102,0)),""))</f>
        <v/>
      </c>
      <c r="D40" s="7" t="str">
        <f aca="false">IF(A40="","",IF(C40="","결석","응시"))</f>
        <v/>
      </c>
      <c r="E40" s="7" t="str">
        <f aca="false">IF(A40="","",IF(COUNTIF($P$3:$P$102,A40)&gt;1,"중복! 확인",""))</f>
        <v/>
      </c>
      <c r="F40" s="7" t="str">
        <f aca="false">IF(A40="","",평가A!F40)</f>
        <v/>
      </c>
      <c r="G40" s="7" t="str">
        <f aca="false">IF(A40="","",IF(OR(C40="",F40=""),"",ROUND(C40-F40,1)))</f>
        <v/>
      </c>
      <c r="H40" s="7" t="str">
        <f aca="false">IF(A40="","",IF(C40="","",IF(C40&gt;=HIGH_CUT,PTS_HIGH,IF(F40="","",IF(G40&gt;=STEP2,PTS_HIGH,IF(G40&gt;=STEP1,PTS_MID,PTS_LOW))))))</f>
        <v/>
      </c>
      <c r="I40" s="7" t="str">
        <f aca="false">IF(A40="","",IF(C40="","결석 - 평균에서 제외",IF(C40&gt;=HIGH_CUT,"고득점 유지",IF(F40="","기준점수 없음 - 평균에서 제외",IF(G40&gt;=STEP2,"크게 향상",IF(G40&gt;=STEP1,"유지·소폭 향상","하락"))))))</f>
        <v/>
      </c>
      <c r="K40" s="8"/>
      <c r="L40" s="8"/>
      <c r="M40" s="8"/>
      <c r="N40" s="8"/>
      <c r="P40" s="0" t="str">
        <f aca="false">IF(TRIM(K40&amp;"")="","",UPPER(TRIM(K40&amp;"")))</f>
        <v/>
      </c>
      <c r="Q40" s="0" t="str">
        <f aca="false">IF(P40="","",IF(ISNUMBER(N40),ROUND(N40,1),IF(AND(ISNUMBER(L40),ISNUMBER(M40)),IF(M40&gt;0,ROUND(L40/M40*100,1),""),"")))</f>
        <v/>
      </c>
      <c r="R40" s="0" t="str">
        <f aca="false">IF(P40="","",IF(COUNTIF(참가자!$A$3:$A$52,P40)=0,"명단에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IF(A41="","",IFERROR(INDEX($Q$3:$Q$102,MATCH(A41,$P$3:$P$102,0)),""))</f>
        <v/>
      </c>
      <c r="D41" s="7" t="str">
        <f aca="false">IF(A41="","",IF(C41="","결석","응시"))</f>
        <v/>
      </c>
      <c r="E41" s="7" t="str">
        <f aca="false">IF(A41="","",IF(COUNTIF($P$3:$P$102,A41)&gt;1,"중복! 확인",""))</f>
        <v/>
      </c>
      <c r="F41" s="7" t="str">
        <f aca="false">IF(A41="","",평가A!F41)</f>
        <v/>
      </c>
      <c r="G41" s="7" t="str">
        <f aca="false">IF(A41="","",IF(OR(C41="",F41=""),"",ROUND(C41-F41,1)))</f>
        <v/>
      </c>
      <c r="H41" s="7" t="str">
        <f aca="false">IF(A41="","",IF(C41="","",IF(C41&gt;=HIGH_CUT,PTS_HIGH,IF(F41="","",IF(G41&gt;=STEP2,PTS_HIGH,IF(G41&gt;=STEP1,PTS_MID,PTS_LOW))))))</f>
        <v/>
      </c>
      <c r="I41" s="7" t="str">
        <f aca="false">IF(A41="","",IF(C41="","결석 - 평균에서 제외",IF(C41&gt;=HIGH_CUT,"고득점 유지",IF(F41="","기준점수 없음 - 평균에서 제외",IF(G41&gt;=STEP2,"크게 향상",IF(G41&gt;=STEP1,"유지·소폭 향상","하락"))))))</f>
        <v/>
      </c>
      <c r="K41" s="8"/>
      <c r="L41" s="8"/>
      <c r="M41" s="8"/>
      <c r="N41" s="8"/>
      <c r="P41" s="0" t="str">
        <f aca="false">IF(TRIM(K41&amp;"")="","",UPPER(TRIM(K41&amp;"")))</f>
        <v/>
      </c>
      <c r="Q41" s="0" t="str">
        <f aca="false">IF(P41="","",IF(ISNUMBER(N41),ROUND(N41,1),IF(AND(ISNUMBER(L41),ISNUMBER(M41)),IF(M41&gt;0,ROUND(L41/M41*100,1),""),"")))</f>
        <v/>
      </c>
      <c r="R41" s="0" t="str">
        <f aca="false">IF(P41="","",IF(COUNTIF(참가자!$A$3:$A$52,P41)=0,"명단에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IF(A42="","",IFERROR(INDEX($Q$3:$Q$102,MATCH(A42,$P$3:$P$102,0)),""))</f>
        <v/>
      </c>
      <c r="D42" s="7" t="str">
        <f aca="false">IF(A42="","",IF(C42="","결석","응시"))</f>
        <v/>
      </c>
      <c r="E42" s="7" t="str">
        <f aca="false">IF(A42="","",IF(COUNTIF($P$3:$P$102,A42)&gt;1,"중복! 확인",""))</f>
        <v/>
      </c>
      <c r="F42" s="7" t="str">
        <f aca="false">IF(A42="","",평가A!F42)</f>
        <v/>
      </c>
      <c r="G42" s="7" t="str">
        <f aca="false">IF(A42="","",IF(OR(C42="",F42=""),"",ROUND(C42-F42,1)))</f>
        <v/>
      </c>
      <c r="H42" s="7" t="str">
        <f aca="false">IF(A42="","",IF(C42="","",IF(C42&gt;=HIGH_CUT,PTS_HIGH,IF(F42="","",IF(G42&gt;=STEP2,PTS_HIGH,IF(G42&gt;=STEP1,PTS_MID,PTS_LOW))))))</f>
        <v/>
      </c>
      <c r="I42" s="7" t="str">
        <f aca="false">IF(A42="","",IF(C42="","결석 - 평균에서 제외",IF(C42&gt;=HIGH_CUT,"고득점 유지",IF(F42="","기준점수 없음 - 평균에서 제외",IF(G42&gt;=STEP2,"크게 향상",IF(G42&gt;=STEP1,"유지·소폭 향상","하락"))))))</f>
        <v/>
      </c>
      <c r="K42" s="8"/>
      <c r="L42" s="8"/>
      <c r="M42" s="8"/>
      <c r="N42" s="8"/>
      <c r="P42" s="0" t="str">
        <f aca="false">IF(TRIM(K42&amp;"")="","",UPPER(TRIM(K42&amp;"")))</f>
        <v/>
      </c>
      <c r="Q42" s="0" t="str">
        <f aca="false">IF(P42="","",IF(ISNUMBER(N42),ROUND(N42,1),IF(AND(ISNUMBER(L42),ISNUMBER(M42)),IF(M42&gt;0,ROUND(L42/M42*100,1),""),"")))</f>
        <v/>
      </c>
      <c r="R42" s="0" t="str">
        <f aca="false">IF(P42="","",IF(COUNTIF(참가자!$A$3:$A$52,P42)=0,"명단에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IF(A43="","",IFERROR(INDEX($Q$3:$Q$102,MATCH(A43,$P$3:$P$102,0)),""))</f>
        <v/>
      </c>
      <c r="D43" s="7" t="str">
        <f aca="false">IF(A43="","",IF(C43="","결석","응시"))</f>
        <v/>
      </c>
      <c r="E43" s="7" t="str">
        <f aca="false">IF(A43="","",IF(COUNTIF($P$3:$P$102,A43)&gt;1,"중복! 확인",""))</f>
        <v/>
      </c>
      <c r="F43" s="7" t="str">
        <f aca="false">IF(A43="","",평가A!F43)</f>
        <v/>
      </c>
      <c r="G43" s="7" t="str">
        <f aca="false">IF(A43="","",IF(OR(C43="",F43=""),"",ROUND(C43-F43,1)))</f>
        <v/>
      </c>
      <c r="H43" s="7" t="str">
        <f aca="false">IF(A43="","",IF(C43="","",IF(C43&gt;=HIGH_CUT,PTS_HIGH,IF(F43="","",IF(G43&gt;=STEP2,PTS_HIGH,IF(G43&gt;=STEP1,PTS_MID,PTS_LOW))))))</f>
        <v/>
      </c>
      <c r="I43" s="7" t="str">
        <f aca="false">IF(A43="","",IF(C43="","결석 - 평균에서 제외",IF(C43&gt;=HIGH_CUT,"고득점 유지",IF(F43="","기준점수 없음 - 평균에서 제외",IF(G43&gt;=STEP2,"크게 향상",IF(G43&gt;=STEP1,"유지·소폭 향상","하락"))))))</f>
        <v/>
      </c>
      <c r="K43" s="8"/>
      <c r="L43" s="8"/>
      <c r="M43" s="8"/>
      <c r="N43" s="8"/>
      <c r="P43" s="0" t="str">
        <f aca="false">IF(TRIM(K43&amp;"")="","",UPPER(TRIM(K43&amp;"")))</f>
        <v/>
      </c>
      <c r="Q43" s="0" t="str">
        <f aca="false">IF(P43="","",IF(ISNUMBER(N43),ROUND(N43,1),IF(AND(ISNUMBER(L43),ISNUMBER(M43)),IF(M43&gt;0,ROUND(L43/M43*100,1),""),"")))</f>
        <v/>
      </c>
      <c r="R43" s="0" t="str">
        <f aca="false">IF(P43="","",IF(COUNTIF(참가자!$A$3:$A$52,P43)=0,"명단에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IF(A44="","",IFERROR(INDEX($Q$3:$Q$102,MATCH(A44,$P$3:$P$102,0)),""))</f>
        <v/>
      </c>
      <c r="D44" s="7" t="str">
        <f aca="false">IF(A44="","",IF(C44="","결석","응시"))</f>
        <v/>
      </c>
      <c r="E44" s="7" t="str">
        <f aca="false">IF(A44="","",IF(COUNTIF($P$3:$P$102,A44)&gt;1,"중복! 확인",""))</f>
        <v/>
      </c>
      <c r="F44" s="7" t="str">
        <f aca="false">IF(A44="","",평가A!F44)</f>
        <v/>
      </c>
      <c r="G44" s="7" t="str">
        <f aca="false">IF(A44="","",IF(OR(C44="",F44=""),"",ROUND(C44-F44,1)))</f>
        <v/>
      </c>
      <c r="H44" s="7" t="str">
        <f aca="false">IF(A44="","",IF(C44="","",IF(C44&gt;=HIGH_CUT,PTS_HIGH,IF(F44="","",IF(G44&gt;=STEP2,PTS_HIGH,IF(G44&gt;=STEP1,PTS_MID,PTS_LOW))))))</f>
        <v/>
      </c>
      <c r="I44" s="7" t="str">
        <f aca="false">IF(A44="","",IF(C44="","결석 - 평균에서 제외",IF(C44&gt;=HIGH_CUT,"고득점 유지",IF(F44="","기준점수 없음 - 평균에서 제외",IF(G44&gt;=STEP2,"크게 향상",IF(G44&gt;=STEP1,"유지·소폭 향상","하락"))))))</f>
        <v/>
      </c>
      <c r="K44" s="8"/>
      <c r="L44" s="8"/>
      <c r="M44" s="8"/>
      <c r="N44" s="8"/>
      <c r="P44" s="0" t="str">
        <f aca="false">IF(TRIM(K44&amp;"")="","",UPPER(TRIM(K44&amp;"")))</f>
        <v/>
      </c>
      <c r="Q44" s="0" t="str">
        <f aca="false">IF(P44="","",IF(ISNUMBER(N44),ROUND(N44,1),IF(AND(ISNUMBER(L44),ISNUMBER(M44)),IF(M44&gt;0,ROUND(L44/M44*100,1),""),"")))</f>
        <v/>
      </c>
      <c r="R44" s="0" t="str">
        <f aca="false">IF(P44="","",IF(COUNTIF(참가자!$A$3:$A$52,P44)=0,"명단에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IF(A45="","",IFERROR(INDEX($Q$3:$Q$102,MATCH(A45,$P$3:$P$102,0)),""))</f>
        <v/>
      </c>
      <c r="D45" s="7" t="str">
        <f aca="false">IF(A45="","",IF(C45="","결석","응시"))</f>
        <v/>
      </c>
      <c r="E45" s="7" t="str">
        <f aca="false">IF(A45="","",IF(COUNTIF($P$3:$P$102,A45)&gt;1,"중복! 확인",""))</f>
        <v/>
      </c>
      <c r="F45" s="7" t="str">
        <f aca="false">IF(A45="","",평가A!F45)</f>
        <v/>
      </c>
      <c r="G45" s="7" t="str">
        <f aca="false">IF(A45="","",IF(OR(C45="",F45=""),"",ROUND(C45-F45,1)))</f>
        <v/>
      </c>
      <c r="H45" s="7" t="str">
        <f aca="false">IF(A45="","",IF(C45="","",IF(C45&gt;=HIGH_CUT,PTS_HIGH,IF(F45="","",IF(G45&gt;=STEP2,PTS_HIGH,IF(G45&gt;=STEP1,PTS_MID,PTS_LOW))))))</f>
        <v/>
      </c>
      <c r="I45" s="7" t="str">
        <f aca="false">IF(A45="","",IF(C45="","결석 - 평균에서 제외",IF(C45&gt;=HIGH_CUT,"고득점 유지",IF(F45="","기준점수 없음 - 평균에서 제외",IF(G45&gt;=STEP2,"크게 향상",IF(G45&gt;=STEP1,"유지·소폭 향상","하락"))))))</f>
        <v/>
      </c>
      <c r="K45" s="8"/>
      <c r="L45" s="8"/>
      <c r="M45" s="8"/>
      <c r="N45" s="8"/>
      <c r="P45" s="0" t="str">
        <f aca="false">IF(TRIM(K45&amp;"")="","",UPPER(TRIM(K45&amp;"")))</f>
        <v/>
      </c>
      <c r="Q45" s="0" t="str">
        <f aca="false">IF(P45="","",IF(ISNUMBER(N45),ROUND(N45,1),IF(AND(ISNUMBER(L45),ISNUMBER(M45)),IF(M45&gt;0,ROUND(L45/M45*100,1),""),"")))</f>
        <v/>
      </c>
      <c r="R45" s="0" t="str">
        <f aca="false">IF(P45="","",IF(COUNTIF(참가자!$A$3:$A$52,P45)=0,"명단에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IF(A46="","",IFERROR(INDEX($Q$3:$Q$102,MATCH(A46,$P$3:$P$102,0)),""))</f>
        <v/>
      </c>
      <c r="D46" s="7" t="str">
        <f aca="false">IF(A46="","",IF(C46="","결석","응시"))</f>
        <v/>
      </c>
      <c r="E46" s="7" t="str">
        <f aca="false">IF(A46="","",IF(COUNTIF($P$3:$P$102,A46)&gt;1,"중복! 확인",""))</f>
        <v/>
      </c>
      <c r="F46" s="7" t="str">
        <f aca="false">IF(A46="","",평가A!F46)</f>
        <v/>
      </c>
      <c r="G46" s="7" t="str">
        <f aca="false">IF(A46="","",IF(OR(C46="",F46=""),"",ROUND(C46-F46,1)))</f>
        <v/>
      </c>
      <c r="H46" s="7" t="str">
        <f aca="false">IF(A46="","",IF(C46="","",IF(C46&gt;=HIGH_CUT,PTS_HIGH,IF(F46="","",IF(G46&gt;=STEP2,PTS_HIGH,IF(G46&gt;=STEP1,PTS_MID,PTS_LOW))))))</f>
        <v/>
      </c>
      <c r="I46" s="7" t="str">
        <f aca="false">IF(A46="","",IF(C46="","결석 - 평균에서 제외",IF(C46&gt;=HIGH_CUT,"고득점 유지",IF(F46="","기준점수 없음 - 평균에서 제외",IF(G46&gt;=STEP2,"크게 향상",IF(G46&gt;=STEP1,"유지·소폭 향상","하락"))))))</f>
        <v/>
      </c>
      <c r="K46" s="8"/>
      <c r="L46" s="8"/>
      <c r="M46" s="8"/>
      <c r="N46" s="8"/>
      <c r="P46" s="0" t="str">
        <f aca="false">IF(TRIM(K46&amp;"")="","",UPPER(TRIM(K46&amp;"")))</f>
        <v/>
      </c>
      <c r="Q46" s="0" t="str">
        <f aca="false">IF(P46="","",IF(ISNUMBER(N46),ROUND(N46,1),IF(AND(ISNUMBER(L46),ISNUMBER(M46)),IF(M46&gt;0,ROUND(L46/M46*100,1),""),"")))</f>
        <v/>
      </c>
      <c r="R46" s="0" t="str">
        <f aca="false">IF(P46="","",IF(COUNTIF(참가자!$A$3:$A$52,P46)=0,"명단에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IF(A47="","",IFERROR(INDEX($Q$3:$Q$102,MATCH(A47,$P$3:$P$102,0)),""))</f>
        <v/>
      </c>
      <c r="D47" s="7" t="str">
        <f aca="false">IF(A47="","",IF(C47="","결석","응시"))</f>
        <v/>
      </c>
      <c r="E47" s="7" t="str">
        <f aca="false">IF(A47="","",IF(COUNTIF($P$3:$P$102,A47)&gt;1,"중복! 확인",""))</f>
        <v/>
      </c>
      <c r="F47" s="7" t="str">
        <f aca="false">IF(A47="","",평가A!F47)</f>
        <v/>
      </c>
      <c r="G47" s="7" t="str">
        <f aca="false">IF(A47="","",IF(OR(C47="",F47=""),"",ROUND(C47-F47,1)))</f>
        <v/>
      </c>
      <c r="H47" s="7" t="str">
        <f aca="false">IF(A47="","",IF(C47="","",IF(C47&gt;=HIGH_CUT,PTS_HIGH,IF(F47="","",IF(G47&gt;=STEP2,PTS_HIGH,IF(G47&gt;=STEP1,PTS_MID,PTS_LOW))))))</f>
        <v/>
      </c>
      <c r="I47" s="7" t="str">
        <f aca="false">IF(A47="","",IF(C47="","결석 - 평균에서 제외",IF(C47&gt;=HIGH_CUT,"고득점 유지",IF(F47="","기준점수 없음 - 평균에서 제외",IF(G47&gt;=STEP2,"크게 향상",IF(G47&gt;=STEP1,"유지·소폭 향상","하락"))))))</f>
        <v/>
      </c>
      <c r="K47" s="8"/>
      <c r="L47" s="8"/>
      <c r="M47" s="8"/>
      <c r="N47" s="8"/>
      <c r="P47" s="0" t="str">
        <f aca="false">IF(TRIM(K47&amp;"")="","",UPPER(TRIM(K47&amp;"")))</f>
        <v/>
      </c>
      <c r="Q47" s="0" t="str">
        <f aca="false">IF(P47="","",IF(ISNUMBER(N47),ROUND(N47,1),IF(AND(ISNUMBER(L47),ISNUMBER(M47)),IF(M47&gt;0,ROUND(L47/M47*100,1),""),"")))</f>
        <v/>
      </c>
      <c r="R47" s="0" t="str">
        <f aca="false">IF(P47="","",IF(COUNTIF(참가자!$A$3:$A$52,P47)=0,"명단에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IF(A48="","",IFERROR(INDEX($Q$3:$Q$102,MATCH(A48,$P$3:$P$102,0)),""))</f>
        <v/>
      </c>
      <c r="D48" s="7" t="str">
        <f aca="false">IF(A48="","",IF(C48="","결석","응시"))</f>
        <v/>
      </c>
      <c r="E48" s="7" t="str">
        <f aca="false">IF(A48="","",IF(COUNTIF($P$3:$P$102,A48)&gt;1,"중복! 확인",""))</f>
        <v/>
      </c>
      <c r="F48" s="7" t="str">
        <f aca="false">IF(A48="","",평가A!F48)</f>
        <v/>
      </c>
      <c r="G48" s="7" t="str">
        <f aca="false">IF(A48="","",IF(OR(C48="",F48=""),"",ROUND(C48-F48,1)))</f>
        <v/>
      </c>
      <c r="H48" s="7" t="str">
        <f aca="false">IF(A48="","",IF(C48="","",IF(C48&gt;=HIGH_CUT,PTS_HIGH,IF(F48="","",IF(G48&gt;=STEP2,PTS_HIGH,IF(G48&gt;=STEP1,PTS_MID,PTS_LOW))))))</f>
        <v/>
      </c>
      <c r="I48" s="7" t="str">
        <f aca="false">IF(A48="","",IF(C48="","결석 - 평균에서 제외",IF(C48&gt;=HIGH_CUT,"고득점 유지",IF(F48="","기준점수 없음 - 평균에서 제외",IF(G48&gt;=STEP2,"크게 향상",IF(G48&gt;=STEP1,"유지·소폭 향상","하락"))))))</f>
        <v/>
      </c>
      <c r="K48" s="8"/>
      <c r="L48" s="8"/>
      <c r="M48" s="8"/>
      <c r="N48" s="8"/>
      <c r="P48" s="0" t="str">
        <f aca="false">IF(TRIM(K48&amp;"")="","",UPPER(TRIM(K48&amp;"")))</f>
        <v/>
      </c>
      <c r="Q48" s="0" t="str">
        <f aca="false">IF(P48="","",IF(ISNUMBER(N48),ROUND(N48,1),IF(AND(ISNUMBER(L48),ISNUMBER(M48)),IF(M48&gt;0,ROUND(L48/M48*100,1),""),"")))</f>
        <v/>
      </c>
      <c r="R48" s="0" t="str">
        <f aca="false">IF(P48="","",IF(COUNTIF(참가자!$A$3:$A$52,P48)=0,"명단에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IF(A49="","",IFERROR(INDEX($Q$3:$Q$102,MATCH(A49,$P$3:$P$102,0)),""))</f>
        <v/>
      </c>
      <c r="D49" s="7" t="str">
        <f aca="false">IF(A49="","",IF(C49="","결석","응시"))</f>
        <v/>
      </c>
      <c r="E49" s="7" t="str">
        <f aca="false">IF(A49="","",IF(COUNTIF($P$3:$P$102,A49)&gt;1,"중복! 확인",""))</f>
        <v/>
      </c>
      <c r="F49" s="7" t="str">
        <f aca="false">IF(A49="","",평가A!F49)</f>
        <v/>
      </c>
      <c r="G49" s="7" t="str">
        <f aca="false">IF(A49="","",IF(OR(C49="",F49=""),"",ROUND(C49-F49,1)))</f>
        <v/>
      </c>
      <c r="H49" s="7" t="str">
        <f aca="false">IF(A49="","",IF(C49="","",IF(C49&gt;=HIGH_CUT,PTS_HIGH,IF(F49="","",IF(G49&gt;=STEP2,PTS_HIGH,IF(G49&gt;=STEP1,PTS_MID,PTS_LOW))))))</f>
        <v/>
      </c>
      <c r="I49" s="7" t="str">
        <f aca="false">IF(A49="","",IF(C49="","결석 - 평균에서 제외",IF(C49&gt;=HIGH_CUT,"고득점 유지",IF(F49="","기준점수 없음 - 평균에서 제외",IF(G49&gt;=STEP2,"크게 향상",IF(G49&gt;=STEP1,"유지·소폭 향상","하락"))))))</f>
        <v/>
      </c>
      <c r="K49" s="8"/>
      <c r="L49" s="8"/>
      <c r="M49" s="8"/>
      <c r="N49" s="8"/>
      <c r="P49" s="0" t="str">
        <f aca="false">IF(TRIM(K49&amp;"")="","",UPPER(TRIM(K49&amp;"")))</f>
        <v/>
      </c>
      <c r="Q49" s="0" t="str">
        <f aca="false">IF(P49="","",IF(ISNUMBER(N49),ROUND(N49,1),IF(AND(ISNUMBER(L49),ISNUMBER(M49)),IF(M49&gt;0,ROUND(L49/M49*100,1),""),"")))</f>
        <v/>
      </c>
      <c r="R49" s="0" t="str">
        <f aca="false">IF(P49="","",IF(COUNTIF(참가자!$A$3:$A$52,P49)=0,"명단에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IF(A50="","",IFERROR(INDEX($Q$3:$Q$102,MATCH(A50,$P$3:$P$102,0)),""))</f>
        <v/>
      </c>
      <c r="D50" s="7" t="str">
        <f aca="false">IF(A50="","",IF(C50="","결석","응시"))</f>
        <v/>
      </c>
      <c r="E50" s="7" t="str">
        <f aca="false">IF(A50="","",IF(COUNTIF($P$3:$P$102,A50)&gt;1,"중복! 확인",""))</f>
        <v/>
      </c>
      <c r="F50" s="7" t="str">
        <f aca="false">IF(A50="","",평가A!F50)</f>
        <v/>
      </c>
      <c r="G50" s="7" t="str">
        <f aca="false">IF(A50="","",IF(OR(C50="",F50=""),"",ROUND(C50-F50,1)))</f>
        <v/>
      </c>
      <c r="H50" s="7" t="str">
        <f aca="false">IF(A50="","",IF(C50="","",IF(C50&gt;=HIGH_CUT,PTS_HIGH,IF(F50="","",IF(G50&gt;=STEP2,PTS_HIGH,IF(G50&gt;=STEP1,PTS_MID,PTS_LOW))))))</f>
        <v/>
      </c>
      <c r="I50" s="7" t="str">
        <f aca="false">IF(A50="","",IF(C50="","결석 - 평균에서 제외",IF(C50&gt;=HIGH_CUT,"고득점 유지",IF(F50="","기준점수 없음 - 평균에서 제외",IF(G50&gt;=STEP2,"크게 향상",IF(G50&gt;=STEP1,"유지·소폭 향상","하락"))))))</f>
        <v/>
      </c>
      <c r="K50" s="8"/>
      <c r="L50" s="8"/>
      <c r="M50" s="8"/>
      <c r="N50" s="8"/>
      <c r="P50" s="0" t="str">
        <f aca="false">IF(TRIM(K50&amp;"")="","",UPPER(TRIM(K50&amp;"")))</f>
        <v/>
      </c>
      <c r="Q50" s="0" t="str">
        <f aca="false">IF(P50="","",IF(ISNUMBER(N50),ROUND(N50,1),IF(AND(ISNUMBER(L50),ISNUMBER(M50)),IF(M50&gt;0,ROUND(L50/M50*100,1),""),"")))</f>
        <v/>
      </c>
      <c r="R50" s="0" t="str">
        <f aca="false">IF(P50="","",IF(COUNTIF(참가자!$A$3:$A$52,P50)=0,"명단에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IF(A51="","",IFERROR(INDEX($Q$3:$Q$102,MATCH(A51,$P$3:$P$102,0)),""))</f>
        <v/>
      </c>
      <c r="D51" s="7" t="str">
        <f aca="false">IF(A51="","",IF(C51="","결석","응시"))</f>
        <v/>
      </c>
      <c r="E51" s="7" t="str">
        <f aca="false">IF(A51="","",IF(COUNTIF($P$3:$P$102,A51)&gt;1,"중복! 확인",""))</f>
        <v/>
      </c>
      <c r="F51" s="7" t="str">
        <f aca="false">IF(A51="","",평가A!F51)</f>
        <v/>
      </c>
      <c r="G51" s="7" t="str">
        <f aca="false">IF(A51="","",IF(OR(C51="",F51=""),"",ROUND(C51-F51,1)))</f>
        <v/>
      </c>
      <c r="H51" s="7" t="str">
        <f aca="false">IF(A51="","",IF(C51="","",IF(C51&gt;=HIGH_CUT,PTS_HIGH,IF(F51="","",IF(G51&gt;=STEP2,PTS_HIGH,IF(G51&gt;=STEP1,PTS_MID,PTS_LOW))))))</f>
        <v/>
      </c>
      <c r="I51" s="7" t="str">
        <f aca="false">IF(A51="","",IF(C51="","결석 - 평균에서 제외",IF(C51&gt;=HIGH_CUT,"고득점 유지",IF(F51="","기준점수 없음 - 평균에서 제외",IF(G51&gt;=STEP2,"크게 향상",IF(G51&gt;=STEP1,"유지·소폭 향상","하락"))))))</f>
        <v/>
      </c>
      <c r="K51" s="8"/>
      <c r="L51" s="8"/>
      <c r="M51" s="8"/>
      <c r="N51" s="8"/>
      <c r="P51" s="0" t="str">
        <f aca="false">IF(TRIM(K51&amp;"")="","",UPPER(TRIM(K51&amp;"")))</f>
        <v/>
      </c>
      <c r="Q51" s="0" t="str">
        <f aca="false">IF(P51="","",IF(ISNUMBER(N51),ROUND(N51,1),IF(AND(ISNUMBER(L51),ISNUMBER(M51)),IF(M51&gt;0,ROUND(L51/M51*100,1),""),"")))</f>
        <v/>
      </c>
      <c r="R51" s="0" t="str">
        <f aca="false">IF(P51="","",IF(COUNTIF(참가자!$A$3:$A$52,P51)=0,"명단에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IF(A52="","",IFERROR(INDEX($Q$3:$Q$102,MATCH(A52,$P$3:$P$102,0)),""))</f>
        <v/>
      </c>
      <c r="D52" s="7" t="str">
        <f aca="false">IF(A52="","",IF(C52="","결석","응시"))</f>
        <v/>
      </c>
      <c r="E52" s="7" t="str">
        <f aca="false">IF(A52="","",IF(COUNTIF($P$3:$P$102,A52)&gt;1,"중복! 확인",""))</f>
        <v/>
      </c>
      <c r="F52" s="7" t="str">
        <f aca="false">IF(A52="","",평가A!F52)</f>
        <v/>
      </c>
      <c r="G52" s="7" t="str">
        <f aca="false">IF(A52="","",IF(OR(C52="",F52=""),"",ROUND(C52-F52,1)))</f>
        <v/>
      </c>
      <c r="H52" s="7" t="str">
        <f aca="false">IF(A52="","",IF(C52="","",IF(C52&gt;=HIGH_CUT,PTS_HIGH,IF(F52="","",IF(G52&gt;=STEP2,PTS_HIGH,IF(G52&gt;=STEP1,PTS_MID,PTS_LOW))))))</f>
        <v/>
      </c>
      <c r="I52" s="7" t="str">
        <f aca="false">IF(A52="","",IF(C52="","결석 - 평균에서 제외",IF(C52&gt;=HIGH_CUT,"고득점 유지",IF(F52="","기준점수 없음 - 평균에서 제외",IF(G52&gt;=STEP2,"크게 향상",IF(G52&gt;=STEP1,"유지·소폭 향상","하락"))))))</f>
        <v/>
      </c>
      <c r="K52" s="8"/>
      <c r="L52" s="8"/>
      <c r="M52" s="8"/>
      <c r="N52" s="8"/>
      <c r="P52" s="0" t="str">
        <f aca="false">IF(TRIM(K52&amp;"")="","",UPPER(TRIM(K52&amp;"")))</f>
        <v/>
      </c>
      <c r="Q52" s="0" t="str">
        <f aca="false">IF(P52="","",IF(ISNUMBER(N52),ROUND(N52,1),IF(AND(ISNUMBER(L52),ISNUMBER(M52)),IF(M52&gt;0,ROUND(L52/M52*100,1),""),"")))</f>
        <v/>
      </c>
      <c r="R52" s="0" t="str">
        <f aca="false">IF(P52="","",IF(COUNTIF(참가자!$A$3:$A$52,P52)=0,"명단에 없는 코드",""))</f>
        <v/>
      </c>
    </row>
    <row r="53" customFormat="false" ht="15" hidden="false" customHeight="false" outlineLevel="0" collapsed="false">
      <c r="K53" s="8"/>
      <c r="L53" s="8"/>
      <c r="M53" s="8"/>
      <c r="N53" s="8"/>
      <c r="P53" s="0" t="str">
        <f aca="false">IF(TRIM(K53&amp;"")="","",UPPER(TRIM(K53&amp;"")))</f>
        <v/>
      </c>
      <c r="Q53" s="0" t="str">
        <f aca="false">IF(P53="","",IF(ISNUMBER(N53),ROUND(N53,1),IF(AND(ISNUMBER(L53),ISNUMBER(M53)),IF(M53&gt;0,ROUND(L53/M53*100,1),""),"")))</f>
        <v/>
      </c>
      <c r="R53" s="0" t="str">
        <f aca="false">IF(P53="","",IF(COUNTIF(참가자!$A$3:$A$52,P53)=0,"명단에 없는 코드",""))</f>
        <v/>
      </c>
    </row>
    <row r="54" customFormat="false" ht="15" hidden="false" customHeight="false" outlineLevel="0" collapsed="false">
      <c r="K54" s="8"/>
      <c r="L54" s="8"/>
      <c r="M54" s="8"/>
      <c r="N54" s="8"/>
      <c r="P54" s="0" t="str">
        <f aca="false">IF(TRIM(K54&amp;"")="","",UPPER(TRIM(K54&amp;"")))</f>
        <v/>
      </c>
      <c r="Q54" s="0" t="str">
        <f aca="false">IF(P54="","",IF(ISNUMBER(N54),ROUND(N54,1),IF(AND(ISNUMBER(L54),ISNUMBER(M54)),IF(M54&gt;0,ROUND(L54/M54*100,1),""),"")))</f>
        <v/>
      </c>
      <c r="R54" s="0" t="str">
        <f aca="false">IF(P54="","",IF(COUNTIF(참가자!$A$3:$A$52,P54)=0,"명단에 없는 코드",""))</f>
        <v/>
      </c>
    </row>
    <row r="55" customFormat="false" ht="15" hidden="false" customHeight="false" outlineLevel="0" collapsed="false">
      <c r="K55" s="8"/>
      <c r="L55" s="8"/>
      <c r="M55" s="8"/>
      <c r="N55" s="8"/>
      <c r="P55" s="0" t="str">
        <f aca="false">IF(TRIM(K55&amp;"")="","",UPPER(TRIM(K55&amp;"")))</f>
        <v/>
      </c>
      <c r="Q55" s="0" t="str">
        <f aca="false">IF(P55="","",IF(ISNUMBER(N55),ROUND(N55,1),IF(AND(ISNUMBER(L55),ISNUMBER(M55)),IF(M55&gt;0,ROUND(L55/M55*100,1),""),"")))</f>
        <v/>
      </c>
      <c r="R55" s="0" t="str">
        <f aca="false">IF(P55="","",IF(COUNTIF(참가자!$A$3:$A$52,P55)=0,"명단에 없는 코드",""))</f>
        <v/>
      </c>
    </row>
    <row r="56" customFormat="false" ht="15" hidden="false" customHeight="false" outlineLevel="0" collapsed="false">
      <c r="K56" s="8"/>
      <c r="L56" s="8"/>
      <c r="M56" s="8"/>
      <c r="N56" s="8"/>
      <c r="P56" s="0" t="str">
        <f aca="false">IF(TRIM(K56&amp;"")="","",UPPER(TRIM(K56&amp;"")))</f>
        <v/>
      </c>
      <c r="Q56" s="0" t="str">
        <f aca="false">IF(P56="","",IF(ISNUMBER(N56),ROUND(N56,1),IF(AND(ISNUMBER(L56),ISNUMBER(M56)),IF(M56&gt;0,ROUND(L56/M56*100,1),""),"")))</f>
        <v/>
      </c>
      <c r="R56" s="0" t="str">
        <f aca="false">IF(P56="","",IF(COUNTIF(참가자!$A$3:$A$52,P56)=0,"명단에 없는 코드",""))</f>
        <v/>
      </c>
    </row>
    <row r="57" customFormat="false" ht="15" hidden="false" customHeight="false" outlineLevel="0" collapsed="false">
      <c r="K57" s="8"/>
      <c r="L57" s="8"/>
      <c r="M57" s="8"/>
      <c r="N57" s="8"/>
      <c r="P57" s="0" t="str">
        <f aca="false">IF(TRIM(K57&amp;"")="","",UPPER(TRIM(K57&amp;"")))</f>
        <v/>
      </c>
      <c r="Q57" s="0" t="str">
        <f aca="false">IF(P57="","",IF(ISNUMBER(N57),ROUND(N57,1),IF(AND(ISNUMBER(L57),ISNUMBER(M57)),IF(M57&gt;0,ROUND(L57/M57*100,1),""),"")))</f>
        <v/>
      </c>
      <c r="R57" s="0" t="str">
        <f aca="false">IF(P57="","",IF(COUNTIF(참가자!$A$3:$A$52,P57)=0,"명단에 없는 코드",""))</f>
        <v/>
      </c>
    </row>
    <row r="58" customFormat="false" ht="15" hidden="false" customHeight="false" outlineLevel="0" collapsed="false">
      <c r="K58" s="8"/>
      <c r="L58" s="8"/>
      <c r="M58" s="8"/>
      <c r="N58" s="8"/>
      <c r="P58" s="0" t="str">
        <f aca="false">IF(TRIM(K58&amp;"")="","",UPPER(TRIM(K58&amp;"")))</f>
        <v/>
      </c>
      <c r="Q58" s="0" t="str">
        <f aca="false">IF(P58="","",IF(ISNUMBER(N58),ROUND(N58,1),IF(AND(ISNUMBER(L58),ISNUMBER(M58)),IF(M58&gt;0,ROUND(L58/M58*100,1),""),"")))</f>
        <v/>
      </c>
      <c r="R58" s="0" t="str">
        <f aca="false">IF(P58="","",IF(COUNTIF(참가자!$A$3:$A$52,P58)=0,"명단에 없는 코드",""))</f>
        <v/>
      </c>
    </row>
    <row r="59" customFormat="false" ht="15" hidden="false" customHeight="false" outlineLevel="0" collapsed="false">
      <c r="K59" s="8"/>
      <c r="L59" s="8"/>
      <c r="M59" s="8"/>
      <c r="N59" s="8"/>
      <c r="P59" s="0" t="str">
        <f aca="false">IF(TRIM(K59&amp;"")="","",UPPER(TRIM(K59&amp;"")))</f>
        <v/>
      </c>
      <c r="Q59" s="0" t="str">
        <f aca="false">IF(P59="","",IF(ISNUMBER(N59),ROUND(N59,1),IF(AND(ISNUMBER(L59),ISNUMBER(M59)),IF(M59&gt;0,ROUND(L59/M59*100,1),""),"")))</f>
        <v/>
      </c>
      <c r="R59" s="0" t="str">
        <f aca="false">IF(P59="","",IF(COUNTIF(참가자!$A$3:$A$52,P59)=0,"명단에 없는 코드",""))</f>
        <v/>
      </c>
    </row>
    <row r="60" customFormat="false" ht="15" hidden="false" customHeight="false" outlineLevel="0" collapsed="false">
      <c r="K60" s="8"/>
      <c r="L60" s="8"/>
      <c r="M60" s="8"/>
      <c r="N60" s="8"/>
      <c r="P60" s="0" t="str">
        <f aca="false">IF(TRIM(K60&amp;"")="","",UPPER(TRIM(K60&amp;"")))</f>
        <v/>
      </c>
      <c r="Q60" s="0" t="str">
        <f aca="false">IF(P60="","",IF(ISNUMBER(N60),ROUND(N60,1),IF(AND(ISNUMBER(L60),ISNUMBER(M60)),IF(M60&gt;0,ROUND(L60/M60*100,1),""),"")))</f>
        <v/>
      </c>
      <c r="R60" s="0" t="str">
        <f aca="false">IF(P60="","",IF(COUNTIF(참가자!$A$3:$A$52,P60)=0,"명단에 없는 코드",""))</f>
        <v/>
      </c>
    </row>
    <row r="61" customFormat="false" ht="15" hidden="false" customHeight="false" outlineLevel="0" collapsed="false">
      <c r="K61" s="8"/>
      <c r="L61" s="8"/>
      <c r="M61" s="8"/>
      <c r="N61" s="8"/>
      <c r="P61" s="0" t="str">
        <f aca="false">IF(TRIM(K61&amp;"")="","",UPPER(TRIM(K61&amp;"")))</f>
        <v/>
      </c>
      <c r="Q61" s="0" t="str">
        <f aca="false">IF(P61="","",IF(ISNUMBER(N61),ROUND(N61,1),IF(AND(ISNUMBER(L61),ISNUMBER(M61)),IF(M61&gt;0,ROUND(L61/M61*100,1),""),"")))</f>
        <v/>
      </c>
      <c r="R61" s="0" t="str">
        <f aca="false">IF(P61="","",IF(COUNTIF(참가자!$A$3:$A$52,P61)=0,"명단에 없는 코드",""))</f>
        <v/>
      </c>
    </row>
    <row r="62" customFormat="false" ht="15" hidden="false" customHeight="false" outlineLevel="0" collapsed="false">
      <c r="K62" s="8"/>
      <c r="L62" s="8"/>
      <c r="M62" s="8"/>
      <c r="N62" s="8"/>
      <c r="P62" s="0" t="str">
        <f aca="false">IF(TRIM(K62&amp;"")="","",UPPER(TRIM(K62&amp;"")))</f>
        <v/>
      </c>
      <c r="Q62" s="0" t="str">
        <f aca="false">IF(P62="","",IF(ISNUMBER(N62),ROUND(N62,1),IF(AND(ISNUMBER(L62),ISNUMBER(M62)),IF(M62&gt;0,ROUND(L62/M62*100,1),""),"")))</f>
        <v/>
      </c>
      <c r="R62" s="0" t="str">
        <f aca="false">IF(P62="","",IF(COUNTIF(참가자!$A$3:$A$52,P62)=0,"명단에 없는 코드",""))</f>
        <v/>
      </c>
    </row>
    <row r="63" customFormat="false" ht="15" hidden="false" customHeight="false" outlineLevel="0" collapsed="false">
      <c r="K63" s="8"/>
      <c r="L63" s="8"/>
      <c r="M63" s="8"/>
      <c r="N63" s="8"/>
      <c r="P63" s="0" t="str">
        <f aca="false">IF(TRIM(K63&amp;"")="","",UPPER(TRIM(K63&amp;"")))</f>
        <v/>
      </c>
      <c r="Q63" s="0" t="str">
        <f aca="false">IF(P63="","",IF(ISNUMBER(N63),ROUND(N63,1),IF(AND(ISNUMBER(L63),ISNUMBER(M63)),IF(M63&gt;0,ROUND(L63/M63*100,1),""),"")))</f>
        <v/>
      </c>
      <c r="R63" s="0" t="str">
        <f aca="false">IF(P63="","",IF(COUNTIF(참가자!$A$3:$A$52,P63)=0,"명단에 없는 코드",""))</f>
        <v/>
      </c>
    </row>
    <row r="64" customFormat="false" ht="15" hidden="false" customHeight="false" outlineLevel="0" collapsed="false">
      <c r="K64" s="8"/>
      <c r="L64" s="8"/>
      <c r="M64" s="8"/>
      <c r="N64" s="8"/>
      <c r="P64" s="0" t="str">
        <f aca="false">IF(TRIM(K64&amp;"")="","",UPPER(TRIM(K64&amp;"")))</f>
        <v/>
      </c>
      <c r="Q64" s="0" t="str">
        <f aca="false">IF(P64="","",IF(ISNUMBER(N64),ROUND(N64,1),IF(AND(ISNUMBER(L64),ISNUMBER(M64)),IF(M64&gt;0,ROUND(L64/M64*100,1),""),"")))</f>
        <v/>
      </c>
      <c r="R64" s="0" t="str">
        <f aca="false">IF(P64="","",IF(COUNTIF(참가자!$A$3:$A$52,P64)=0,"명단에 없는 코드",""))</f>
        <v/>
      </c>
    </row>
    <row r="65" customFormat="false" ht="15" hidden="false" customHeight="false" outlineLevel="0" collapsed="false">
      <c r="K65" s="8"/>
      <c r="L65" s="8"/>
      <c r="M65" s="8"/>
      <c r="N65" s="8"/>
      <c r="P65" s="0" t="str">
        <f aca="false">IF(TRIM(K65&amp;"")="","",UPPER(TRIM(K65&amp;"")))</f>
        <v/>
      </c>
      <c r="Q65" s="0" t="str">
        <f aca="false">IF(P65="","",IF(ISNUMBER(N65),ROUND(N65,1),IF(AND(ISNUMBER(L65),ISNUMBER(M65)),IF(M65&gt;0,ROUND(L65/M65*100,1),""),"")))</f>
        <v/>
      </c>
      <c r="R65" s="0" t="str">
        <f aca="false">IF(P65="","",IF(COUNTIF(참가자!$A$3:$A$52,P65)=0,"명단에 없는 코드",""))</f>
        <v/>
      </c>
    </row>
    <row r="66" customFormat="false" ht="15" hidden="false" customHeight="false" outlineLevel="0" collapsed="false">
      <c r="K66" s="8"/>
      <c r="L66" s="8"/>
      <c r="M66" s="8"/>
      <c r="N66" s="8"/>
      <c r="P66" s="0" t="str">
        <f aca="false">IF(TRIM(K66&amp;"")="","",UPPER(TRIM(K66&amp;"")))</f>
        <v/>
      </c>
      <c r="Q66" s="0" t="str">
        <f aca="false">IF(P66="","",IF(ISNUMBER(N66),ROUND(N66,1),IF(AND(ISNUMBER(L66),ISNUMBER(M66)),IF(M66&gt;0,ROUND(L66/M66*100,1),""),"")))</f>
        <v/>
      </c>
      <c r="R66" s="0" t="str">
        <f aca="false">IF(P66="","",IF(COUNTIF(참가자!$A$3:$A$52,P66)=0,"명단에 없는 코드",""))</f>
        <v/>
      </c>
    </row>
    <row r="67" customFormat="false" ht="15" hidden="false" customHeight="false" outlineLevel="0" collapsed="false">
      <c r="K67" s="8"/>
      <c r="L67" s="8"/>
      <c r="M67" s="8"/>
      <c r="N67" s="8"/>
      <c r="P67" s="0" t="str">
        <f aca="false">IF(TRIM(K67&amp;"")="","",UPPER(TRIM(K67&amp;"")))</f>
        <v/>
      </c>
      <c r="Q67" s="0" t="str">
        <f aca="false">IF(P67="","",IF(ISNUMBER(N67),ROUND(N67,1),IF(AND(ISNUMBER(L67),ISNUMBER(M67)),IF(M67&gt;0,ROUND(L67/M67*100,1),""),"")))</f>
        <v/>
      </c>
      <c r="R67" s="0" t="str">
        <f aca="false">IF(P67="","",IF(COUNTIF(참가자!$A$3:$A$52,P67)=0,"명단에 없는 코드",""))</f>
        <v/>
      </c>
    </row>
    <row r="68" customFormat="false" ht="15" hidden="false" customHeight="false" outlineLevel="0" collapsed="false">
      <c r="K68" s="8"/>
      <c r="L68" s="8"/>
      <c r="M68" s="8"/>
      <c r="N68" s="8"/>
      <c r="P68" s="0" t="str">
        <f aca="false">IF(TRIM(K68&amp;"")="","",UPPER(TRIM(K68&amp;"")))</f>
        <v/>
      </c>
      <c r="Q68" s="0" t="str">
        <f aca="false">IF(P68="","",IF(ISNUMBER(N68),ROUND(N68,1),IF(AND(ISNUMBER(L68),ISNUMBER(M68)),IF(M68&gt;0,ROUND(L68/M68*100,1),""),"")))</f>
        <v/>
      </c>
      <c r="R68" s="0" t="str">
        <f aca="false">IF(P68="","",IF(COUNTIF(참가자!$A$3:$A$52,P68)=0,"명단에 없는 코드",""))</f>
        <v/>
      </c>
    </row>
    <row r="69" customFormat="false" ht="15" hidden="false" customHeight="false" outlineLevel="0" collapsed="false">
      <c r="K69" s="8"/>
      <c r="L69" s="8"/>
      <c r="M69" s="8"/>
      <c r="N69" s="8"/>
      <c r="P69" s="0" t="str">
        <f aca="false">IF(TRIM(K69&amp;"")="","",UPPER(TRIM(K69&amp;"")))</f>
        <v/>
      </c>
      <c r="Q69" s="0" t="str">
        <f aca="false">IF(P69="","",IF(ISNUMBER(N69),ROUND(N69,1),IF(AND(ISNUMBER(L69),ISNUMBER(M69)),IF(M69&gt;0,ROUND(L69/M69*100,1),""),"")))</f>
        <v/>
      </c>
      <c r="R69" s="0" t="str">
        <f aca="false">IF(P69="","",IF(COUNTIF(참가자!$A$3:$A$52,P69)=0,"명단에 없는 코드",""))</f>
        <v/>
      </c>
    </row>
    <row r="70" customFormat="false" ht="15" hidden="false" customHeight="false" outlineLevel="0" collapsed="false">
      <c r="K70" s="8"/>
      <c r="L70" s="8"/>
      <c r="M70" s="8"/>
      <c r="N70" s="8"/>
      <c r="P70" s="0" t="str">
        <f aca="false">IF(TRIM(K70&amp;"")="","",UPPER(TRIM(K70&amp;"")))</f>
        <v/>
      </c>
      <c r="Q70" s="0" t="str">
        <f aca="false">IF(P70="","",IF(ISNUMBER(N70),ROUND(N70,1),IF(AND(ISNUMBER(L70),ISNUMBER(M70)),IF(M70&gt;0,ROUND(L70/M70*100,1),""),"")))</f>
        <v/>
      </c>
      <c r="R70" s="0" t="str">
        <f aca="false">IF(P70="","",IF(COUNTIF(참가자!$A$3:$A$52,P70)=0,"명단에 없는 코드",""))</f>
        <v/>
      </c>
    </row>
    <row r="71" customFormat="false" ht="15" hidden="false" customHeight="false" outlineLevel="0" collapsed="false">
      <c r="K71" s="8"/>
      <c r="L71" s="8"/>
      <c r="M71" s="8"/>
      <c r="N71" s="8"/>
      <c r="P71" s="0" t="str">
        <f aca="false">IF(TRIM(K71&amp;"")="","",UPPER(TRIM(K71&amp;"")))</f>
        <v/>
      </c>
      <c r="Q71" s="0" t="str">
        <f aca="false">IF(P71="","",IF(ISNUMBER(N71),ROUND(N71,1),IF(AND(ISNUMBER(L71),ISNUMBER(M71)),IF(M71&gt;0,ROUND(L71/M71*100,1),""),"")))</f>
        <v/>
      </c>
      <c r="R71" s="0" t="str">
        <f aca="false">IF(P71="","",IF(COUNTIF(참가자!$A$3:$A$52,P71)=0,"명단에 없는 코드",""))</f>
        <v/>
      </c>
    </row>
    <row r="72" customFormat="false" ht="15" hidden="false" customHeight="false" outlineLevel="0" collapsed="false">
      <c r="K72" s="8"/>
      <c r="L72" s="8"/>
      <c r="M72" s="8"/>
      <c r="N72" s="8"/>
      <c r="P72" s="0" t="str">
        <f aca="false">IF(TRIM(K72&amp;"")="","",UPPER(TRIM(K72&amp;"")))</f>
        <v/>
      </c>
      <c r="Q72" s="0" t="str">
        <f aca="false">IF(P72="","",IF(ISNUMBER(N72),ROUND(N72,1),IF(AND(ISNUMBER(L72),ISNUMBER(M72)),IF(M72&gt;0,ROUND(L72/M72*100,1),""),"")))</f>
        <v/>
      </c>
      <c r="R72" s="0" t="str">
        <f aca="false">IF(P72="","",IF(COUNTIF(참가자!$A$3:$A$52,P72)=0,"명단에 없는 코드",""))</f>
        <v/>
      </c>
    </row>
    <row r="73" customFormat="false" ht="15" hidden="false" customHeight="false" outlineLevel="0" collapsed="false">
      <c r="K73" s="8"/>
      <c r="L73" s="8"/>
      <c r="M73" s="8"/>
      <c r="N73" s="8"/>
      <c r="P73" s="0" t="str">
        <f aca="false">IF(TRIM(K73&amp;"")="","",UPPER(TRIM(K73&amp;"")))</f>
        <v/>
      </c>
      <c r="Q73" s="0" t="str">
        <f aca="false">IF(P73="","",IF(ISNUMBER(N73),ROUND(N73,1),IF(AND(ISNUMBER(L73),ISNUMBER(M73)),IF(M73&gt;0,ROUND(L73/M73*100,1),""),"")))</f>
        <v/>
      </c>
      <c r="R73" s="0" t="str">
        <f aca="false">IF(P73="","",IF(COUNTIF(참가자!$A$3:$A$52,P73)=0,"명단에 없는 코드",""))</f>
        <v/>
      </c>
    </row>
    <row r="74" customFormat="false" ht="15" hidden="false" customHeight="false" outlineLevel="0" collapsed="false">
      <c r="K74" s="8"/>
      <c r="L74" s="8"/>
      <c r="M74" s="8"/>
      <c r="N74" s="8"/>
      <c r="P74" s="0" t="str">
        <f aca="false">IF(TRIM(K74&amp;"")="","",UPPER(TRIM(K74&amp;"")))</f>
        <v/>
      </c>
      <c r="Q74" s="0" t="str">
        <f aca="false">IF(P74="","",IF(ISNUMBER(N74),ROUND(N74,1),IF(AND(ISNUMBER(L74),ISNUMBER(M74)),IF(M74&gt;0,ROUND(L74/M74*100,1),""),"")))</f>
        <v/>
      </c>
      <c r="R74" s="0" t="str">
        <f aca="false">IF(P74="","",IF(COUNTIF(참가자!$A$3:$A$52,P74)=0,"명단에 없는 코드",""))</f>
        <v/>
      </c>
    </row>
    <row r="75" customFormat="false" ht="15" hidden="false" customHeight="false" outlineLevel="0" collapsed="false">
      <c r="K75" s="8"/>
      <c r="L75" s="8"/>
      <c r="M75" s="8"/>
      <c r="N75" s="8"/>
      <c r="P75" s="0" t="str">
        <f aca="false">IF(TRIM(K75&amp;"")="","",UPPER(TRIM(K75&amp;"")))</f>
        <v/>
      </c>
      <c r="Q75" s="0" t="str">
        <f aca="false">IF(P75="","",IF(ISNUMBER(N75),ROUND(N75,1),IF(AND(ISNUMBER(L75),ISNUMBER(M75)),IF(M75&gt;0,ROUND(L75/M75*100,1),""),"")))</f>
        <v/>
      </c>
      <c r="R75" s="0" t="str">
        <f aca="false">IF(P75="","",IF(COUNTIF(참가자!$A$3:$A$52,P75)=0,"명단에 없는 코드",""))</f>
        <v/>
      </c>
    </row>
    <row r="76" customFormat="false" ht="15" hidden="false" customHeight="false" outlineLevel="0" collapsed="false">
      <c r="K76" s="8"/>
      <c r="L76" s="8"/>
      <c r="M76" s="8"/>
      <c r="N76" s="8"/>
      <c r="P76" s="0" t="str">
        <f aca="false">IF(TRIM(K76&amp;"")="","",UPPER(TRIM(K76&amp;"")))</f>
        <v/>
      </c>
      <c r="Q76" s="0" t="str">
        <f aca="false">IF(P76="","",IF(ISNUMBER(N76),ROUND(N76,1),IF(AND(ISNUMBER(L76),ISNUMBER(M76)),IF(M76&gt;0,ROUND(L76/M76*100,1),""),"")))</f>
        <v/>
      </c>
      <c r="R76" s="0" t="str">
        <f aca="false">IF(P76="","",IF(COUNTIF(참가자!$A$3:$A$52,P76)=0,"명단에 없는 코드",""))</f>
        <v/>
      </c>
    </row>
    <row r="77" customFormat="false" ht="15" hidden="false" customHeight="false" outlineLevel="0" collapsed="false">
      <c r="K77" s="8"/>
      <c r="L77" s="8"/>
      <c r="M77" s="8"/>
      <c r="N77" s="8"/>
      <c r="P77" s="0" t="str">
        <f aca="false">IF(TRIM(K77&amp;"")="","",UPPER(TRIM(K77&amp;"")))</f>
        <v/>
      </c>
      <c r="Q77" s="0" t="str">
        <f aca="false">IF(P77="","",IF(ISNUMBER(N77),ROUND(N77,1),IF(AND(ISNUMBER(L77),ISNUMBER(M77)),IF(M77&gt;0,ROUND(L77/M77*100,1),""),"")))</f>
        <v/>
      </c>
      <c r="R77" s="0" t="str">
        <f aca="false">IF(P77="","",IF(COUNTIF(참가자!$A$3:$A$52,P77)=0,"명단에 없는 코드",""))</f>
        <v/>
      </c>
    </row>
    <row r="78" customFormat="false" ht="15" hidden="false" customHeight="false" outlineLevel="0" collapsed="false">
      <c r="K78" s="8"/>
      <c r="L78" s="8"/>
      <c r="M78" s="8"/>
      <c r="N78" s="8"/>
      <c r="P78" s="0" t="str">
        <f aca="false">IF(TRIM(K78&amp;"")="","",UPPER(TRIM(K78&amp;"")))</f>
        <v/>
      </c>
      <c r="Q78" s="0" t="str">
        <f aca="false">IF(P78="","",IF(ISNUMBER(N78),ROUND(N78,1),IF(AND(ISNUMBER(L78),ISNUMBER(M78)),IF(M78&gt;0,ROUND(L78/M78*100,1),""),"")))</f>
        <v/>
      </c>
      <c r="R78" s="0" t="str">
        <f aca="false">IF(P78="","",IF(COUNTIF(참가자!$A$3:$A$52,P78)=0,"명단에 없는 코드",""))</f>
        <v/>
      </c>
    </row>
    <row r="79" customFormat="false" ht="15" hidden="false" customHeight="false" outlineLevel="0" collapsed="false">
      <c r="K79" s="8"/>
      <c r="L79" s="8"/>
      <c r="M79" s="8"/>
      <c r="N79" s="8"/>
      <c r="P79" s="0" t="str">
        <f aca="false">IF(TRIM(K79&amp;"")="","",UPPER(TRIM(K79&amp;"")))</f>
        <v/>
      </c>
      <c r="Q79" s="0" t="str">
        <f aca="false">IF(P79="","",IF(ISNUMBER(N79),ROUND(N79,1),IF(AND(ISNUMBER(L79),ISNUMBER(M79)),IF(M79&gt;0,ROUND(L79/M79*100,1),""),"")))</f>
        <v/>
      </c>
      <c r="R79" s="0" t="str">
        <f aca="false">IF(P79="","",IF(COUNTIF(참가자!$A$3:$A$52,P79)=0,"명단에 없는 코드",""))</f>
        <v/>
      </c>
    </row>
    <row r="80" customFormat="false" ht="15" hidden="false" customHeight="false" outlineLevel="0" collapsed="false">
      <c r="K80" s="8"/>
      <c r="L80" s="8"/>
      <c r="M80" s="8"/>
      <c r="N80" s="8"/>
      <c r="P80" s="0" t="str">
        <f aca="false">IF(TRIM(K80&amp;"")="","",UPPER(TRIM(K80&amp;"")))</f>
        <v/>
      </c>
      <c r="Q80" s="0" t="str">
        <f aca="false">IF(P80="","",IF(ISNUMBER(N80),ROUND(N80,1),IF(AND(ISNUMBER(L80),ISNUMBER(M80)),IF(M80&gt;0,ROUND(L80/M80*100,1),""),"")))</f>
        <v/>
      </c>
      <c r="R80" s="0" t="str">
        <f aca="false">IF(P80="","",IF(COUNTIF(참가자!$A$3:$A$52,P80)=0,"명단에 없는 코드",""))</f>
        <v/>
      </c>
    </row>
    <row r="81" customFormat="false" ht="15" hidden="false" customHeight="false" outlineLevel="0" collapsed="false">
      <c r="K81" s="8"/>
      <c r="L81" s="8"/>
      <c r="M81" s="8"/>
      <c r="N81" s="8"/>
      <c r="P81" s="0" t="str">
        <f aca="false">IF(TRIM(K81&amp;"")="","",UPPER(TRIM(K81&amp;"")))</f>
        <v/>
      </c>
      <c r="Q81" s="0" t="str">
        <f aca="false">IF(P81="","",IF(ISNUMBER(N81),ROUND(N81,1),IF(AND(ISNUMBER(L81),ISNUMBER(M81)),IF(M81&gt;0,ROUND(L81/M81*100,1),""),"")))</f>
        <v/>
      </c>
      <c r="R81" s="0" t="str">
        <f aca="false">IF(P81="","",IF(COUNTIF(참가자!$A$3:$A$52,P81)=0,"명단에 없는 코드",""))</f>
        <v/>
      </c>
    </row>
    <row r="82" customFormat="false" ht="15" hidden="false" customHeight="false" outlineLevel="0" collapsed="false">
      <c r="K82" s="8"/>
      <c r="L82" s="8"/>
      <c r="M82" s="8"/>
      <c r="N82" s="8"/>
      <c r="P82" s="0" t="str">
        <f aca="false">IF(TRIM(K82&amp;"")="","",UPPER(TRIM(K82&amp;"")))</f>
        <v/>
      </c>
      <c r="Q82" s="0" t="str">
        <f aca="false">IF(P82="","",IF(ISNUMBER(N82),ROUND(N82,1),IF(AND(ISNUMBER(L82),ISNUMBER(M82)),IF(M82&gt;0,ROUND(L82/M82*100,1),""),"")))</f>
        <v/>
      </c>
      <c r="R82" s="0" t="str">
        <f aca="false">IF(P82="","",IF(COUNTIF(참가자!$A$3:$A$52,P82)=0,"명단에 없는 코드",""))</f>
        <v/>
      </c>
    </row>
    <row r="83" customFormat="false" ht="15" hidden="false" customHeight="false" outlineLevel="0" collapsed="false">
      <c r="K83" s="8"/>
      <c r="L83" s="8"/>
      <c r="M83" s="8"/>
      <c r="N83" s="8"/>
      <c r="P83" s="0" t="str">
        <f aca="false">IF(TRIM(K83&amp;"")="","",UPPER(TRIM(K83&amp;"")))</f>
        <v/>
      </c>
      <c r="Q83" s="0" t="str">
        <f aca="false">IF(P83="","",IF(ISNUMBER(N83),ROUND(N83,1),IF(AND(ISNUMBER(L83),ISNUMBER(M83)),IF(M83&gt;0,ROUND(L83/M83*100,1),""),"")))</f>
        <v/>
      </c>
      <c r="R83" s="0" t="str">
        <f aca="false">IF(P83="","",IF(COUNTIF(참가자!$A$3:$A$52,P83)=0,"명단에 없는 코드",""))</f>
        <v/>
      </c>
    </row>
    <row r="84" customFormat="false" ht="15" hidden="false" customHeight="false" outlineLevel="0" collapsed="false">
      <c r="K84" s="8"/>
      <c r="L84" s="8"/>
      <c r="M84" s="8"/>
      <c r="N84" s="8"/>
      <c r="P84" s="0" t="str">
        <f aca="false">IF(TRIM(K84&amp;"")="","",UPPER(TRIM(K84&amp;"")))</f>
        <v/>
      </c>
      <c r="Q84" s="0" t="str">
        <f aca="false">IF(P84="","",IF(ISNUMBER(N84),ROUND(N84,1),IF(AND(ISNUMBER(L84),ISNUMBER(M84)),IF(M84&gt;0,ROUND(L84/M84*100,1),""),"")))</f>
        <v/>
      </c>
      <c r="R84" s="0" t="str">
        <f aca="false">IF(P84="","",IF(COUNTIF(참가자!$A$3:$A$52,P84)=0,"명단에 없는 코드",""))</f>
        <v/>
      </c>
    </row>
    <row r="85" customFormat="false" ht="15" hidden="false" customHeight="false" outlineLevel="0" collapsed="false">
      <c r="K85" s="8"/>
      <c r="L85" s="8"/>
      <c r="M85" s="8"/>
      <c r="N85" s="8"/>
      <c r="P85" s="0" t="str">
        <f aca="false">IF(TRIM(K85&amp;"")="","",UPPER(TRIM(K85&amp;"")))</f>
        <v/>
      </c>
      <c r="Q85" s="0" t="str">
        <f aca="false">IF(P85="","",IF(ISNUMBER(N85),ROUND(N85,1),IF(AND(ISNUMBER(L85),ISNUMBER(M85)),IF(M85&gt;0,ROUND(L85/M85*100,1),""),"")))</f>
        <v/>
      </c>
      <c r="R85" s="0" t="str">
        <f aca="false">IF(P85="","",IF(COUNTIF(참가자!$A$3:$A$52,P85)=0,"명단에 없는 코드",""))</f>
        <v/>
      </c>
    </row>
    <row r="86" customFormat="false" ht="15" hidden="false" customHeight="false" outlineLevel="0" collapsed="false">
      <c r="K86" s="8"/>
      <c r="L86" s="8"/>
      <c r="M86" s="8"/>
      <c r="N86" s="8"/>
      <c r="P86" s="0" t="str">
        <f aca="false">IF(TRIM(K86&amp;"")="","",UPPER(TRIM(K86&amp;"")))</f>
        <v/>
      </c>
      <c r="Q86" s="0" t="str">
        <f aca="false">IF(P86="","",IF(ISNUMBER(N86),ROUND(N86,1),IF(AND(ISNUMBER(L86),ISNUMBER(M86)),IF(M86&gt;0,ROUND(L86/M86*100,1),""),"")))</f>
        <v/>
      </c>
      <c r="R86" s="0" t="str">
        <f aca="false">IF(P86="","",IF(COUNTIF(참가자!$A$3:$A$52,P86)=0,"명단에 없는 코드",""))</f>
        <v/>
      </c>
    </row>
    <row r="87" customFormat="false" ht="15" hidden="false" customHeight="false" outlineLevel="0" collapsed="false">
      <c r="K87" s="8"/>
      <c r="L87" s="8"/>
      <c r="M87" s="8"/>
      <c r="N87" s="8"/>
      <c r="P87" s="0" t="str">
        <f aca="false">IF(TRIM(K87&amp;"")="","",UPPER(TRIM(K87&amp;"")))</f>
        <v/>
      </c>
      <c r="Q87" s="0" t="str">
        <f aca="false">IF(P87="","",IF(ISNUMBER(N87),ROUND(N87,1),IF(AND(ISNUMBER(L87),ISNUMBER(M87)),IF(M87&gt;0,ROUND(L87/M87*100,1),""),"")))</f>
        <v/>
      </c>
      <c r="R87" s="0" t="str">
        <f aca="false">IF(P87="","",IF(COUNTIF(참가자!$A$3:$A$52,P87)=0,"명단에 없는 코드",""))</f>
        <v/>
      </c>
    </row>
    <row r="88" customFormat="false" ht="15" hidden="false" customHeight="false" outlineLevel="0" collapsed="false">
      <c r="K88" s="8"/>
      <c r="L88" s="8"/>
      <c r="M88" s="8"/>
      <c r="N88" s="8"/>
      <c r="P88" s="0" t="str">
        <f aca="false">IF(TRIM(K88&amp;"")="","",UPPER(TRIM(K88&amp;"")))</f>
        <v/>
      </c>
      <c r="Q88" s="0" t="str">
        <f aca="false">IF(P88="","",IF(ISNUMBER(N88),ROUND(N88,1),IF(AND(ISNUMBER(L88),ISNUMBER(M88)),IF(M88&gt;0,ROUND(L88/M88*100,1),""),"")))</f>
        <v/>
      </c>
      <c r="R88" s="0" t="str">
        <f aca="false">IF(P88="","",IF(COUNTIF(참가자!$A$3:$A$52,P88)=0,"명단에 없는 코드",""))</f>
        <v/>
      </c>
    </row>
    <row r="89" customFormat="false" ht="15" hidden="false" customHeight="false" outlineLevel="0" collapsed="false">
      <c r="K89" s="8"/>
      <c r="L89" s="8"/>
      <c r="M89" s="8"/>
      <c r="N89" s="8"/>
      <c r="P89" s="0" t="str">
        <f aca="false">IF(TRIM(K89&amp;"")="","",UPPER(TRIM(K89&amp;"")))</f>
        <v/>
      </c>
      <c r="Q89" s="0" t="str">
        <f aca="false">IF(P89="","",IF(ISNUMBER(N89),ROUND(N89,1),IF(AND(ISNUMBER(L89),ISNUMBER(M89)),IF(M89&gt;0,ROUND(L89/M89*100,1),""),"")))</f>
        <v/>
      </c>
      <c r="R89" s="0" t="str">
        <f aca="false">IF(P89="","",IF(COUNTIF(참가자!$A$3:$A$52,P89)=0,"명단에 없는 코드",""))</f>
        <v/>
      </c>
    </row>
    <row r="90" customFormat="false" ht="15" hidden="false" customHeight="false" outlineLevel="0" collapsed="false">
      <c r="K90" s="8"/>
      <c r="L90" s="8"/>
      <c r="M90" s="8"/>
      <c r="N90" s="8"/>
      <c r="P90" s="0" t="str">
        <f aca="false">IF(TRIM(K90&amp;"")="","",UPPER(TRIM(K90&amp;"")))</f>
        <v/>
      </c>
      <c r="Q90" s="0" t="str">
        <f aca="false">IF(P90="","",IF(ISNUMBER(N90),ROUND(N90,1),IF(AND(ISNUMBER(L90),ISNUMBER(M90)),IF(M90&gt;0,ROUND(L90/M90*100,1),""),"")))</f>
        <v/>
      </c>
      <c r="R90" s="0" t="str">
        <f aca="false">IF(P90="","",IF(COUNTIF(참가자!$A$3:$A$52,P90)=0,"명단에 없는 코드",""))</f>
        <v/>
      </c>
    </row>
    <row r="91" customFormat="false" ht="15" hidden="false" customHeight="false" outlineLevel="0" collapsed="false">
      <c r="K91" s="8"/>
      <c r="L91" s="8"/>
      <c r="M91" s="8"/>
      <c r="N91" s="8"/>
      <c r="P91" s="0" t="str">
        <f aca="false">IF(TRIM(K91&amp;"")="","",UPPER(TRIM(K91&amp;"")))</f>
        <v/>
      </c>
      <c r="Q91" s="0" t="str">
        <f aca="false">IF(P91="","",IF(ISNUMBER(N91),ROUND(N91,1),IF(AND(ISNUMBER(L91),ISNUMBER(M91)),IF(M91&gt;0,ROUND(L91/M91*100,1),""),"")))</f>
        <v/>
      </c>
      <c r="R91" s="0" t="str">
        <f aca="false">IF(P91="","",IF(COUNTIF(참가자!$A$3:$A$52,P91)=0,"명단에 없는 코드",""))</f>
        <v/>
      </c>
    </row>
    <row r="92" customFormat="false" ht="15" hidden="false" customHeight="false" outlineLevel="0" collapsed="false">
      <c r="K92" s="8"/>
      <c r="L92" s="8"/>
      <c r="M92" s="8"/>
      <c r="N92" s="8"/>
      <c r="P92" s="0" t="str">
        <f aca="false">IF(TRIM(K92&amp;"")="","",UPPER(TRIM(K92&amp;"")))</f>
        <v/>
      </c>
      <c r="Q92" s="0" t="str">
        <f aca="false">IF(P92="","",IF(ISNUMBER(N92),ROUND(N92,1),IF(AND(ISNUMBER(L92),ISNUMBER(M92)),IF(M92&gt;0,ROUND(L92/M92*100,1),""),"")))</f>
        <v/>
      </c>
      <c r="R92" s="0" t="str">
        <f aca="false">IF(P92="","",IF(COUNTIF(참가자!$A$3:$A$52,P92)=0,"명단에 없는 코드",""))</f>
        <v/>
      </c>
    </row>
    <row r="93" customFormat="false" ht="15" hidden="false" customHeight="false" outlineLevel="0" collapsed="false">
      <c r="K93" s="8"/>
      <c r="L93" s="8"/>
      <c r="M93" s="8"/>
      <c r="N93" s="8"/>
      <c r="P93" s="0" t="str">
        <f aca="false">IF(TRIM(K93&amp;"")="","",UPPER(TRIM(K93&amp;"")))</f>
        <v/>
      </c>
      <c r="Q93" s="0" t="str">
        <f aca="false">IF(P93="","",IF(ISNUMBER(N93),ROUND(N93,1),IF(AND(ISNUMBER(L93),ISNUMBER(M93)),IF(M93&gt;0,ROUND(L93/M93*100,1),""),"")))</f>
        <v/>
      </c>
      <c r="R93" s="0" t="str">
        <f aca="false">IF(P93="","",IF(COUNTIF(참가자!$A$3:$A$52,P93)=0,"명단에 없는 코드",""))</f>
        <v/>
      </c>
    </row>
    <row r="94" customFormat="false" ht="15" hidden="false" customHeight="false" outlineLevel="0" collapsed="false">
      <c r="K94" s="8"/>
      <c r="L94" s="8"/>
      <c r="M94" s="8"/>
      <c r="N94" s="8"/>
      <c r="P94" s="0" t="str">
        <f aca="false">IF(TRIM(K94&amp;"")="","",UPPER(TRIM(K94&amp;"")))</f>
        <v/>
      </c>
      <c r="Q94" s="0" t="str">
        <f aca="false">IF(P94="","",IF(ISNUMBER(N94),ROUND(N94,1),IF(AND(ISNUMBER(L94),ISNUMBER(M94)),IF(M94&gt;0,ROUND(L94/M94*100,1),""),"")))</f>
        <v/>
      </c>
      <c r="R94" s="0" t="str">
        <f aca="false">IF(P94="","",IF(COUNTIF(참가자!$A$3:$A$52,P94)=0,"명단에 없는 코드",""))</f>
        <v/>
      </c>
    </row>
    <row r="95" customFormat="false" ht="15" hidden="false" customHeight="false" outlineLevel="0" collapsed="false">
      <c r="K95" s="8"/>
      <c r="L95" s="8"/>
      <c r="M95" s="8"/>
      <c r="N95" s="8"/>
      <c r="P95" s="0" t="str">
        <f aca="false">IF(TRIM(K95&amp;"")="","",UPPER(TRIM(K95&amp;"")))</f>
        <v/>
      </c>
      <c r="Q95" s="0" t="str">
        <f aca="false">IF(P95="","",IF(ISNUMBER(N95),ROUND(N95,1),IF(AND(ISNUMBER(L95),ISNUMBER(M95)),IF(M95&gt;0,ROUND(L95/M95*100,1),""),"")))</f>
        <v/>
      </c>
      <c r="R95" s="0" t="str">
        <f aca="false">IF(P95="","",IF(COUNTIF(참가자!$A$3:$A$52,P95)=0,"명단에 없는 코드",""))</f>
        <v/>
      </c>
    </row>
    <row r="96" customFormat="false" ht="15" hidden="false" customHeight="false" outlineLevel="0" collapsed="false">
      <c r="K96" s="8"/>
      <c r="L96" s="8"/>
      <c r="M96" s="8"/>
      <c r="N96" s="8"/>
      <c r="P96" s="0" t="str">
        <f aca="false">IF(TRIM(K96&amp;"")="","",UPPER(TRIM(K96&amp;"")))</f>
        <v/>
      </c>
      <c r="Q96" s="0" t="str">
        <f aca="false">IF(P96="","",IF(ISNUMBER(N96),ROUND(N96,1),IF(AND(ISNUMBER(L96),ISNUMBER(M96)),IF(M96&gt;0,ROUND(L96/M96*100,1),""),"")))</f>
        <v/>
      </c>
      <c r="R96" s="0" t="str">
        <f aca="false">IF(P96="","",IF(COUNTIF(참가자!$A$3:$A$52,P96)=0,"명단에 없는 코드",""))</f>
        <v/>
      </c>
    </row>
    <row r="97" customFormat="false" ht="15" hidden="false" customHeight="false" outlineLevel="0" collapsed="false">
      <c r="K97" s="8"/>
      <c r="L97" s="8"/>
      <c r="M97" s="8"/>
      <c r="N97" s="8"/>
      <c r="P97" s="0" t="str">
        <f aca="false">IF(TRIM(K97&amp;"")="","",UPPER(TRIM(K97&amp;"")))</f>
        <v/>
      </c>
      <c r="Q97" s="0" t="str">
        <f aca="false">IF(P97="","",IF(ISNUMBER(N97),ROUND(N97,1),IF(AND(ISNUMBER(L97),ISNUMBER(M97)),IF(M97&gt;0,ROUND(L97/M97*100,1),""),"")))</f>
        <v/>
      </c>
      <c r="R97" s="0" t="str">
        <f aca="false">IF(P97="","",IF(COUNTIF(참가자!$A$3:$A$52,P97)=0,"명단에 없는 코드",""))</f>
        <v/>
      </c>
    </row>
    <row r="98" customFormat="false" ht="15" hidden="false" customHeight="false" outlineLevel="0" collapsed="false">
      <c r="K98" s="8"/>
      <c r="L98" s="8"/>
      <c r="M98" s="8"/>
      <c r="N98" s="8"/>
      <c r="P98" s="0" t="str">
        <f aca="false">IF(TRIM(K98&amp;"")="","",UPPER(TRIM(K98&amp;"")))</f>
        <v/>
      </c>
      <c r="Q98" s="0" t="str">
        <f aca="false">IF(P98="","",IF(ISNUMBER(N98),ROUND(N98,1),IF(AND(ISNUMBER(L98),ISNUMBER(M98)),IF(M98&gt;0,ROUND(L98/M98*100,1),""),"")))</f>
        <v/>
      </c>
      <c r="R98" s="0" t="str">
        <f aca="false">IF(P98="","",IF(COUNTIF(참가자!$A$3:$A$52,P98)=0,"명단에 없는 코드",""))</f>
        <v/>
      </c>
    </row>
    <row r="99" customFormat="false" ht="15" hidden="false" customHeight="false" outlineLevel="0" collapsed="false">
      <c r="K99" s="8"/>
      <c r="L99" s="8"/>
      <c r="M99" s="8"/>
      <c r="N99" s="8"/>
      <c r="P99" s="0" t="str">
        <f aca="false">IF(TRIM(K99&amp;"")="","",UPPER(TRIM(K99&amp;"")))</f>
        <v/>
      </c>
      <c r="Q99" s="0" t="str">
        <f aca="false">IF(P99="","",IF(ISNUMBER(N99),ROUND(N99,1),IF(AND(ISNUMBER(L99),ISNUMBER(M99)),IF(M99&gt;0,ROUND(L99/M99*100,1),""),"")))</f>
        <v/>
      </c>
      <c r="R99" s="0" t="str">
        <f aca="false">IF(P99="","",IF(COUNTIF(참가자!$A$3:$A$52,P99)=0,"명단에 없는 코드",""))</f>
        <v/>
      </c>
    </row>
    <row r="100" customFormat="false" ht="15" hidden="false" customHeight="false" outlineLevel="0" collapsed="false">
      <c r="K100" s="8"/>
      <c r="L100" s="8"/>
      <c r="M100" s="8"/>
      <c r="N100" s="8"/>
      <c r="P100" s="0" t="str">
        <f aca="false">IF(TRIM(K100&amp;"")="","",UPPER(TRIM(K100&amp;"")))</f>
        <v/>
      </c>
      <c r="Q100" s="0" t="str">
        <f aca="false">IF(P100="","",IF(ISNUMBER(N100),ROUND(N100,1),IF(AND(ISNUMBER(L100),ISNUMBER(M100)),IF(M100&gt;0,ROUND(L100/M100*100,1),""),"")))</f>
        <v/>
      </c>
      <c r="R100" s="0" t="str">
        <f aca="false">IF(P100="","",IF(COUNTIF(참가자!$A$3:$A$52,P100)=0,"명단에 없는 코드",""))</f>
        <v/>
      </c>
    </row>
    <row r="101" customFormat="false" ht="15" hidden="false" customHeight="false" outlineLevel="0" collapsed="false">
      <c r="K101" s="8"/>
      <c r="L101" s="8"/>
      <c r="M101" s="8"/>
      <c r="N101" s="8"/>
      <c r="P101" s="0" t="str">
        <f aca="false">IF(TRIM(K101&amp;"")="","",UPPER(TRIM(K101&amp;"")))</f>
        <v/>
      </c>
      <c r="Q101" s="0" t="str">
        <f aca="false">IF(P101="","",IF(ISNUMBER(N101),ROUND(N101,1),IF(AND(ISNUMBER(L101),ISNUMBER(M101)),IF(M101&gt;0,ROUND(L101/M101*100,1),""),"")))</f>
        <v/>
      </c>
      <c r="R101" s="0" t="str">
        <f aca="false">IF(P101="","",IF(COUNTIF(참가자!$A$3:$A$52,P101)=0,"명단에 없는 코드",""))</f>
        <v/>
      </c>
    </row>
    <row r="102" customFormat="false" ht="15" hidden="false" customHeight="false" outlineLevel="0" collapsed="false">
      <c r="K102" s="8"/>
      <c r="L102" s="8"/>
      <c r="M102" s="8"/>
      <c r="N102" s="8"/>
      <c r="P102" s="0" t="str">
        <f aca="false">IF(TRIM(K102&amp;"")="","",UPPER(TRIM(K102&amp;"")))</f>
        <v/>
      </c>
      <c r="Q102" s="0" t="str">
        <f aca="false">IF(P102="","",IF(ISNUMBER(N102),ROUND(N102,1),IF(AND(ISNUMBER(L102),ISNUMBER(M102)),IF(M102&gt;0,ROUND(L102/M102*100,1),""),"")))</f>
        <v/>
      </c>
      <c r="R102" s="0" t="str">
        <f aca="false">IF(P102="","",IF(COUNTIF(참가자!$A$3:$A$52,P102)=0,"명단에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7"/>
    <col collapsed="false" customWidth="true" hidden="false" outlineLevel="0" max="7" min="5" style="0" width="11"/>
    <col collapsed="false" customWidth="true" hidden="false" outlineLevel="0" max="8" min="8" style="0" width="9"/>
    <col collapsed="false" customWidth="true" hidden="false" outlineLevel="0" max="9" min="9" style="0" width="24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3"/>
    <col collapsed="false" customWidth="true" hidden="false" outlineLevel="0" max="17" min="16" style="0" width="12"/>
    <col collapsed="false" customWidth="true" hidden="false" outlineLevel="0" max="18" min="18" style="0" width="16"/>
  </cols>
  <sheetData>
    <row r="1" customFormat="false" ht="15" hidden="false" customHeight="false" outlineLevel="0" collapsed="false">
      <c r="A1" s="4" t="s">
        <v>38</v>
      </c>
      <c r="K1" s="1" t="s">
        <v>21</v>
      </c>
    </row>
    <row r="2" customFormat="false" ht="28.35" hidden="false" customHeight="false" outlineLevel="0" collapsed="false">
      <c r="A2" s="5" t="s">
        <v>1</v>
      </c>
      <c r="B2" s="5" t="s">
        <v>2</v>
      </c>
      <c r="C2" s="5" t="s">
        <v>22</v>
      </c>
      <c r="D2" s="5" t="s">
        <v>23</v>
      </c>
      <c r="E2" s="5" t="s">
        <v>24</v>
      </c>
      <c r="F2" s="5" t="s">
        <v>31</v>
      </c>
      <c r="G2" s="5" t="s">
        <v>34</v>
      </c>
      <c r="H2" s="5" t="s">
        <v>35</v>
      </c>
      <c r="I2" s="5" t="s">
        <v>36</v>
      </c>
      <c r="K2" s="6" t="s">
        <v>1</v>
      </c>
      <c r="L2" s="6" t="s">
        <v>25</v>
      </c>
      <c r="M2" s="6" t="s">
        <v>26</v>
      </c>
      <c r="N2" s="6" t="s">
        <v>22</v>
      </c>
      <c r="P2" s="2" t="s">
        <v>27</v>
      </c>
      <c r="Q2" s="2" t="s">
        <v>28</v>
      </c>
      <c r="R2" s="2" t="s">
        <v>29</v>
      </c>
    </row>
    <row r="3" customFormat="false" ht="15" hidden="false" customHeight="false" outlineLevel="0" collapsed="false">
      <c r="A3" s="7" t="str">
        <f aca="false">IF(참가자!A3="","",UPPER(TRIM(참가자!A3)))</f>
        <v>K7QM</v>
      </c>
      <c r="B3" s="7" t="str">
        <f aca="false">IF(A3="","",IF(참가자!B3="","(팀 없음)",TRIM(참가자!B3)))</f>
        <v>1팀</v>
      </c>
      <c r="C3" s="7" t="n">
        <f aca="false">IF(A3="","",IFERROR(INDEX($Q$3:$Q$102,MATCH(A3,$P$3:$P$102,0)),""))</f>
        <v>70</v>
      </c>
      <c r="D3" s="7" t="str">
        <f aca="false">IF(A3="","",IF(C3="","결석","응시"))</f>
        <v>응시</v>
      </c>
      <c r="E3" s="7" t="str">
        <f aca="false">IF(A3="","",IF(COUNTIF($P$3:$P$102,A3)&gt;1,"중복! 확인",""))</f>
        <v/>
      </c>
      <c r="F3" s="7" t="n">
        <f aca="false">IF(A3="","",평가A!F3)</f>
        <v>60</v>
      </c>
      <c r="G3" s="7" t="n">
        <f aca="false">IF(A3="","",IF(OR(C3="",F3=""),"",ROUND(C3-F3,1)))</f>
        <v>10</v>
      </c>
      <c r="H3" s="7" t="n">
        <f aca="false">IF(A3="","",IF(C3="","",IF(C3&gt;=HIGH_CUT,PTS_HIGH,IF(F3="","",IF(G3&gt;=STEP2,PTS_HIGH,IF(G3&gt;=STEP1,PTS_MID,PTS_LOW))))))</f>
        <v>20</v>
      </c>
      <c r="I3" s="7" t="str">
        <f aca="false">IF(A3="","",IF(C3="","결석 - 평균에서 제외",IF(C3&gt;=HIGH_CUT,"고득점 유지",IF(F3="","기준점수 없음 - 평균에서 제외",IF(G3&gt;=STEP2,"크게 향상",IF(G3&gt;=STEP1,"유지·소폭 향상","하락"))))))</f>
        <v>크게 향상</v>
      </c>
      <c r="K3" s="8" t="s">
        <v>4</v>
      </c>
      <c r="L3" s="8"/>
      <c r="M3" s="8"/>
      <c r="N3" s="8" t="n">
        <v>70</v>
      </c>
      <c r="P3" s="0" t="str">
        <f aca="false">IF(TRIM(K3&amp;"")="","",UPPER(TRIM(K3&amp;"")))</f>
        <v>K7QM</v>
      </c>
      <c r="Q3" s="9" t="n">
        <f aca="false">IF(P3="","",IF(ISNUMBER(N3),ROUND(N3,1),IF(AND(ISNUMBER(L3),ISNUMBER(M3)),IF(M3&gt;0,ROUND(L3/M3*100,1),""),"")))</f>
        <v>70</v>
      </c>
      <c r="R3" s="0" t="str">
        <f aca="false">IF(P3="","",IF(COUNTIF(참가자!$A$3:$A$52,P3)=0,"명단에 없는 코드",""))</f>
        <v/>
      </c>
    </row>
    <row r="4" customFormat="false" ht="15" hidden="false" customHeight="false" outlineLevel="0" collapsed="false">
      <c r="A4" s="7" t="str">
        <f aca="false">IF(참가자!A4="","",UPPER(TRIM(참가자!A4)))</f>
        <v>R4XT</v>
      </c>
      <c r="B4" s="7" t="str">
        <f aca="false">IF(A4="","",IF(참가자!B4="","(팀 없음)",TRIM(참가자!B4)))</f>
        <v>1팀</v>
      </c>
      <c r="C4" s="7" t="n">
        <f aca="false">IF(A4="","",IFERROR(INDEX($Q$3:$Q$102,MATCH(A4,$P$3:$P$102,0)),""))</f>
        <v>80</v>
      </c>
      <c r="D4" s="7" t="str">
        <f aca="false">IF(A4="","",IF(C4="","결석","응시"))</f>
        <v>응시</v>
      </c>
      <c r="E4" s="7" t="str">
        <f aca="false">IF(A4="","",IF(COUNTIF($P$3:$P$102,A4)&gt;1,"중복! 확인",""))</f>
        <v/>
      </c>
      <c r="F4" s="7" t="n">
        <f aca="false">IF(A4="","",평가A!F4)</f>
        <v>90</v>
      </c>
      <c r="G4" s="7" t="n">
        <f aca="false">IF(A4="","",IF(OR(C4="",F4=""),"",ROUND(C4-F4,1)))</f>
        <v>-10</v>
      </c>
      <c r="H4" s="7" t="n">
        <f aca="false">IF(A4="","",IF(C4="","",IF(C4&gt;=HIGH_CUT,PTS_HIGH,IF(F4="","",IF(G4&gt;=STEP2,PTS_HIGH,IF(G4&gt;=STEP1,PTS_MID,PTS_LOW))))))</f>
        <v>0</v>
      </c>
      <c r="I4" s="7" t="str">
        <f aca="false">IF(A4="","",IF(C4="","결석 - 평균에서 제외",IF(C4&gt;=HIGH_CUT,"고득점 유지",IF(F4="","기준점수 없음 - 평균에서 제외",IF(G4&gt;=STEP2,"크게 향상",IF(G4&gt;=STEP1,"유지·소폭 향상","하락"))))))</f>
        <v>하락</v>
      </c>
      <c r="K4" s="8" t="s">
        <v>6</v>
      </c>
      <c r="L4" s="8"/>
      <c r="M4" s="8"/>
      <c r="N4" s="8" t="n">
        <v>80</v>
      </c>
      <c r="P4" s="0" t="str">
        <f aca="false">IF(TRIM(K4&amp;"")="","",UPPER(TRIM(K4&amp;"")))</f>
        <v>R4XT</v>
      </c>
      <c r="Q4" s="9" t="n">
        <f aca="false">IF(P4="","",IF(ISNUMBER(N4),ROUND(N4,1),IF(AND(ISNUMBER(L4),ISNUMBER(M4)),IF(M4&gt;0,ROUND(L4/M4*100,1),""),"")))</f>
        <v>80</v>
      </c>
      <c r="R4" s="0" t="str">
        <f aca="false">IF(P4="","",IF(COUNTIF(참가자!$A$3:$A$52,P4)=0,"명단에 없는 코드",""))</f>
        <v/>
      </c>
    </row>
    <row r="5" customFormat="false" ht="15" hidden="false" customHeight="false" outlineLevel="0" collapsed="false">
      <c r="A5" s="7" t="str">
        <f aca="false">IF(참가자!A5="","",UPPER(TRIM(참가자!A5)))</f>
        <v>H9WC</v>
      </c>
      <c r="B5" s="7" t="str">
        <f aca="false">IF(A5="","",IF(참가자!B5="","(팀 없음)",TRIM(참가자!B5)))</f>
        <v>1팀</v>
      </c>
      <c r="C5" s="7" t="n">
        <f aca="false">IF(A5="","",IFERROR(INDEX($Q$3:$Q$102,MATCH(A5,$P$3:$P$102,0)),""))</f>
        <v>60</v>
      </c>
      <c r="D5" s="7" t="str">
        <f aca="false">IF(A5="","",IF(C5="","결석","응시"))</f>
        <v>응시</v>
      </c>
      <c r="E5" s="7" t="str">
        <f aca="false">IF(A5="","",IF(COUNTIF($P$3:$P$102,A5)&gt;1,"중복! 확인",""))</f>
        <v/>
      </c>
      <c r="F5" s="7" t="n">
        <f aca="false">IF(A5="","",평가A!F5)</f>
        <v>50</v>
      </c>
      <c r="G5" s="7" t="n">
        <f aca="false">IF(A5="","",IF(OR(C5="",F5=""),"",ROUND(C5-F5,1)))</f>
        <v>10</v>
      </c>
      <c r="H5" s="7" t="n">
        <f aca="false">IF(A5="","",IF(C5="","",IF(C5&gt;=HIGH_CUT,PTS_HIGH,IF(F5="","",IF(G5&gt;=STEP2,PTS_HIGH,IF(G5&gt;=STEP1,PTS_MID,PTS_LOW))))))</f>
        <v>20</v>
      </c>
      <c r="I5" s="7" t="str">
        <f aca="false">IF(A5="","",IF(C5="","결석 - 평균에서 제외",IF(C5&gt;=HIGH_CUT,"고득점 유지",IF(F5="","기준점수 없음 - 평균에서 제외",IF(G5&gt;=STEP2,"크게 향상",IF(G5&gt;=STEP1,"유지·소폭 향상","하락"))))))</f>
        <v>크게 향상</v>
      </c>
      <c r="K5" s="8" t="s">
        <v>7</v>
      </c>
      <c r="L5" s="8"/>
      <c r="M5" s="8"/>
      <c r="N5" s="8" t="n">
        <v>60</v>
      </c>
      <c r="P5" s="0" t="str">
        <f aca="false">IF(TRIM(K5&amp;"")="","",UPPER(TRIM(K5&amp;"")))</f>
        <v>H9WC</v>
      </c>
      <c r="Q5" s="9" t="n">
        <f aca="false">IF(P5="","",IF(ISNUMBER(N5),ROUND(N5,1),IF(AND(ISNUMBER(L5),ISNUMBER(M5)),IF(M5&gt;0,ROUND(L5/M5*100,1),""),"")))</f>
        <v>60</v>
      </c>
      <c r="R5" s="0" t="str">
        <f aca="false">IF(P5="","",IF(COUNTIF(참가자!$A$3:$A$52,P5)=0,"명단에 없는 코드",""))</f>
        <v/>
      </c>
    </row>
    <row r="6" customFormat="false" ht="15" hidden="false" customHeight="false" outlineLevel="0" collapsed="false">
      <c r="A6" s="7" t="str">
        <f aca="false">IF(참가자!A6="","",UPPER(TRIM(참가자!A6)))</f>
        <v>B3NV</v>
      </c>
      <c r="B6" s="7" t="str">
        <f aca="false">IF(A6="","",IF(참가자!B6="","(팀 없음)",TRIM(참가자!B6)))</f>
        <v>2팀</v>
      </c>
      <c r="C6" s="7" t="str">
        <f aca="false">IF(A6="","",IFERROR(INDEX($Q$3:$Q$102,MATCH(A6,$P$3:$P$102,0)),""))</f>
        <v/>
      </c>
      <c r="D6" s="7" t="str">
        <f aca="false">IF(A6="","",IF(C6="","결석","응시"))</f>
        <v>결석</v>
      </c>
      <c r="E6" s="7" t="str">
        <f aca="false">IF(A6="","",IF(COUNTIF($P$3:$P$102,A6)&gt;1,"중복! 확인",""))</f>
        <v/>
      </c>
      <c r="F6" s="7" t="n">
        <f aca="false">IF(A6="","",평가A!F6)</f>
        <v>70</v>
      </c>
      <c r="G6" s="7" t="str">
        <f aca="false">IF(A6="","",IF(OR(C6="",F6=""),"",ROUND(C6-F6,1)))</f>
        <v/>
      </c>
      <c r="H6" s="7" t="str">
        <f aca="false">IF(A6="","",IF(C6="","",IF(C6&gt;=HIGH_CUT,PTS_HIGH,IF(F6="","",IF(G6&gt;=STEP2,PTS_HIGH,IF(G6&gt;=STEP1,PTS_MID,PTS_LOW))))))</f>
        <v/>
      </c>
      <c r="I6" s="7" t="str">
        <f aca="false">IF(A6="","",IF(C6="","결석 - 평균에서 제외",IF(C6&gt;=HIGH_CUT,"고득점 유지",IF(F6="","기준점수 없음 - 평균에서 제외",IF(G6&gt;=STEP2,"크게 향상",IF(G6&gt;=STEP1,"유지·소폭 향상","하락"))))))</f>
        <v>결석 - 평균에서 제외</v>
      </c>
      <c r="K6" s="8" t="s">
        <v>10</v>
      </c>
      <c r="L6" s="8"/>
      <c r="M6" s="8"/>
      <c r="N6" s="8" t="n">
        <v>60</v>
      </c>
      <c r="P6" s="0" t="str">
        <f aca="false">IF(TRIM(K6&amp;"")="","",UPPER(TRIM(K6&amp;"")))</f>
        <v>Z8LD</v>
      </c>
      <c r="Q6" s="9" t="n">
        <f aca="false">IF(P6="","",IF(ISNUMBER(N6),ROUND(N6,1),IF(AND(ISNUMBER(L6),ISNUMBER(M6)),IF(M6&gt;0,ROUND(L6/M6*100,1),""),"")))</f>
        <v>60</v>
      </c>
      <c r="R6" s="0" t="str">
        <f aca="false">IF(P6="","",IF(COUNTIF(참가자!$A$3:$A$52,P6)=0,"명단에 없는 코드",""))</f>
        <v/>
      </c>
    </row>
    <row r="7" customFormat="false" ht="15" hidden="false" customHeight="false" outlineLevel="0" collapsed="false">
      <c r="A7" s="7" t="str">
        <f aca="false">IF(참가자!A7="","",UPPER(TRIM(참가자!A7)))</f>
        <v>Z8LD</v>
      </c>
      <c r="B7" s="7" t="str">
        <f aca="false">IF(A7="","",IF(참가자!B7="","(팀 없음)",TRIM(참가자!B7)))</f>
        <v>2팀</v>
      </c>
      <c r="C7" s="7" t="n">
        <f aca="false">IF(A7="","",IFERROR(INDEX($Q$3:$Q$102,MATCH(A7,$P$3:$P$102,0)),""))</f>
        <v>60</v>
      </c>
      <c r="D7" s="7" t="str">
        <f aca="false">IF(A7="","",IF(C7="","결석","응시"))</f>
        <v>응시</v>
      </c>
      <c r="E7" s="7" t="str">
        <f aca="false">IF(A7="","",IF(COUNTIF($P$3:$P$102,A7)&gt;1,"중복! 확인",""))</f>
        <v/>
      </c>
      <c r="F7" s="7" t="n">
        <f aca="false">IF(A7="","",평가A!F7)</f>
        <v>58.3</v>
      </c>
      <c r="G7" s="7" t="n">
        <f aca="false">IF(A7="","",IF(OR(C7="",F7=""),"",ROUND(C7-F7,1)))</f>
        <v>1.7</v>
      </c>
      <c r="H7" s="7" t="n">
        <f aca="false">IF(A7="","",IF(C7="","",IF(C7&gt;=HIGH_CUT,PTS_HIGH,IF(F7="","",IF(G7&gt;=STEP2,PTS_HIGH,IF(G7&gt;=STEP1,PTS_MID,PTS_LOW))))))</f>
        <v>10</v>
      </c>
      <c r="I7" s="7" t="str">
        <f aca="false">IF(A7="","",IF(C7="","결석 - 평균에서 제외",IF(C7&gt;=HIGH_CUT,"고득점 유지",IF(F7="","기준점수 없음 - 평균에서 제외",IF(G7&gt;=STEP2,"크게 향상",IF(G7&gt;=STEP1,"유지·소폭 향상","하락"))))))</f>
        <v>유지·소폭 향상</v>
      </c>
      <c r="K7" s="8" t="s">
        <v>11</v>
      </c>
      <c r="L7" s="8"/>
      <c r="M7" s="8"/>
      <c r="N7" s="8" t="n">
        <v>90</v>
      </c>
      <c r="P7" s="0" t="str">
        <f aca="false">IF(TRIM(K7&amp;"")="","",UPPER(TRIM(K7&amp;"")))</f>
        <v>M2PF</v>
      </c>
      <c r="Q7" s="9" t="n">
        <f aca="false">IF(P7="","",IF(ISNUMBER(N7),ROUND(N7,1),IF(AND(ISNUMBER(L7),ISNUMBER(M7)),IF(M7&gt;0,ROUND(L7/M7*100,1),""),"")))</f>
        <v>90</v>
      </c>
      <c r="R7" s="0" t="str">
        <f aca="false">IF(P7="","",IF(COUNTIF(참가자!$A$3:$A$52,P7)=0,"명단에 없는 코드",""))</f>
        <v/>
      </c>
    </row>
    <row r="8" customFormat="false" ht="15" hidden="false" customHeight="false" outlineLevel="0" collapsed="false">
      <c r="A8" s="7" t="str">
        <f aca="false">IF(참가자!A8="","",UPPER(TRIM(참가자!A8)))</f>
        <v>M2PF</v>
      </c>
      <c r="B8" s="7" t="str">
        <f aca="false">IF(A8="","",IF(참가자!B8="","(팀 없음)",TRIM(참가자!B8)))</f>
        <v>2팀</v>
      </c>
      <c r="C8" s="7" t="n">
        <f aca="false">IF(A8="","",IFERROR(INDEX($Q$3:$Q$102,MATCH(A8,$P$3:$P$102,0)),""))</f>
        <v>90</v>
      </c>
      <c r="D8" s="7" t="str">
        <f aca="false">IF(A8="","",IF(C8="","결석","응시"))</f>
        <v>응시</v>
      </c>
      <c r="E8" s="7" t="str">
        <f aca="false">IF(A8="","",IF(COUNTIF($P$3:$P$102,A8)&gt;1,"중복! 확인",""))</f>
        <v/>
      </c>
      <c r="F8" s="7" t="n">
        <f aca="false">IF(A8="","",평가A!F8)</f>
        <v>80</v>
      </c>
      <c r="G8" s="7" t="n">
        <f aca="false">IF(A8="","",IF(OR(C8="",F8=""),"",ROUND(C8-F8,1)))</f>
        <v>10</v>
      </c>
      <c r="H8" s="7" t="n">
        <f aca="false">IF(A8="","",IF(C8="","",IF(C8&gt;=HIGH_CUT,PTS_HIGH,IF(F8="","",IF(G8&gt;=STEP2,PTS_HIGH,IF(G8&gt;=STEP1,PTS_MID,PTS_LOW))))))</f>
        <v>20</v>
      </c>
      <c r="I8" s="7" t="str">
        <f aca="false">IF(A8="","",IF(C8="","결석 - 평균에서 제외",IF(C8&gt;=HIGH_CUT,"고득점 유지",IF(F8="","기준점수 없음 - 평균에서 제외",IF(G8&gt;=STEP2,"크게 향상",IF(G8&gt;=STEP1,"유지·소폭 향상","하락"))))))</f>
        <v>고득점 유지</v>
      </c>
      <c r="K8" s="8" t="s">
        <v>12</v>
      </c>
      <c r="L8" s="8"/>
      <c r="M8" s="8"/>
      <c r="N8" s="8" t="n">
        <v>50</v>
      </c>
      <c r="P8" s="0" t="str">
        <f aca="false">IF(TRIM(K8&amp;"")="","",UPPER(TRIM(K8&amp;"")))</f>
        <v>T6YH</v>
      </c>
      <c r="Q8" s="9" t="n">
        <f aca="false">IF(P8="","",IF(ISNUMBER(N8),ROUND(N8,1),IF(AND(ISNUMBER(L8),ISNUMBER(M8)),IF(M8&gt;0,ROUND(L8/M8*100,1),""),"")))</f>
        <v>50</v>
      </c>
      <c r="R8" s="0" t="str">
        <f aca="false">IF(P8="","",IF(COUNTIF(참가자!$A$3:$A$52,P8)=0,"명단에 없는 코드",""))</f>
        <v/>
      </c>
    </row>
    <row r="9" customFormat="false" ht="15" hidden="false" customHeight="false" outlineLevel="0" collapsed="false">
      <c r="A9" s="7" t="str">
        <f aca="false">IF(참가자!A9="","",UPPER(TRIM(참가자!A9)))</f>
        <v>T6YH</v>
      </c>
      <c r="B9" s="7" t="str">
        <f aca="false">IF(A9="","",IF(참가자!B9="","(팀 없음)",TRIM(참가자!B9)))</f>
        <v>3팀</v>
      </c>
      <c r="C9" s="7" t="n">
        <f aca="false">IF(A9="","",IFERROR(INDEX($Q$3:$Q$102,MATCH(A9,$P$3:$P$102,0)),""))</f>
        <v>50</v>
      </c>
      <c r="D9" s="7" t="str">
        <f aca="false">IF(A9="","",IF(C9="","결석","응시"))</f>
        <v>응시</v>
      </c>
      <c r="E9" s="7" t="str">
        <f aca="false">IF(A9="","",IF(COUNTIF($P$3:$P$102,A9)&gt;1,"중복! 확인",""))</f>
        <v/>
      </c>
      <c r="F9" s="7" t="n">
        <f aca="false">IF(A9="","",평가A!F9)</f>
        <v>40</v>
      </c>
      <c r="G9" s="7" t="n">
        <f aca="false">IF(A9="","",IF(OR(C9="",F9=""),"",ROUND(C9-F9,1)))</f>
        <v>10</v>
      </c>
      <c r="H9" s="7" t="n">
        <f aca="false">IF(A9="","",IF(C9="","",IF(C9&gt;=HIGH_CUT,PTS_HIGH,IF(F9="","",IF(G9&gt;=STEP2,PTS_HIGH,IF(G9&gt;=STEP1,PTS_MID,PTS_LOW))))))</f>
        <v>20</v>
      </c>
      <c r="I9" s="7" t="str">
        <f aca="false">IF(A9="","",IF(C9="","결석 - 평균에서 제외",IF(C9&gt;=HIGH_CUT,"고득점 유지",IF(F9="","기준점수 없음 - 평균에서 제외",IF(G9&gt;=STEP2,"크게 향상",IF(G9&gt;=STEP1,"유지·소폭 향상","하락"))))))</f>
        <v>크게 향상</v>
      </c>
      <c r="K9" s="8" t="s">
        <v>14</v>
      </c>
      <c r="L9" s="8"/>
      <c r="M9" s="8"/>
      <c r="N9" s="8" t="n">
        <v>90</v>
      </c>
      <c r="P9" s="0" t="str">
        <f aca="false">IF(TRIM(K9&amp;"")="","",UPPER(TRIM(K9&amp;"")))</f>
        <v>C5JR</v>
      </c>
      <c r="Q9" s="9" t="n">
        <f aca="false">IF(P9="","",IF(ISNUMBER(N9),ROUND(N9,1),IF(AND(ISNUMBER(L9),ISNUMBER(M9)),IF(M9&gt;0,ROUND(L9/M9*100,1),""),"")))</f>
        <v>90</v>
      </c>
      <c r="R9" s="0" t="str">
        <f aca="false">IF(P9="","",IF(COUNTIF(참가자!$A$3:$A$52,P9)=0,"명단에 없는 코드",""))</f>
        <v/>
      </c>
    </row>
    <row r="10" customFormat="false" ht="15" hidden="false" customHeight="false" outlineLevel="0" collapsed="false">
      <c r="A10" s="7" t="str">
        <f aca="false">IF(참가자!A10="","",UPPER(TRIM(참가자!A10)))</f>
        <v>C5JR</v>
      </c>
      <c r="B10" s="7" t="str">
        <f aca="false">IF(A10="","",IF(참가자!B10="","(팀 없음)",TRIM(참가자!B10)))</f>
        <v>3팀</v>
      </c>
      <c r="C10" s="7" t="n">
        <f aca="false">IF(A10="","",IFERROR(INDEX($Q$3:$Q$102,MATCH(A10,$P$3:$P$102,0)),""))</f>
        <v>90</v>
      </c>
      <c r="D10" s="7" t="str">
        <f aca="false">IF(A10="","",IF(C10="","결석","응시"))</f>
        <v>응시</v>
      </c>
      <c r="E10" s="7" t="str">
        <f aca="false">IF(A10="","",IF(COUNTIF($P$3:$P$102,A10)&gt;1,"중복! 확인",""))</f>
        <v/>
      </c>
      <c r="F10" s="7" t="n">
        <f aca="false">IF(A10="","",평가A!F10)</f>
        <v>100</v>
      </c>
      <c r="G10" s="7" t="n">
        <f aca="false">IF(A10="","",IF(OR(C10="",F10=""),"",ROUND(C10-F10,1)))</f>
        <v>-10</v>
      </c>
      <c r="H10" s="7" t="n">
        <f aca="false">IF(A10="","",IF(C10="","",IF(C10&gt;=HIGH_CUT,PTS_HIGH,IF(F10="","",IF(G10&gt;=STEP2,PTS_HIGH,IF(G10&gt;=STEP1,PTS_MID,PTS_LOW))))))</f>
        <v>20</v>
      </c>
      <c r="I10" s="7" t="str">
        <f aca="false">IF(A10="","",IF(C10="","결석 - 평균에서 제외",IF(C10&gt;=HIGH_CUT,"고득점 유지",IF(F10="","기준점수 없음 - 평균에서 제외",IF(G10&gt;=STEP2,"크게 향상",IF(G10&gt;=STEP1,"유지·소폭 향상","하락"))))))</f>
        <v>고득점 유지</v>
      </c>
      <c r="K10" s="8" t="s">
        <v>15</v>
      </c>
      <c r="L10" s="8"/>
      <c r="M10" s="8"/>
      <c r="N10" s="8" t="n">
        <v>65</v>
      </c>
      <c r="P10" s="0" t="str">
        <f aca="false">IF(TRIM(K10&amp;"")="","",UPPER(TRIM(K10&amp;"")))</f>
        <v>W3KE</v>
      </c>
      <c r="Q10" s="9" t="n">
        <f aca="false">IF(P10="","",IF(ISNUMBER(N10),ROUND(N10,1),IF(AND(ISNUMBER(L10),ISNUMBER(M10)),IF(M10&gt;0,ROUND(L10/M10*100,1),""),"")))</f>
        <v>65</v>
      </c>
      <c r="R10" s="0" t="str">
        <f aca="false">IF(P10="","",IF(COUNTIF(참가자!$A$3:$A$52,P10)=0,"명단에 없는 코드",""))</f>
        <v/>
      </c>
    </row>
    <row r="11" customFormat="false" ht="15" hidden="false" customHeight="false" outlineLevel="0" collapsed="false">
      <c r="A11" s="7" t="str">
        <f aca="false">IF(참가자!A11="","",UPPER(TRIM(참가자!A11)))</f>
        <v>W3KE</v>
      </c>
      <c r="B11" s="7" t="str">
        <f aca="false">IF(A11="","",IF(참가자!B11="","(팀 없음)",TRIM(참가자!B11)))</f>
        <v>3팀</v>
      </c>
      <c r="C11" s="7" t="n">
        <f aca="false">IF(A11="","",IFERROR(INDEX($Q$3:$Q$102,MATCH(A11,$P$3:$P$102,0)),""))</f>
        <v>65</v>
      </c>
      <c r="D11" s="7" t="str">
        <f aca="false">IF(A11="","",IF(C11="","결석","응시"))</f>
        <v>응시</v>
      </c>
      <c r="E11" s="7" t="str">
        <f aca="false">IF(A11="","",IF(COUNTIF($P$3:$P$102,A11)&gt;1,"중복! 확인",""))</f>
        <v/>
      </c>
      <c r="F11" s="7" t="n">
        <f aca="false">IF(A11="","",평가A!F11)</f>
        <v>60</v>
      </c>
      <c r="G11" s="7" t="n">
        <f aca="false">IF(A11="","",IF(OR(C11="",F11=""),"",ROUND(C11-F11,1)))</f>
        <v>5</v>
      </c>
      <c r="H11" s="7" t="n">
        <f aca="false">IF(A11="","",IF(C11="","",IF(C11&gt;=HIGH_CUT,PTS_HIGH,IF(F11="","",IF(G11&gt;=STEP2,PTS_HIGH,IF(G11&gt;=STEP1,PTS_MID,PTS_LOW))))))</f>
        <v>10</v>
      </c>
      <c r="I11" s="7" t="str">
        <f aca="false">IF(A11="","",IF(C11="","결석 - 평균에서 제외",IF(C11&gt;=HIGH_CUT,"고득점 유지",IF(F11="","기준점수 없음 - 평균에서 제외",IF(G11&gt;=STEP2,"크게 향상",IF(G11&gt;=STEP1,"유지·소폭 향상","하락"))))))</f>
        <v>유지·소폭 향상</v>
      </c>
      <c r="K11" s="8" t="s">
        <v>16</v>
      </c>
      <c r="L11" s="8"/>
      <c r="M11" s="8"/>
      <c r="N11" s="8" t="n">
        <v>69.96</v>
      </c>
      <c r="P11" s="0" t="str">
        <f aca="false">IF(TRIM(K11&amp;"")="","",UPPER(TRIM(K11&amp;"")))</f>
        <v>F8UA</v>
      </c>
      <c r="Q11" s="9" t="n">
        <f aca="false">IF(P11="","",IF(ISNUMBER(N11),ROUND(N11,1),IF(AND(ISNUMBER(L11),ISNUMBER(M11)),IF(M11&gt;0,ROUND(L11/M11*100,1),""),"")))</f>
        <v>70</v>
      </c>
      <c r="R11" s="0" t="str">
        <f aca="false">IF(P11="","",IF(COUNTIF(참가자!$A$3:$A$52,P11)=0,"명단에 없는 코드",""))</f>
        <v/>
      </c>
    </row>
    <row r="12" customFormat="false" ht="15" hidden="false" customHeight="false" outlineLevel="0" collapsed="false">
      <c r="A12" s="7" t="str">
        <f aca="false">IF(참가자!A12="","",UPPER(TRIM(참가자!A12)))</f>
        <v>F8UA</v>
      </c>
      <c r="B12" s="7" t="str">
        <f aca="false">IF(A12="","",IF(참가자!B12="","(팀 없음)",TRIM(참가자!B12)))</f>
        <v>4팀</v>
      </c>
      <c r="C12" s="7" t="n">
        <f aca="false">IF(A12="","",IFERROR(INDEX($Q$3:$Q$102,MATCH(A12,$P$3:$P$102,0)),""))</f>
        <v>70</v>
      </c>
      <c r="D12" s="7" t="str">
        <f aca="false">IF(A12="","",IF(C12="","결석","응시"))</f>
        <v>응시</v>
      </c>
      <c r="E12" s="7" t="str">
        <f aca="false">IF(A12="","",IF(COUNTIF($P$3:$P$102,A12)&gt;1,"중복! 확인",""))</f>
        <v/>
      </c>
      <c r="F12" s="7" t="n">
        <f aca="false">IF(A12="","",평가A!F12)</f>
        <v>70</v>
      </c>
      <c r="G12" s="7" t="n">
        <f aca="false">IF(A12="","",IF(OR(C12="",F12=""),"",ROUND(C12-F12,1)))</f>
        <v>0</v>
      </c>
      <c r="H12" s="7" t="n">
        <f aca="false">IF(A12="","",IF(C12="","",IF(C12&gt;=HIGH_CUT,PTS_HIGH,IF(F12="","",IF(G12&gt;=STEP2,PTS_HIGH,IF(G12&gt;=STEP1,PTS_MID,PTS_LOW))))))</f>
        <v>10</v>
      </c>
      <c r="I12" s="7" t="str">
        <f aca="false">IF(A12="","",IF(C12="","결석 - 평균에서 제외",IF(C12&gt;=HIGH_CUT,"고득점 유지",IF(F12="","기준점수 없음 - 평균에서 제외",IF(G12&gt;=STEP2,"크게 향상",IF(G12&gt;=STEP1,"유지·소폭 향상","하락"))))))</f>
        <v>유지·소폭 향상</v>
      </c>
      <c r="K12" s="8" t="s">
        <v>18</v>
      </c>
      <c r="L12" s="8"/>
      <c r="M12" s="8"/>
      <c r="N12" s="8" t="n">
        <v>70</v>
      </c>
      <c r="P12" s="0" t="str">
        <f aca="false">IF(TRIM(K12&amp;"")="","",UPPER(TRIM(K12&amp;"")))</f>
        <v>N4GS</v>
      </c>
      <c r="Q12" s="9" t="n">
        <f aca="false">IF(P12="","",IF(ISNUMBER(N12),ROUND(N12,1),IF(AND(ISNUMBER(L12),ISNUMBER(M12)),IF(M12&gt;0,ROUND(L12/M12*100,1),""),"")))</f>
        <v>70</v>
      </c>
      <c r="R12" s="0" t="str">
        <f aca="false">IF(P12="","",IF(COUNTIF(참가자!$A$3:$A$52,P12)=0,"명단에 없는 코드",""))</f>
        <v/>
      </c>
    </row>
    <row r="13" customFormat="false" ht="15" hidden="false" customHeight="false" outlineLevel="0" collapsed="false">
      <c r="A13" s="7" t="str">
        <f aca="false">IF(참가자!A13="","",UPPER(TRIM(참가자!A13)))</f>
        <v>N4GS</v>
      </c>
      <c r="B13" s="7" t="str">
        <f aca="false">IF(A13="","",IF(참가자!B13="","(팀 없음)",TRIM(참가자!B13)))</f>
        <v>4팀</v>
      </c>
      <c r="C13" s="7" t="n">
        <f aca="false">IF(A13="","",IFERROR(INDEX($Q$3:$Q$102,MATCH(A13,$P$3:$P$102,0)),""))</f>
        <v>70</v>
      </c>
      <c r="D13" s="7" t="str">
        <f aca="false">IF(A13="","",IF(C13="","결석","응시"))</f>
        <v>응시</v>
      </c>
      <c r="E13" s="7" t="str">
        <f aca="false">IF(A13="","",IF(COUNTIF($P$3:$P$102,A13)&gt;1,"중복! 확인",""))</f>
        <v/>
      </c>
      <c r="F13" s="7" t="str">
        <f aca="false">IF(A13="","",평가A!F13)</f>
        <v/>
      </c>
      <c r="G13" s="7" t="str">
        <f aca="false">IF(A13="","",IF(OR(C13="",F13=""),"",ROUND(C13-F13,1)))</f>
        <v/>
      </c>
      <c r="H13" s="7" t="str">
        <f aca="false">IF(A13="","",IF(C13="","",IF(C13&gt;=HIGH_CUT,PTS_HIGH,IF(F13="","",IF(G13&gt;=STEP2,PTS_HIGH,IF(G13&gt;=STEP1,PTS_MID,PTS_LOW))))))</f>
        <v/>
      </c>
      <c r="I13" s="7" t="str">
        <f aca="false">IF(A13="","",IF(C13="","결석 - 평균에서 제외",IF(C13&gt;=HIGH_CUT,"고득점 유지",IF(F13="","기준점수 없음 - 평균에서 제외",IF(G13&gt;=STEP2,"크게 향상",IF(G13&gt;=STEP1,"유지·소폭 향상","하락"))))))</f>
        <v>기준점수 없음 - 평균에서 제외</v>
      </c>
      <c r="K13" s="8" t="s">
        <v>39</v>
      </c>
      <c r="L13" s="8"/>
      <c r="M13" s="8"/>
      <c r="N13" s="8" t="n">
        <v>80</v>
      </c>
      <c r="P13" s="0" t="str">
        <f aca="false">IF(TRIM(K13&amp;"")="","",UPPER(TRIM(K13&amp;"")))</f>
        <v>D7V8</v>
      </c>
      <c r="Q13" s="9" t="n">
        <f aca="false">IF(P13="","",IF(ISNUMBER(N13),ROUND(N13,1),IF(AND(ISNUMBER(L13),ISNUMBER(M13)),IF(M13&gt;0,ROUND(L13/M13*100,1),""),"")))</f>
        <v>80</v>
      </c>
      <c r="R13" s="0" t="str">
        <f aca="false">IF(P13="","",IF(COUNTIF(참가자!$A$3:$A$52,P13)=0,"명단에 없는 코드",""))</f>
        <v>명단에 없는 코드</v>
      </c>
    </row>
    <row r="14" customFormat="false" ht="15" hidden="false" customHeight="false" outlineLevel="0" collapsed="false">
      <c r="A14" s="7" t="str">
        <f aca="false">IF(참가자!A14="","",UPPER(TRIM(참가자!A14)))</f>
        <v>D7VB</v>
      </c>
      <c r="B14" s="7" t="str">
        <f aca="false">IF(A14="","",IF(참가자!B14="","(팀 없음)",TRIM(참가자!B14)))</f>
        <v>4팀</v>
      </c>
      <c r="C14" s="7" t="str">
        <f aca="false">IF(A14="","",IFERROR(INDEX($Q$3:$Q$102,MATCH(A14,$P$3:$P$102,0)),""))</f>
        <v/>
      </c>
      <c r="D14" s="7" t="str">
        <f aca="false">IF(A14="","",IF(C14="","결석","응시"))</f>
        <v>결석</v>
      </c>
      <c r="E14" s="7" t="str">
        <f aca="false">IF(A14="","",IF(COUNTIF($P$3:$P$102,A14)&gt;1,"중복! 확인",""))</f>
        <v/>
      </c>
      <c r="F14" s="7" t="n">
        <f aca="false">IF(A14="","",평가A!F14)</f>
        <v>60</v>
      </c>
      <c r="G14" s="7" t="str">
        <f aca="false">IF(A14="","",IF(OR(C14="",F14=""),"",ROUND(C14-F14,1)))</f>
        <v/>
      </c>
      <c r="H14" s="7" t="str">
        <f aca="false">IF(A14="","",IF(C14="","",IF(C14&gt;=HIGH_CUT,PTS_HIGH,IF(F14="","",IF(G14&gt;=STEP2,PTS_HIGH,IF(G14&gt;=STEP1,PTS_MID,PTS_LOW))))))</f>
        <v/>
      </c>
      <c r="I14" s="7" t="str">
        <f aca="false">IF(A14="","",IF(C14="","결석 - 평균에서 제외",IF(C14&gt;=HIGH_CUT,"고득점 유지",IF(F14="","기준점수 없음 - 평균에서 제외",IF(G14&gt;=STEP2,"크게 향상",IF(G14&gt;=STEP1,"유지·소폭 향상","하락"))))))</f>
        <v>결석 - 평균에서 제외</v>
      </c>
      <c r="K14" s="8"/>
      <c r="L14" s="8"/>
      <c r="M14" s="8"/>
      <c r="N14" s="8"/>
      <c r="P14" s="0" t="str">
        <f aca="false">IF(TRIM(K14&amp;"")="","",UPPER(TRIM(K14&amp;"")))</f>
        <v/>
      </c>
      <c r="Q14" s="0" t="str">
        <f aca="false">IF(P14="","",IF(ISNUMBER(N14),ROUND(N14,1),IF(AND(ISNUMBER(L14),ISNUMBER(M14)),IF(M14&gt;0,ROUND(L14/M14*100,1),""),"")))</f>
        <v/>
      </c>
      <c r="R14" s="0" t="str">
        <f aca="false">IF(P14="","",IF(COUNTIF(참가자!$A$3:$A$52,P14)=0,"명단에 없는 코드",""))</f>
        <v/>
      </c>
    </row>
    <row r="15" customFormat="false" ht="15" hidden="false" customHeight="false" outlineLevel="0" collapsed="false">
      <c r="A15" s="7" t="str">
        <f aca="false">IF(참가자!A15="","",UPPER(TRIM(참가자!A15)))</f>
        <v/>
      </c>
      <c r="B15" s="7" t="str">
        <f aca="false">IF(A15="","",IF(참가자!B15="","(팀 없음)",TRIM(참가자!B15)))</f>
        <v/>
      </c>
      <c r="C15" s="7" t="str">
        <f aca="false">IF(A15="","",IFERROR(INDEX($Q$3:$Q$102,MATCH(A15,$P$3:$P$102,0)),""))</f>
        <v/>
      </c>
      <c r="D15" s="7" t="str">
        <f aca="false">IF(A15="","",IF(C15="","결석","응시"))</f>
        <v/>
      </c>
      <c r="E15" s="7" t="str">
        <f aca="false">IF(A15="","",IF(COUNTIF($P$3:$P$102,A15)&gt;1,"중복! 확인",""))</f>
        <v/>
      </c>
      <c r="F15" s="7" t="str">
        <f aca="false">IF(A15="","",평가A!F15)</f>
        <v/>
      </c>
      <c r="G15" s="7" t="str">
        <f aca="false">IF(A15="","",IF(OR(C15="",F15=""),"",ROUND(C15-F15,1)))</f>
        <v/>
      </c>
      <c r="H15" s="7" t="str">
        <f aca="false">IF(A15="","",IF(C15="","",IF(C15&gt;=HIGH_CUT,PTS_HIGH,IF(F15="","",IF(G15&gt;=STEP2,PTS_HIGH,IF(G15&gt;=STEP1,PTS_MID,PTS_LOW))))))</f>
        <v/>
      </c>
      <c r="I15" s="7" t="str">
        <f aca="false">IF(A15="","",IF(C15="","결석 - 평균에서 제외",IF(C15&gt;=HIGH_CUT,"고득점 유지",IF(F15="","기준점수 없음 - 평균에서 제외",IF(G15&gt;=STEP2,"크게 향상",IF(G15&gt;=STEP1,"유지·소폭 향상","하락"))))))</f>
        <v/>
      </c>
      <c r="K15" s="8"/>
      <c r="L15" s="8"/>
      <c r="M15" s="8"/>
      <c r="N15" s="8"/>
      <c r="P15" s="0" t="str">
        <f aca="false">IF(TRIM(K15&amp;"")="","",UPPER(TRIM(K15&amp;"")))</f>
        <v/>
      </c>
      <c r="Q15" s="0" t="str">
        <f aca="false">IF(P15="","",IF(ISNUMBER(N15),ROUND(N15,1),IF(AND(ISNUMBER(L15),ISNUMBER(M15)),IF(M15&gt;0,ROUND(L15/M15*100,1),""),"")))</f>
        <v/>
      </c>
      <c r="R15" s="0" t="str">
        <f aca="false">IF(P15="","",IF(COUNTIF(참가자!$A$3:$A$52,P15)=0,"명단에 없는 코드",""))</f>
        <v/>
      </c>
    </row>
    <row r="16" customFormat="false" ht="15" hidden="false" customHeight="false" outlineLevel="0" collapsed="false">
      <c r="A16" s="7" t="str">
        <f aca="false">IF(참가자!A16="","",UPPER(TRIM(참가자!A16)))</f>
        <v/>
      </c>
      <c r="B16" s="7" t="str">
        <f aca="false">IF(A16="","",IF(참가자!B16="","(팀 없음)",TRIM(참가자!B16)))</f>
        <v/>
      </c>
      <c r="C16" s="7" t="str">
        <f aca="false">IF(A16="","",IFERROR(INDEX($Q$3:$Q$102,MATCH(A16,$P$3:$P$102,0)),""))</f>
        <v/>
      </c>
      <c r="D16" s="7" t="str">
        <f aca="false">IF(A16="","",IF(C16="","결석","응시"))</f>
        <v/>
      </c>
      <c r="E16" s="7" t="str">
        <f aca="false">IF(A16="","",IF(COUNTIF($P$3:$P$102,A16)&gt;1,"중복! 확인",""))</f>
        <v/>
      </c>
      <c r="F16" s="7" t="str">
        <f aca="false">IF(A16="","",평가A!F16)</f>
        <v/>
      </c>
      <c r="G16" s="7" t="str">
        <f aca="false">IF(A16="","",IF(OR(C16="",F16=""),"",ROUND(C16-F16,1)))</f>
        <v/>
      </c>
      <c r="H16" s="7" t="str">
        <f aca="false">IF(A16="","",IF(C16="","",IF(C16&gt;=HIGH_CUT,PTS_HIGH,IF(F16="","",IF(G16&gt;=STEP2,PTS_HIGH,IF(G16&gt;=STEP1,PTS_MID,PTS_LOW))))))</f>
        <v/>
      </c>
      <c r="I16" s="7" t="str">
        <f aca="false">IF(A16="","",IF(C16="","결석 - 평균에서 제외",IF(C16&gt;=HIGH_CUT,"고득점 유지",IF(F16="","기준점수 없음 - 평균에서 제외",IF(G16&gt;=STEP2,"크게 향상",IF(G16&gt;=STEP1,"유지·소폭 향상","하락"))))))</f>
        <v/>
      </c>
      <c r="K16" s="8"/>
      <c r="L16" s="8"/>
      <c r="M16" s="8"/>
      <c r="N16" s="8"/>
      <c r="P16" s="0" t="str">
        <f aca="false">IF(TRIM(K16&amp;"")="","",UPPER(TRIM(K16&amp;"")))</f>
        <v/>
      </c>
      <c r="Q16" s="0" t="str">
        <f aca="false">IF(P16="","",IF(ISNUMBER(N16),ROUND(N16,1),IF(AND(ISNUMBER(L16),ISNUMBER(M16)),IF(M16&gt;0,ROUND(L16/M16*100,1),""),"")))</f>
        <v/>
      </c>
      <c r="R16" s="0" t="str">
        <f aca="false">IF(P16="","",IF(COUNTIF(참가자!$A$3:$A$52,P16)=0,"명단에 없는 코드",""))</f>
        <v/>
      </c>
    </row>
    <row r="17" customFormat="false" ht="15" hidden="false" customHeight="false" outlineLevel="0" collapsed="false">
      <c r="A17" s="7" t="str">
        <f aca="false">IF(참가자!A17="","",UPPER(TRIM(참가자!A17)))</f>
        <v/>
      </c>
      <c r="B17" s="7" t="str">
        <f aca="false">IF(A17="","",IF(참가자!B17="","(팀 없음)",TRIM(참가자!B17)))</f>
        <v/>
      </c>
      <c r="C17" s="7" t="str">
        <f aca="false">IF(A17="","",IFERROR(INDEX($Q$3:$Q$102,MATCH(A17,$P$3:$P$102,0)),""))</f>
        <v/>
      </c>
      <c r="D17" s="7" t="str">
        <f aca="false">IF(A17="","",IF(C17="","결석","응시"))</f>
        <v/>
      </c>
      <c r="E17" s="7" t="str">
        <f aca="false">IF(A17="","",IF(COUNTIF($P$3:$P$102,A17)&gt;1,"중복! 확인",""))</f>
        <v/>
      </c>
      <c r="F17" s="7" t="str">
        <f aca="false">IF(A17="","",평가A!F17)</f>
        <v/>
      </c>
      <c r="G17" s="7" t="str">
        <f aca="false">IF(A17="","",IF(OR(C17="",F17=""),"",ROUND(C17-F17,1)))</f>
        <v/>
      </c>
      <c r="H17" s="7" t="str">
        <f aca="false">IF(A17="","",IF(C17="","",IF(C17&gt;=HIGH_CUT,PTS_HIGH,IF(F17="","",IF(G17&gt;=STEP2,PTS_HIGH,IF(G17&gt;=STEP1,PTS_MID,PTS_LOW))))))</f>
        <v/>
      </c>
      <c r="I17" s="7" t="str">
        <f aca="false">IF(A17="","",IF(C17="","결석 - 평균에서 제외",IF(C17&gt;=HIGH_CUT,"고득점 유지",IF(F17="","기준점수 없음 - 평균에서 제외",IF(G17&gt;=STEP2,"크게 향상",IF(G17&gt;=STEP1,"유지·소폭 향상","하락"))))))</f>
        <v/>
      </c>
      <c r="K17" s="8"/>
      <c r="L17" s="8"/>
      <c r="M17" s="8"/>
      <c r="N17" s="8"/>
      <c r="P17" s="0" t="str">
        <f aca="false">IF(TRIM(K17&amp;"")="","",UPPER(TRIM(K17&amp;"")))</f>
        <v/>
      </c>
      <c r="Q17" s="0" t="str">
        <f aca="false">IF(P17="","",IF(ISNUMBER(N17),ROUND(N17,1),IF(AND(ISNUMBER(L17),ISNUMBER(M17)),IF(M17&gt;0,ROUND(L17/M17*100,1),""),"")))</f>
        <v/>
      </c>
      <c r="R17" s="0" t="str">
        <f aca="false">IF(P17="","",IF(COUNTIF(참가자!$A$3:$A$52,P17)=0,"명단에 없는 코드",""))</f>
        <v/>
      </c>
    </row>
    <row r="18" customFormat="false" ht="15" hidden="false" customHeight="false" outlineLevel="0" collapsed="false">
      <c r="A18" s="7" t="str">
        <f aca="false">IF(참가자!A18="","",UPPER(TRIM(참가자!A18)))</f>
        <v/>
      </c>
      <c r="B18" s="7" t="str">
        <f aca="false">IF(A18="","",IF(참가자!B18="","(팀 없음)",TRIM(참가자!B18)))</f>
        <v/>
      </c>
      <c r="C18" s="7" t="str">
        <f aca="false">IF(A18="","",IFERROR(INDEX($Q$3:$Q$102,MATCH(A18,$P$3:$P$102,0)),""))</f>
        <v/>
      </c>
      <c r="D18" s="7" t="str">
        <f aca="false">IF(A18="","",IF(C18="","결석","응시"))</f>
        <v/>
      </c>
      <c r="E18" s="7" t="str">
        <f aca="false">IF(A18="","",IF(COUNTIF($P$3:$P$102,A18)&gt;1,"중복! 확인",""))</f>
        <v/>
      </c>
      <c r="F18" s="7" t="str">
        <f aca="false">IF(A18="","",평가A!F18)</f>
        <v/>
      </c>
      <c r="G18" s="7" t="str">
        <f aca="false">IF(A18="","",IF(OR(C18="",F18=""),"",ROUND(C18-F18,1)))</f>
        <v/>
      </c>
      <c r="H18" s="7" t="str">
        <f aca="false">IF(A18="","",IF(C18="","",IF(C18&gt;=HIGH_CUT,PTS_HIGH,IF(F18="","",IF(G18&gt;=STEP2,PTS_HIGH,IF(G18&gt;=STEP1,PTS_MID,PTS_LOW))))))</f>
        <v/>
      </c>
      <c r="I18" s="7" t="str">
        <f aca="false">IF(A18="","",IF(C18="","결석 - 평균에서 제외",IF(C18&gt;=HIGH_CUT,"고득점 유지",IF(F18="","기준점수 없음 - 평균에서 제외",IF(G18&gt;=STEP2,"크게 향상",IF(G18&gt;=STEP1,"유지·소폭 향상","하락"))))))</f>
        <v/>
      </c>
      <c r="K18" s="8"/>
      <c r="L18" s="8"/>
      <c r="M18" s="8"/>
      <c r="N18" s="8"/>
      <c r="P18" s="0" t="str">
        <f aca="false">IF(TRIM(K18&amp;"")="","",UPPER(TRIM(K18&amp;"")))</f>
        <v/>
      </c>
      <c r="Q18" s="0" t="str">
        <f aca="false">IF(P18="","",IF(ISNUMBER(N18),ROUND(N18,1),IF(AND(ISNUMBER(L18),ISNUMBER(M18)),IF(M18&gt;0,ROUND(L18/M18*100,1),""),"")))</f>
        <v/>
      </c>
      <c r="R18" s="0" t="str">
        <f aca="false">IF(P18="","",IF(COUNTIF(참가자!$A$3:$A$52,P18)=0,"명단에 없는 코드",""))</f>
        <v/>
      </c>
    </row>
    <row r="19" customFormat="false" ht="15" hidden="false" customHeight="false" outlineLevel="0" collapsed="false">
      <c r="A19" s="7" t="str">
        <f aca="false">IF(참가자!A19="","",UPPER(TRIM(참가자!A19)))</f>
        <v/>
      </c>
      <c r="B19" s="7" t="str">
        <f aca="false">IF(A19="","",IF(참가자!B19="","(팀 없음)",TRIM(참가자!B19)))</f>
        <v/>
      </c>
      <c r="C19" s="7" t="str">
        <f aca="false">IF(A19="","",IFERROR(INDEX($Q$3:$Q$102,MATCH(A19,$P$3:$P$102,0)),""))</f>
        <v/>
      </c>
      <c r="D19" s="7" t="str">
        <f aca="false">IF(A19="","",IF(C19="","결석","응시"))</f>
        <v/>
      </c>
      <c r="E19" s="7" t="str">
        <f aca="false">IF(A19="","",IF(COUNTIF($P$3:$P$102,A19)&gt;1,"중복! 확인",""))</f>
        <v/>
      </c>
      <c r="F19" s="7" t="str">
        <f aca="false">IF(A19="","",평가A!F19)</f>
        <v/>
      </c>
      <c r="G19" s="7" t="str">
        <f aca="false">IF(A19="","",IF(OR(C19="",F19=""),"",ROUND(C19-F19,1)))</f>
        <v/>
      </c>
      <c r="H19" s="7" t="str">
        <f aca="false">IF(A19="","",IF(C19="","",IF(C19&gt;=HIGH_CUT,PTS_HIGH,IF(F19="","",IF(G19&gt;=STEP2,PTS_HIGH,IF(G19&gt;=STEP1,PTS_MID,PTS_LOW))))))</f>
        <v/>
      </c>
      <c r="I19" s="7" t="str">
        <f aca="false">IF(A19="","",IF(C19="","결석 - 평균에서 제외",IF(C19&gt;=HIGH_CUT,"고득점 유지",IF(F19="","기준점수 없음 - 평균에서 제외",IF(G19&gt;=STEP2,"크게 향상",IF(G19&gt;=STEP1,"유지·소폭 향상","하락"))))))</f>
        <v/>
      </c>
      <c r="K19" s="8"/>
      <c r="L19" s="8"/>
      <c r="M19" s="8"/>
      <c r="N19" s="8"/>
      <c r="P19" s="0" t="str">
        <f aca="false">IF(TRIM(K19&amp;"")="","",UPPER(TRIM(K19&amp;"")))</f>
        <v/>
      </c>
      <c r="Q19" s="0" t="str">
        <f aca="false">IF(P19="","",IF(ISNUMBER(N19),ROUND(N19,1),IF(AND(ISNUMBER(L19),ISNUMBER(M19)),IF(M19&gt;0,ROUND(L19/M19*100,1),""),"")))</f>
        <v/>
      </c>
      <c r="R19" s="0" t="str">
        <f aca="false">IF(P19="","",IF(COUNTIF(참가자!$A$3:$A$52,P19)=0,"명단에 없는 코드",""))</f>
        <v/>
      </c>
    </row>
    <row r="20" customFormat="false" ht="15" hidden="false" customHeight="false" outlineLevel="0" collapsed="false">
      <c r="A20" s="7" t="str">
        <f aca="false">IF(참가자!A20="","",UPPER(TRIM(참가자!A20)))</f>
        <v/>
      </c>
      <c r="B20" s="7" t="str">
        <f aca="false">IF(A20="","",IF(참가자!B20="","(팀 없음)",TRIM(참가자!B20)))</f>
        <v/>
      </c>
      <c r="C20" s="7" t="str">
        <f aca="false">IF(A20="","",IFERROR(INDEX($Q$3:$Q$102,MATCH(A20,$P$3:$P$102,0)),""))</f>
        <v/>
      </c>
      <c r="D20" s="7" t="str">
        <f aca="false">IF(A20="","",IF(C20="","결석","응시"))</f>
        <v/>
      </c>
      <c r="E20" s="7" t="str">
        <f aca="false">IF(A20="","",IF(COUNTIF($P$3:$P$102,A20)&gt;1,"중복! 확인",""))</f>
        <v/>
      </c>
      <c r="F20" s="7" t="str">
        <f aca="false">IF(A20="","",평가A!F20)</f>
        <v/>
      </c>
      <c r="G20" s="7" t="str">
        <f aca="false">IF(A20="","",IF(OR(C20="",F20=""),"",ROUND(C20-F20,1)))</f>
        <v/>
      </c>
      <c r="H20" s="7" t="str">
        <f aca="false">IF(A20="","",IF(C20="","",IF(C20&gt;=HIGH_CUT,PTS_HIGH,IF(F20="","",IF(G20&gt;=STEP2,PTS_HIGH,IF(G20&gt;=STEP1,PTS_MID,PTS_LOW))))))</f>
        <v/>
      </c>
      <c r="I20" s="7" t="str">
        <f aca="false">IF(A20="","",IF(C20="","결석 - 평균에서 제외",IF(C20&gt;=HIGH_CUT,"고득점 유지",IF(F20="","기준점수 없음 - 평균에서 제외",IF(G20&gt;=STEP2,"크게 향상",IF(G20&gt;=STEP1,"유지·소폭 향상","하락"))))))</f>
        <v/>
      </c>
      <c r="K20" s="8"/>
      <c r="L20" s="8"/>
      <c r="M20" s="8"/>
      <c r="N20" s="8"/>
      <c r="P20" s="0" t="str">
        <f aca="false">IF(TRIM(K20&amp;"")="","",UPPER(TRIM(K20&amp;"")))</f>
        <v/>
      </c>
      <c r="Q20" s="0" t="str">
        <f aca="false">IF(P20="","",IF(ISNUMBER(N20),ROUND(N20,1),IF(AND(ISNUMBER(L20),ISNUMBER(M20)),IF(M20&gt;0,ROUND(L20/M20*100,1),""),"")))</f>
        <v/>
      </c>
      <c r="R20" s="0" t="str">
        <f aca="false">IF(P20="","",IF(COUNTIF(참가자!$A$3:$A$52,P20)=0,"명단에 없는 코드",""))</f>
        <v/>
      </c>
    </row>
    <row r="21" customFormat="false" ht="15" hidden="false" customHeight="false" outlineLevel="0" collapsed="false">
      <c r="A21" s="7" t="str">
        <f aca="false">IF(참가자!A21="","",UPPER(TRIM(참가자!A21)))</f>
        <v/>
      </c>
      <c r="B21" s="7" t="str">
        <f aca="false">IF(A21="","",IF(참가자!B21="","(팀 없음)",TRIM(참가자!B21)))</f>
        <v/>
      </c>
      <c r="C21" s="7" t="str">
        <f aca="false">IF(A21="","",IFERROR(INDEX($Q$3:$Q$102,MATCH(A21,$P$3:$P$102,0)),""))</f>
        <v/>
      </c>
      <c r="D21" s="7" t="str">
        <f aca="false">IF(A21="","",IF(C21="","결석","응시"))</f>
        <v/>
      </c>
      <c r="E21" s="7" t="str">
        <f aca="false">IF(A21="","",IF(COUNTIF($P$3:$P$102,A21)&gt;1,"중복! 확인",""))</f>
        <v/>
      </c>
      <c r="F21" s="7" t="str">
        <f aca="false">IF(A21="","",평가A!F21)</f>
        <v/>
      </c>
      <c r="G21" s="7" t="str">
        <f aca="false">IF(A21="","",IF(OR(C21="",F21=""),"",ROUND(C21-F21,1)))</f>
        <v/>
      </c>
      <c r="H21" s="7" t="str">
        <f aca="false">IF(A21="","",IF(C21="","",IF(C21&gt;=HIGH_CUT,PTS_HIGH,IF(F21="","",IF(G21&gt;=STEP2,PTS_HIGH,IF(G21&gt;=STEP1,PTS_MID,PTS_LOW))))))</f>
        <v/>
      </c>
      <c r="I21" s="7" t="str">
        <f aca="false">IF(A21="","",IF(C21="","결석 - 평균에서 제외",IF(C21&gt;=HIGH_CUT,"고득점 유지",IF(F21="","기준점수 없음 - 평균에서 제외",IF(G21&gt;=STEP2,"크게 향상",IF(G21&gt;=STEP1,"유지·소폭 향상","하락"))))))</f>
        <v/>
      </c>
      <c r="K21" s="8"/>
      <c r="L21" s="8"/>
      <c r="M21" s="8"/>
      <c r="N21" s="8"/>
      <c r="P21" s="0" t="str">
        <f aca="false">IF(TRIM(K21&amp;"")="","",UPPER(TRIM(K21&amp;"")))</f>
        <v/>
      </c>
      <c r="Q21" s="0" t="str">
        <f aca="false">IF(P21="","",IF(ISNUMBER(N21),ROUND(N21,1),IF(AND(ISNUMBER(L21),ISNUMBER(M21)),IF(M21&gt;0,ROUND(L21/M21*100,1),""),"")))</f>
        <v/>
      </c>
      <c r="R21" s="0" t="str">
        <f aca="false">IF(P21="","",IF(COUNTIF(참가자!$A$3:$A$52,P21)=0,"명단에 없는 코드",""))</f>
        <v/>
      </c>
    </row>
    <row r="22" customFormat="false" ht="15" hidden="false" customHeight="false" outlineLevel="0" collapsed="false">
      <c r="A22" s="7" t="str">
        <f aca="false">IF(참가자!A22="","",UPPER(TRIM(참가자!A22)))</f>
        <v/>
      </c>
      <c r="B22" s="7" t="str">
        <f aca="false">IF(A22="","",IF(참가자!B22="","(팀 없음)",TRIM(참가자!B22)))</f>
        <v/>
      </c>
      <c r="C22" s="7" t="str">
        <f aca="false">IF(A22="","",IFERROR(INDEX($Q$3:$Q$102,MATCH(A22,$P$3:$P$102,0)),""))</f>
        <v/>
      </c>
      <c r="D22" s="7" t="str">
        <f aca="false">IF(A22="","",IF(C22="","결석","응시"))</f>
        <v/>
      </c>
      <c r="E22" s="7" t="str">
        <f aca="false">IF(A22="","",IF(COUNTIF($P$3:$P$102,A22)&gt;1,"중복! 확인",""))</f>
        <v/>
      </c>
      <c r="F22" s="7" t="str">
        <f aca="false">IF(A22="","",평가A!F22)</f>
        <v/>
      </c>
      <c r="G22" s="7" t="str">
        <f aca="false">IF(A22="","",IF(OR(C22="",F22=""),"",ROUND(C22-F22,1)))</f>
        <v/>
      </c>
      <c r="H22" s="7" t="str">
        <f aca="false">IF(A22="","",IF(C22="","",IF(C22&gt;=HIGH_CUT,PTS_HIGH,IF(F22="","",IF(G22&gt;=STEP2,PTS_HIGH,IF(G22&gt;=STEP1,PTS_MID,PTS_LOW))))))</f>
        <v/>
      </c>
      <c r="I22" s="7" t="str">
        <f aca="false">IF(A22="","",IF(C22="","결석 - 평균에서 제외",IF(C22&gt;=HIGH_CUT,"고득점 유지",IF(F22="","기준점수 없음 - 평균에서 제외",IF(G22&gt;=STEP2,"크게 향상",IF(G22&gt;=STEP1,"유지·소폭 향상","하락"))))))</f>
        <v/>
      </c>
      <c r="K22" s="8"/>
      <c r="L22" s="8"/>
      <c r="M22" s="8"/>
      <c r="N22" s="8"/>
      <c r="P22" s="0" t="str">
        <f aca="false">IF(TRIM(K22&amp;"")="","",UPPER(TRIM(K22&amp;"")))</f>
        <v/>
      </c>
      <c r="Q22" s="0" t="str">
        <f aca="false">IF(P22="","",IF(ISNUMBER(N22),ROUND(N22,1),IF(AND(ISNUMBER(L22),ISNUMBER(M22)),IF(M22&gt;0,ROUND(L22/M22*100,1),""),"")))</f>
        <v/>
      </c>
      <c r="R22" s="0" t="str">
        <f aca="false">IF(P22="","",IF(COUNTIF(참가자!$A$3:$A$52,P22)=0,"명단에 없는 코드",""))</f>
        <v/>
      </c>
    </row>
    <row r="23" customFormat="false" ht="15" hidden="false" customHeight="false" outlineLevel="0" collapsed="false">
      <c r="A23" s="7" t="str">
        <f aca="false">IF(참가자!A23="","",UPPER(TRIM(참가자!A23)))</f>
        <v/>
      </c>
      <c r="B23" s="7" t="str">
        <f aca="false">IF(A23="","",IF(참가자!B23="","(팀 없음)",TRIM(참가자!B23)))</f>
        <v/>
      </c>
      <c r="C23" s="7" t="str">
        <f aca="false">IF(A23="","",IFERROR(INDEX($Q$3:$Q$102,MATCH(A23,$P$3:$P$102,0)),""))</f>
        <v/>
      </c>
      <c r="D23" s="7" t="str">
        <f aca="false">IF(A23="","",IF(C23="","결석","응시"))</f>
        <v/>
      </c>
      <c r="E23" s="7" t="str">
        <f aca="false">IF(A23="","",IF(COUNTIF($P$3:$P$102,A23)&gt;1,"중복! 확인",""))</f>
        <v/>
      </c>
      <c r="F23" s="7" t="str">
        <f aca="false">IF(A23="","",평가A!F23)</f>
        <v/>
      </c>
      <c r="G23" s="7" t="str">
        <f aca="false">IF(A23="","",IF(OR(C23="",F23=""),"",ROUND(C23-F23,1)))</f>
        <v/>
      </c>
      <c r="H23" s="7" t="str">
        <f aca="false">IF(A23="","",IF(C23="","",IF(C23&gt;=HIGH_CUT,PTS_HIGH,IF(F23="","",IF(G23&gt;=STEP2,PTS_HIGH,IF(G23&gt;=STEP1,PTS_MID,PTS_LOW))))))</f>
        <v/>
      </c>
      <c r="I23" s="7" t="str">
        <f aca="false">IF(A23="","",IF(C23="","결석 - 평균에서 제외",IF(C23&gt;=HIGH_CUT,"고득점 유지",IF(F23="","기준점수 없음 - 평균에서 제외",IF(G23&gt;=STEP2,"크게 향상",IF(G23&gt;=STEP1,"유지·소폭 향상","하락"))))))</f>
        <v/>
      </c>
      <c r="K23" s="8"/>
      <c r="L23" s="8"/>
      <c r="M23" s="8"/>
      <c r="N23" s="8"/>
      <c r="P23" s="0" t="str">
        <f aca="false">IF(TRIM(K23&amp;"")="","",UPPER(TRIM(K23&amp;"")))</f>
        <v/>
      </c>
      <c r="Q23" s="0" t="str">
        <f aca="false">IF(P23="","",IF(ISNUMBER(N23),ROUND(N23,1),IF(AND(ISNUMBER(L23),ISNUMBER(M23)),IF(M23&gt;0,ROUND(L23/M23*100,1),""),"")))</f>
        <v/>
      </c>
      <c r="R23" s="0" t="str">
        <f aca="false">IF(P23="","",IF(COUNTIF(참가자!$A$3:$A$52,P23)=0,"명단에 없는 코드",""))</f>
        <v/>
      </c>
    </row>
    <row r="24" customFormat="false" ht="15" hidden="false" customHeight="false" outlineLevel="0" collapsed="false">
      <c r="A24" s="7" t="str">
        <f aca="false">IF(참가자!A24="","",UPPER(TRIM(참가자!A24)))</f>
        <v/>
      </c>
      <c r="B24" s="7" t="str">
        <f aca="false">IF(A24="","",IF(참가자!B24="","(팀 없음)",TRIM(참가자!B24)))</f>
        <v/>
      </c>
      <c r="C24" s="7" t="str">
        <f aca="false">IF(A24="","",IFERROR(INDEX($Q$3:$Q$102,MATCH(A24,$P$3:$P$102,0)),""))</f>
        <v/>
      </c>
      <c r="D24" s="7" t="str">
        <f aca="false">IF(A24="","",IF(C24="","결석","응시"))</f>
        <v/>
      </c>
      <c r="E24" s="7" t="str">
        <f aca="false">IF(A24="","",IF(COUNTIF($P$3:$P$102,A24)&gt;1,"중복! 확인",""))</f>
        <v/>
      </c>
      <c r="F24" s="7" t="str">
        <f aca="false">IF(A24="","",평가A!F24)</f>
        <v/>
      </c>
      <c r="G24" s="7" t="str">
        <f aca="false">IF(A24="","",IF(OR(C24="",F24=""),"",ROUND(C24-F24,1)))</f>
        <v/>
      </c>
      <c r="H24" s="7" t="str">
        <f aca="false">IF(A24="","",IF(C24="","",IF(C24&gt;=HIGH_CUT,PTS_HIGH,IF(F24="","",IF(G24&gt;=STEP2,PTS_HIGH,IF(G24&gt;=STEP1,PTS_MID,PTS_LOW))))))</f>
        <v/>
      </c>
      <c r="I24" s="7" t="str">
        <f aca="false">IF(A24="","",IF(C24="","결석 - 평균에서 제외",IF(C24&gt;=HIGH_CUT,"고득점 유지",IF(F24="","기준점수 없음 - 평균에서 제외",IF(G24&gt;=STEP2,"크게 향상",IF(G24&gt;=STEP1,"유지·소폭 향상","하락"))))))</f>
        <v/>
      </c>
      <c r="K24" s="8"/>
      <c r="L24" s="8"/>
      <c r="M24" s="8"/>
      <c r="N24" s="8"/>
      <c r="P24" s="0" t="str">
        <f aca="false">IF(TRIM(K24&amp;"")="","",UPPER(TRIM(K24&amp;"")))</f>
        <v/>
      </c>
      <c r="Q24" s="0" t="str">
        <f aca="false">IF(P24="","",IF(ISNUMBER(N24),ROUND(N24,1),IF(AND(ISNUMBER(L24),ISNUMBER(M24)),IF(M24&gt;0,ROUND(L24/M24*100,1),""),"")))</f>
        <v/>
      </c>
      <c r="R24" s="0" t="str">
        <f aca="false">IF(P24="","",IF(COUNTIF(참가자!$A$3:$A$52,P24)=0,"명단에 없는 코드",""))</f>
        <v/>
      </c>
    </row>
    <row r="25" customFormat="false" ht="15" hidden="false" customHeight="false" outlineLevel="0" collapsed="false">
      <c r="A25" s="7" t="str">
        <f aca="false">IF(참가자!A25="","",UPPER(TRIM(참가자!A25)))</f>
        <v/>
      </c>
      <c r="B25" s="7" t="str">
        <f aca="false">IF(A25="","",IF(참가자!B25="","(팀 없음)",TRIM(참가자!B25)))</f>
        <v/>
      </c>
      <c r="C25" s="7" t="str">
        <f aca="false">IF(A25="","",IFERROR(INDEX($Q$3:$Q$102,MATCH(A25,$P$3:$P$102,0)),""))</f>
        <v/>
      </c>
      <c r="D25" s="7" t="str">
        <f aca="false">IF(A25="","",IF(C25="","결석","응시"))</f>
        <v/>
      </c>
      <c r="E25" s="7" t="str">
        <f aca="false">IF(A25="","",IF(COUNTIF($P$3:$P$102,A25)&gt;1,"중복! 확인",""))</f>
        <v/>
      </c>
      <c r="F25" s="7" t="str">
        <f aca="false">IF(A25="","",평가A!F25)</f>
        <v/>
      </c>
      <c r="G25" s="7" t="str">
        <f aca="false">IF(A25="","",IF(OR(C25="",F25=""),"",ROUND(C25-F25,1)))</f>
        <v/>
      </c>
      <c r="H25" s="7" t="str">
        <f aca="false">IF(A25="","",IF(C25="","",IF(C25&gt;=HIGH_CUT,PTS_HIGH,IF(F25="","",IF(G25&gt;=STEP2,PTS_HIGH,IF(G25&gt;=STEP1,PTS_MID,PTS_LOW))))))</f>
        <v/>
      </c>
      <c r="I25" s="7" t="str">
        <f aca="false">IF(A25="","",IF(C25="","결석 - 평균에서 제외",IF(C25&gt;=HIGH_CUT,"고득점 유지",IF(F25="","기준점수 없음 - 평균에서 제외",IF(G25&gt;=STEP2,"크게 향상",IF(G25&gt;=STEP1,"유지·소폭 향상","하락"))))))</f>
        <v/>
      </c>
      <c r="K25" s="8"/>
      <c r="L25" s="8"/>
      <c r="M25" s="8"/>
      <c r="N25" s="8"/>
      <c r="P25" s="0" t="str">
        <f aca="false">IF(TRIM(K25&amp;"")="","",UPPER(TRIM(K25&amp;"")))</f>
        <v/>
      </c>
      <c r="Q25" s="0" t="str">
        <f aca="false">IF(P25="","",IF(ISNUMBER(N25),ROUND(N25,1),IF(AND(ISNUMBER(L25),ISNUMBER(M25)),IF(M25&gt;0,ROUND(L25/M25*100,1),""),"")))</f>
        <v/>
      </c>
      <c r="R25" s="0" t="str">
        <f aca="false">IF(P25="","",IF(COUNTIF(참가자!$A$3:$A$52,P25)=0,"명단에 없는 코드",""))</f>
        <v/>
      </c>
    </row>
    <row r="26" customFormat="false" ht="15" hidden="false" customHeight="false" outlineLevel="0" collapsed="false">
      <c r="A26" s="7" t="str">
        <f aca="false">IF(참가자!A26="","",UPPER(TRIM(참가자!A26)))</f>
        <v/>
      </c>
      <c r="B26" s="7" t="str">
        <f aca="false">IF(A26="","",IF(참가자!B26="","(팀 없음)",TRIM(참가자!B26)))</f>
        <v/>
      </c>
      <c r="C26" s="7" t="str">
        <f aca="false">IF(A26="","",IFERROR(INDEX($Q$3:$Q$102,MATCH(A26,$P$3:$P$102,0)),""))</f>
        <v/>
      </c>
      <c r="D26" s="7" t="str">
        <f aca="false">IF(A26="","",IF(C26="","결석","응시"))</f>
        <v/>
      </c>
      <c r="E26" s="7" t="str">
        <f aca="false">IF(A26="","",IF(COUNTIF($P$3:$P$102,A26)&gt;1,"중복! 확인",""))</f>
        <v/>
      </c>
      <c r="F26" s="7" t="str">
        <f aca="false">IF(A26="","",평가A!F26)</f>
        <v/>
      </c>
      <c r="G26" s="7" t="str">
        <f aca="false">IF(A26="","",IF(OR(C26="",F26=""),"",ROUND(C26-F26,1)))</f>
        <v/>
      </c>
      <c r="H26" s="7" t="str">
        <f aca="false">IF(A26="","",IF(C26="","",IF(C26&gt;=HIGH_CUT,PTS_HIGH,IF(F26="","",IF(G26&gt;=STEP2,PTS_HIGH,IF(G26&gt;=STEP1,PTS_MID,PTS_LOW))))))</f>
        <v/>
      </c>
      <c r="I26" s="7" t="str">
        <f aca="false">IF(A26="","",IF(C26="","결석 - 평균에서 제외",IF(C26&gt;=HIGH_CUT,"고득점 유지",IF(F26="","기준점수 없음 - 평균에서 제외",IF(G26&gt;=STEP2,"크게 향상",IF(G26&gt;=STEP1,"유지·소폭 향상","하락"))))))</f>
        <v/>
      </c>
      <c r="K26" s="8"/>
      <c r="L26" s="8"/>
      <c r="M26" s="8"/>
      <c r="N26" s="8"/>
      <c r="P26" s="0" t="str">
        <f aca="false">IF(TRIM(K26&amp;"")="","",UPPER(TRIM(K26&amp;"")))</f>
        <v/>
      </c>
      <c r="Q26" s="0" t="str">
        <f aca="false">IF(P26="","",IF(ISNUMBER(N26),ROUND(N26,1),IF(AND(ISNUMBER(L26),ISNUMBER(M26)),IF(M26&gt;0,ROUND(L26/M26*100,1),""),"")))</f>
        <v/>
      </c>
      <c r="R26" s="0" t="str">
        <f aca="false">IF(P26="","",IF(COUNTIF(참가자!$A$3:$A$52,P26)=0,"명단에 없는 코드",""))</f>
        <v/>
      </c>
    </row>
    <row r="27" customFormat="false" ht="15" hidden="false" customHeight="false" outlineLevel="0" collapsed="false">
      <c r="A27" s="7" t="str">
        <f aca="false">IF(참가자!A27="","",UPPER(TRIM(참가자!A27)))</f>
        <v/>
      </c>
      <c r="B27" s="7" t="str">
        <f aca="false">IF(A27="","",IF(참가자!B27="","(팀 없음)",TRIM(참가자!B27)))</f>
        <v/>
      </c>
      <c r="C27" s="7" t="str">
        <f aca="false">IF(A27="","",IFERROR(INDEX($Q$3:$Q$102,MATCH(A27,$P$3:$P$102,0)),""))</f>
        <v/>
      </c>
      <c r="D27" s="7" t="str">
        <f aca="false">IF(A27="","",IF(C27="","결석","응시"))</f>
        <v/>
      </c>
      <c r="E27" s="7" t="str">
        <f aca="false">IF(A27="","",IF(COUNTIF($P$3:$P$102,A27)&gt;1,"중복! 확인",""))</f>
        <v/>
      </c>
      <c r="F27" s="7" t="str">
        <f aca="false">IF(A27="","",평가A!F27)</f>
        <v/>
      </c>
      <c r="G27" s="7" t="str">
        <f aca="false">IF(A27="","",IF(OR(C27="",F27=""),"",ROUND(C27-F27,1)))</f>
        <v/>
      </c>
      <c r="H27" s="7" t="str">
        <f aca="false">IF(A27="","",IF(C27="","",IF(C27&gt;=HIGH_CUT,PTS_HIGH,IF(F27="","",IF(G27&gt;=STEP2,PTS_HIGH,IF(G27&gt;=STEP1,PTS_MID,PTS_LOW))))))</f>
        <v/>
      </c>
      <c r="I27" s="7" t="str">
        <f aca="false">IF(A27="","",IF(C27="","결석 - 평균에서 제외",IF(C27&gt;=HIGH_CUT,"고득점 유지",IF(F27="","기준점수 없음 - 평균에서 제외",IF(G27&gt;=STEP2,"크게 향상",IF(G27&gt;=STEP1,"유지·소폭 향상","하락"))))))</f>
        <v/>
      </c>
      <c r="K27" s="8"/>
      <c r="L27" s="8"/>
      <c r="M27" s="8"/>
      <c r="N27" s="8"/>
      <c r="P27" s="0" t="str">
        <f aca="false">IF(TRIM(K27&amp;"")="","",UPPER(TRIM(K27&amp;"")))</f>
        <v/>
      </c>
      <c r="Q27" s="0" t="str">
        <f aca="false">IF(P27="","",IF(ISNUMBER(N27),ROUND(N27,1),IF(AND(ISNUMBER(L27),ISNUMBER(M27)),IF(M27&gt;0,ROUND(L27/M27*100,1),""),"")))</f>
        <v/>
      </c>
      <c r="R27" s="0" t="str">
        <f aca="false">IF(P27="","",IF(COUNTIF(참가자!$A$3:$A$52,P27)=0,"명단에 없는 코드",""))</f>
        <v/>
      </c>
    </row>
    <row r="28" customFormat="false" ht="15" hidden="false" customHeight="false" outlineLevel="0" collapsed="false">
      <c r="A28" s="7" t="str">
        <f aca="false">IF(참가자!A28="","",UPPER(TRIM(참가자!A28)))</f>
        <v/>
      </c>
      <c r="B28" s="7" t="str">
        <f aca="false">IF(A28="","",IF(참가자!B28="","(팀 없음)",TRIM(참가자!B28)))</f>
        <v/>
      </c>
      <c r="C28" s="7" t="str">
        <f aca="false">IF(A28="","",IFERROR(INDEX($Q$3:$Q$102,MATCH(A28,$P$3:$P$102,0)),""))</f>
        <v/>
      </c>
      <c r="D28" s="7" t="str">
        <f aca="false">IF(A28="","",IF(C28="","결석","응시"))</f>
        <v/>
      </c>
      <c r="E28" s="7" t="str">
        <f aca="false">IF(A28="","",IF(COUNTIF($P$3:$P$102,A28)&gt;1,"중복! 확인",""))</f>
        <v/>
      </c>
      <c r="F28" s="7" t="str">
        <f aca="false">IF(A28="","",평가A!F28)</f>
        <v/>
      </c>
      <c r="G28" s="7" t="str">
        <f aca="false">IF(A28="","",IF(OR(C28="",F28=""),"",ROUND(C28-F28,1)))</f>
        <v/>
      </c>
      <c r="H28" s="7" t="str">
        <f aca="false">IF(A28="","",IF(C28="","",IF(C28&gt;=HIGH_CUT,PTS_HIGH,IF(F28="","",IF(G28&gt;=STEP2,PTS_HIGH,IF(G28&gt;=STEP1,PTS_MID,PTS_LOW))))))</f>
        <v/>
      </c>
      <c r="I28" s="7" t="str">
        <f aca="false">IF(A28="","",IF(C28="","결석 - 평균에서 제외",IF(C28&gt;=HIGH_CUT,"고득점 유지",IF(F28="","기준점수 없음 - 평균에서 제외",IF(G28&gt;=STEP2,"크게 향상",IF(G28&gt;=STEP1,"유지·소폭 향상","하락"))))))</f>
        <v/>
      </c>
      <c r="K28" s="8"/>
      <c r="L28" s="8"/>
      <c r="M28" s="8"/>
      <c r="N28" s="8"/>
      <c r="P28" s="0" t="str">
        <f aca="false">IF(TRIM(K28&amp;"")="","",UPPER(TRIM(K28&amp;"")))</f>
        <v/>
      </c>
      <c r="Q28" s="0" t="str">
        <f aca="false">IF(P28="","",IF(ISNUMBER(N28),ROUND(N28,1),IF(AND(ISNUMBER(L28),ISNUMBER(M28)),IF(M28&gt;0,ROUND(L28/M28*100,1),""),"")))</f>
        <v/>
      </c>
      <c r="R28" s="0" t="str">
        <f aca="false">IF(P28="","",IF(COUNTIF(참가자!$A$3:$A$52,P28)=0,"명단에 없는 코드",""))</f>
        <v/>
      </c>
    </row>
    <row r="29" customFormat="false" ht="15" hidden="false" customHeight="false" outlineLevel="0" collapsed="false">
      <c r="A29" s="7" t="str">
        <f aca="false">IF(참가자!A29="","",UPPER(TRIM(참가자!A29)))</f>
        <v/>
      </c>
      <c r="B29" s="7" t="str">
        <f aca="false">IF(A29="","",IF(참가자!B29="","(팀 없음)",TRIM(참가자!B29)))</f>
        <v/>
      </c>
      <c r="C29" s="7" t="str">
        <f aca="false">IF(A29="","",IFERROR(INDEX($Q$3:$Q$102,MATCH(A29,$P$3:$P$102,0)),""))</f>
        <v/>
      </c>
      <c r="D29" s="7" t="str">
        <f aca="false">IF(A29="","",IF(C29="","결석","응시"))</f>
        <v/>
      </c>
      <c r="E29" s="7" t="str">
        <f aca="false">IF(A29="","",IF(COUNTIF($P$3:$P$102,A29)&gt;1,"중복! 확인",""))</f>
        <v/>
      </c>
      <c r="F29" s="7" t="str">
        <f aca="false">IF(A29="","",평가A!F29)</f>
        <v/>
      </c>
      <c r="G29" s="7" t="str">
        <f aca="false">IF(A29="","",IF(OR(C29="",F29=""),"",ROUND(C29-F29,1)))</f>
        <v/>
      </c>
      <c r="H29" s="7" t="str">
        <f aca="false">IF(A29="","",IF(C29="","",IF(C29&gt;=HIGH_CUT,PTS_HIGH,IF(F29="","",IF(G29&gt;=STEP2,PTS_HIGH,IF(G29&gt;=STEP1,PTS_MID,PTS_LOW))))))</f>
        <v/>
      </c>
      <c r="I29" s="7" t="str">
        <f aca="false">IF(A29="","",IF(C29="","결석 - 평균에서 제외",IF(C29&gt;=HIGH_CUT,"고득점 유지",IF(F29="","기준점수 없음 - 평균에서 제외",IF(G29&gt;=STEP2,"크게 향상",IF(G29&gt;=STEP1,"유지·소폭 향상","하락"))))))</f>
        <v/>
      </c>
      <c r="K29" s="8"/>
      <c r="L29" s="8"/>
      <c r="M29" s="8"/>
      <c r="N29" s="8"/>
      <c r="P29" s="0" t="str">
        <f aca="false">IF(TRIM(K29&amp;"")="","",UPPER(TRIM(K29&amp;"")))</f>
        <v/>
      </c>
      <c r="Q29" s="0" t="str">
        <f aca="false">IF(P29="","",IF(ISNUMBER(N29),ROUND(N29,1),IF(AND(ISNUMBER(L29),ISNUMBER(M29)),IF(M29&gt;0,ROUND(L29/M29*100,1),""),"")))</f>
        <v/>
      </c>
      <c r="R29" s="0" t="str">
        <f aca="false">IF(P29="","",IF(COUNTIF(참가자!$A$3:$A$52,P29)=0,"명단에 없는 코드",""))</f>
        <v/>
      </c>
    </row>
    <row r="30" customFormat="false" ht="15" hidden="false" customHeight="false" outlineLevel="0" collapsed="false">
      <c r="A30" s="7" t="str">
        <f aca="false">IF(참가자!A30="","",UPPER(TRIM(참가자!A30)))</f>
        <v/>
      </c>
      <c r="B30" s="7" t="str">
        <f aca="false">IF(A30="","",IF(참가자!B30="","(팀 없음)",TRIM(참가자!B30)))</f>
        <v/>
      </c>
      <c r="C30" s="7" t="str">
        <f aca="false">IF(A30="","",IFERROR(INDEX($Q$3:$Q$102,MATCH(A30,$P$3:$P$102,0)),""))</f>
        <v/>
      </c>
      <c r="D30" s="7" t="str">
        <f aca="false">IF(A30="","",IF(C30="","결석","응시"))</f>
        <v/>
      </c>
      <c r="E30" s="7" t="str">
        <f aca="false">IF(A30="","",IF(COUNTIF($P$3:$P$102,A30)&gt;1,"중복! 확인",""))</f>
        <v/>
      </c>
      <c r="F30" s="7" t="str">
        <f aca="false">IF(A30="","",평가A!F30)</f>
        <v/>
      </c>
      <c r="G30" s="7" t="str">
        <f aca="false">IF(A30="","",IF(OR(C30="",F30=""),"",ROUND(C30-F30,1)))</f>
        <v/>
      </c>
      <c r="H30" s="7" t="str">
        <f aca="false">IF(A30="","",IF(C30="","",IF(C30&gt;=HIGH_CUT,PTS_HIGH,IF(F30="","",IF(G30&gt;=STEP2,PTS_HIGH,IF(G30&gt;=STEP1,PTS_MID,PTS_LOW))))))</f>
        <v/>
      </c>
      <c r="I30" s="7" t="str">
        <f aca="false">IF(A30="","",IF(C30="","결석 - 평균에서 제외",IF(C30&gt;=HIGH_CUT,"고득점 유지",IF(F30="","기준점수 없음 - 평균에서 제외",IF(G30&gt;=STEP2,"크게 향상",IF(G30&gt;=STEP1,"유지·소폭 향상","하락"))))))</f>
        <v/>
      </c>
      <c r="K30" s="8"/>
      <c r="L30" s="8"/>
      <c r="M30" s="8"/>
      <c r="N30" s="8"/>
      <c r="P30" s="0" t="str">
        <f aca="false">IF(TRIM(K30&amp;"")="","",UPPER(TRIM(K30&amp;"")))</f>
        <v/>
      </c>
      <c r="Q30" s="0" t="str">
        <f aca="false">IF(P30="","",IF(ISNUMBER(N30),ROUND(N30,1),IF(AND(ISNUMBER(L30),ISNUMBER(M30)),IF(M30&gt;0,ROUND(L30/M30*100,1),""),"")))</f>
        <v/>
      </c>
      <c r="R30" s="0" t="str">
        <f aca="false">IF(P30="","",IF(COUNTIF(참가자!$A$3:$A$52,P30)=0,"명단에 없는 코드",""))</f>
        <v/>
      </c>
    </row>
    <row r="31" customFormat="false" ht="15" hidden="false" customHeight="false" outlineLevel="0" collapsed="false">
      <c r="A31" s="7" t="str">
        <f aca="false">IF(참가자!A31="","",UPPER(TRIM(참가자!A31)))</f>
        <v/>
      </c>
      <c r="B31" s="7" t="str">
        <f aca="false">IF(A31="","",IF(참가자!B31="","(팀 없음)",TRIM(참가자!B31)))</f>
        <v/>
      </c>
      <c r="C31" s="7" t="str">
        <f aca="false">IF(A31="","",IFERROR(INDEX($Q$3:$Q$102,MATCH(A31,$P$3:$P$102,0)),""))</f>
        <v/>
      </c>
      <c r="D31" s="7" t="str">
        <f aca="false">IF(A31="","",IF(C31="","결석","응시"))</f>
        <v/>
      </c>
      <c r="E31" s="7" t="str">
        <f aca="false">IF(A31="","",IF(COUNTIF($P$3:$P$102,A31)&gt;1,"중복! 확인",""))</f>
        <v/>
      </c>
      <c r="F31" s="7" t="str">
        <f aca="false">IF(A31="","",평가A!F31)</f>
        <v/>
      </c>
      <c r="G31" s="7" t="str">
        <f aca="false">IF(A31="","",IF(OR(C31="",F31=""),"",ROUND(C31-F31,1)))</f>
        <v/>
      </c>
      <c r="H31" s="7" t="str">
        <f aca="false">IF(A31="","",IF(C31="","",IF(C31&gt;=HIGH_CUT,PTS_HIGH,IF(F31="","",IF(G31&gt;=STEP2,PTS_HIGH,IF(G31&gt;=STEP1,PTS_MID,PTS_LOW))))))</f>
        <v/>
      </c>
      <c r="I31" s="7" t="str">
        <f aca="false">IF(A31="","",IF(C31="","결석 - 평균에서 제외",IF(C31&gt;=HIGH_CUT,"고득점 유지",IF(F31="","기준점수 없음 - 평균에서 제외",IF(G31&gt;=STEP2,"크게 향상",IF(G31&gt;=STEP1,"유지·소폭 향상","하락"))))))</f>
        <v/>
      </c>
      <c r="K31" s="8"/>
      <c r="L31" s="8"/>
      <c r="M31" s="8"/>
      <c r="N31" s="8"/>
      <c r="P31" s="0" t="str">
        <f aca="false">IF(TRIM(K31&amp;"")="","",UPPER(TRIM(K31&amp;"")))</f>
        <v/>
      </c>
      <c r="Q31" s="0" t="str">
        <f aca="false">IF(P31="","",IF(ISNUMBER(N31),ROUND(N31,1),IF(AND(ISNUMBER(L31),ISNUMBER(M31)),IF(M31&gt;0,ROUND(L31/M31*100,1),""),"")))</f>
        <v/>
      </c>
      <c r="R31" s="0" t="str">
        <f aca="false">IF(P31="","",IF(COUNTIF(참가자!$A$3:$A$52,P31)=0,"명단에 없는 코드",""))</f>
        <v/>
      </c>
    </row>
    <row r="32" customFormat="false" ht="15" hidden="false" customHeight="false" outlineLevel="0" collapsed="false">
      <c r="A32" s="7" t="str">
        <f aca="false">IF(참가자!A32="","",UPPER(TRIM(참가자!A32)))</f>
        <v/>
      </c>
      <c r="B32" s="7" t="str">
        <f aca="false">IF(A32="","",IF(참가자!B32="","(팀 없음)",TRIM(참가자!B32)))</f>
        <v/>
      </c>
      <c r="C32" s="7" t="str">
        <f aca="false">IF(A32="","",IFERROR(INDEX($Q$3:$Q$102,MATCH(A32,$P$3:$P$102,0)),""))</f>
        <v/>
      </c>
      <c r="D32" s="7" t="str">
        <f aca="false">IF(A32="","",IF(C32="","결석","응시"))</f>
        <v/>
      </c>
      <c r="E32" s="7" t="str">
        <f aca="false">IF(A32="","",IF(COUNTIF($P$3:$P$102,A32)&gt;1,"중복! 확인",""))</f>
        <v/>
      </c>
      <c r="F32" s="7" t="str">
        <f aca="false">IF(A32="","",평가A!F32)</f>
        <v/>
      </c>
      <c r="G32" s="7" t="str">
        <f aca="false">IF(A32="","",IF(OR(C32="",F32=""),"",ROUND(C32-F32,1)))</f>
        <v/>
      </c>
      <c r="H32" s="7" t="str">
        <f aca="false">IF(A32="","",IF(C32="","",IF(C32&gt;=HIGH_CUT,PTS_HIGH,IF(F32="","",IF(G32&gt;=STEP2,PTS_HIGH,IF(G32&gt;=STEP1,PTS_MID,PTS_LOW))))))</f>
        <v/>
      </c>
      <c r="I32" s="7" t="str">
        <f aca="false">IF(A32="","",IF(C32="","결석 - 평균에서 제외",IF(C32&gt;=HIGH_CUT,"고득점 유지",IF(F32="","기준점수 없음 - 평균에서 제외",IF(G32&gt;=STEP2,"크게 향상",IF(G32&gt;=STEP1,"유지·소폭 향상","하락"))))))</f>
        <v/>
      </c>
      <c r="K32" s="8"/>
      <c r="L32" s="8"/>
      <c r="M32" s="8"/>
      <c r="N32" s="8"/>
      <c r="P32" s="0" t="str">
        <f aca="false">IF(TRIM(K32&amp;"")="","",UPPER(TRIM(K32&amp;"")))</f>
        <v/>
      </c>
      <c r="Q32" s="0" t="str">
        <f aca="false">IF(P32="","",IF(ISNUMBER(N32),ROUND(N32,1),IF(AND(ISNUMBER(L32),ISNUMBER(M32)),IF(M32&gt;0,ROUND(L32/M32*100,1),""),"")))</f>
        <v/>
      </c>
      <c r="R32" s="0" t="str">
        <f aca="false">IF(P32="","",IF(COUNTIF(참가자!$A$3:$A$52,P32)=0,"명단에 없는 코드",""))</f>
        <v/>
      </c>
    </row>
    <row r="33" customFormat="false" ht="15" hidden="false" customHeight="false" outlineLevel="0" collapsed="false">
      <c r="A33" s="7" t="str">
        <f aca="false">IF(참가자!A33="","",UPPER(TRIM(참가자!A33)))</f>
        <v/>
      </c>
      <c r="B33" s="7" t="str">
        <f aca="false">IF(A33="","",IF(참가자!B33="","(팀 없음)",TRIM(참가자!B33)))</f>
        <v/>
      </c>
      <c r="C33" s="7" t="str">
        <f aca="false">IF(A33="","",IFERROR(INDEX($Q$3:$Q$102,MATCH(A33,$P$3:$P$102,0)),""))</f>
        <v/>
      </c>
      <c r="D33" s="7" t="str">
        <f aca="false">IF(A33="","",IF(C33="","결석","응시"))</f>
        <v/>
      </c>
      <c r="E33" s="7" t="str">
        <f aca="false">IF(A33="","",IF(COUNTIF($P$3:$P$102,A33)&gt;1,"중복! 확인",""))</f>
        <v/>
      </c>
      <c r="F33" s="7" t="str">
        <f aca="false">IF(A33="","",평가A!F33)</f>
        <v/>
      </c>
      <c r="G33" s="7" t="str">
        <f aca="false">IF(A33="","",IF(OR(C33="",F33=""),"",ROUND(C33-F33,1)))</f>
        <v/>
      </c>
      <c r="H33" s="7" t="str">
        <f aca="false">IF(A33="","",IF(C33="","",IF(C33&gt;=HIGH_CUT,PTS_HIGH,IF(F33="","",IF(G33&gt;=STEP2,PTS_HIGH,IF(G33&gt;=STEP1,PTS_MID,PTS_LOW))))))</f>
        <v/>
      </c>
      <c r="I33" s="7" t="str">
        <f aca="false">IF(A33="","",IF(C33="","결석 - 평균에서 제외",IF(C33&gt;=HIGH_CUT,"고득점 유지",IF(F33="","기준점수 없음 - 평균에서 제외",IF(G33&gt;=STEP2,"크게 향상",IF(G33&gt;=STEP1,"유지·소폭 향상","하락"))))))</f>
        <v/>
      </c>
      <c r="K33" s="8"/>
      <c r="L33" s="8"/>
      <c r="M33" s="8"/>
      <c r="N33" s="8"/>
      <c r="P33" s="0" t="str">
        <f aca="false">IF(TRIM(K33&amp;"")="","",UPPER(TRIM(K33&amp;"")))</f>
        <v/>
      </c>
      <c r="Q33" s="0" t="str">
        <f aca="false">IF(P33="","",IF(ISNUMBER(N33),ROUND(N33,1),IF(AND(ISNUMBER(L33),ISNUMBER(M33)),IF(M33&gt;0,ROUND(L33/M33*100,1),""),"")))</f>
        <v/>
      </c>
      <c r="R33" s="0" t="str">
        <f aca="false">IF(P33="","",IF(COUNTIF(참가자!$A$3:$A$52,P33)=0,"명단에 없는 코드",""))</f>
        <v/>
      </c>
    </row>
    <row r="34" customFormat="false" ht="15" hidden="false" customHeight="false" outlineLevel="0" collapsed="false">
      <c r="A34" s="7" t="str">
        <f aca="false">IF(참가자!A34="","",UPPER(TRIM(참가자!A34)))</f>
        <v/>
      </c>
      <c r="B34" s="7" t="str">
        <f aca="false">IF(A34="","",IF(참가자!B34="","(팀 없음)",TRIM(참가자!B34)))</f>
        <v/>
      </c>
      <c r="C34" s="7" t="str">
        <f aca="false">IF(A34="","",IFERROR(INDEX($Q$3:$Q$102,MATCH(A34,$P$3:$P$102,0)),""))</f>
        <v/>
      </c>
      <c r="D34" s="7" t="str">
        <f aca="false">IF(A34="","",IF(C34="","결석","응시"))</f>
        <v/>
      </c>
      <c r="E34" s="7" t="str">
        <f aca="false">IF(A34="","",IF(COUNTIF($P$3:$P$102,A34)&gt;1,"중복! 확인",""))</f>
        <v/>
      </c>
      <c r="F34" s="7" t="str">
        <f aca="false">IF(A34="","",평가A!F34)</f>
        <v/>
      </c>
      <c r="G34" s="7" t="str">
        <f aca="false">IF(A34="","",IF(OR(C34="",F34=""),"",ROUND(C34-F34,1)))</f>
        <v/>
      </c>
      <c r="H34" s="7" t="str">
        <f aca="false">IF(A34="","",IF(C34="","",IF(C34&gt;=HIGH_CUT,PTS_HIGH,IF(F34="","",IF(G34&gt;=STEP2,PTS_HIGH,IF(G34&gt;=STEP1,PTS_MID,PTS_LOW))))))</f>
        <v/>
      </c>
      <c r="I34" s="7" t="str">
        <f aca="false">IF(A34="","",IF(C34="","결석 - 평균에서 제외",IF(C34&gt;=HIGH_CUT,"고득점 유지",IF(F34="","기준점수 없음 - 평균에서 제외",IF(G34&gt;=STEP2,"크게 향상",IF(G34&gt;=STEP1,"유지·소폭 향상","하락"))))))</f>
        <v/>
      </c>
      <c r="K34" s="8"/>
      <c r="L34" s="8"/>
      <c r="M34" s="8"/>
      <c r="N34" s="8"/>
      <c r="P34" s="0" t="str">
        <f aca="false">IF(TRIM(K34&amp;"")="","",UPPER(TRIM(K34&amp;"")))</f>
        <v/>
      </c>
      <c r="Q34" s="0" t="str">
        <f aca="false">IF(P34="","",IF(ISNUMBER(N34),ROUND(N34,1),IF(AND(ISNUMBER(L34),ISNUMBER(M34)),IF(M34&gt;0,ROUND(L34/M34*100,1),""),"")))</f>
        <v/>
      </c>
      <c r="R34" s="0" t="str">
        <f aca="false">IF(P34="","",IF(COUNTIF(참가자!$A$3:$A$52,P34)=0,"명단에 없는 코드",""))</f>
        <v/>
      </c>
    </row>
    <row r="35" customFormat="false" ht="15" hidden="false" customHeight="false" outlineLevel="0" collapsed="false">
      <c r="A35" s="7" t="str">
        <f aca="false">IF(참가자!A35="","",UPPER(TRIM(참가자!A35)))</f>
        <v/>
      </c>
      <c r="B35" s="7" t="str">
        <f aca="false">IF(A35="","",IF(참가자!B35="","(팀 없음)",TRIM(참가자!B35)))</f>
        <v/>
      </c>
      <c r="C35" s="7" t="str">
        <f aca="false">IF(A35="","",IFERROR(INDEX($Q$3:$Q$102,MATCH(A35,$P$3:$P$102,0)),""))</f>
        <v/>
      </c>
      <c r="D35" s="7" t="str">
        <f aca="false">IF(A35="","",IF(C35="","결석","응시"))</f>
        <v/>
      </c>
      <c r="E35" s="7" t="str">
        <f aca="false">IF(A35="","",IF(COUNTIF($P$3:$P$102,A35)&gt;1,"중복! 확인",""))</f>
        <v/>
      </c>
      <c r="F35" s="7" t="str">
        <f aca="false">IF(A35="","",평가A!F35)</f>
        <v/>
      </c>
      <c r="G35" s="7" t="str">
        <f aca="false">IF(A35="","",IF(OR(C35="",F35=""),"",ROUND(C35-F35,1)))</f>
        <v/>
      </c>
      <c r="H35" s="7" t="str">
        <f aca="false">IF(A35="","",IF(C35="","",IF(C35&gt;=HIGH_CUT,PTS_HIGH,IF(F35="","",IF(G35&gt;=STEP2,PTS_HIGH,IF(G35&gt;=STEP1,PTS_MID,PTS_LOW))))))</f>
        <v/>
      </c>
      <c r="I35" s="7" t="str">
        <f aca="false">IF(A35="","",IF(C35="","결석 - 평균에서 제외",IF(C35&gt;=HIGH_CUT,"고득점 유지",IF(F35="","기준점수 없음 - 평균에서 제외",IF(G35&gt;=STEP2,"크게 향상",IF(G35&gt;=STEP1,"유지·소폭 향상","하락"))))))</f>
        <v/>
      </c>
      <c r="K35" s="8"/>
      <c r="L35" s="8"/>
      <c r="M35" s="8"/>
      <c r="N35" s="8"/>
      <c r="P35" s="0" t="str">
        <f aca="false">IF(TRIM(K35&amp;"")="","",UPPER(TRIM(K35&amp;"")))</f>
        <v/>
      </c>
      <c r="Q35" s="0" t="str">
        <f aca="false">IF(P35="","",IF(ISNUMBER(N35),ROUND(N35,1),IF(AND(ISNUMBER(L35),ISNUMBER(M35)),IF(M35&gt;0,ROUND(L35/M35*100,1),""),"")))</f>
        <v/>
      </c>
      <c r="R35" s="0" t="str">
        <f aca="false">IF(P35="","",IF(COUNTIF(참가자!$A$3:$A$52,P35)=0,"명단에 없는 코드",""))</f>
        <v/>
      </c>
    </row>
    <row r="36" customFormat="false" ht="15" hidden="false" customHeight="false" outlineLevel="0" collapsed="false">
      <c r="A36" s="7" t="str">
        <f aca="false">IF(참가자!A36="","",UPPER(TRIM(참가자!A36)))</f>
        <v/>
      </c>
      <c r="B36" s="7" t="str">
        <f aca="false">IF(A36="","",IF(참가자!B36="","(팀 없음)",TRIM(참가자!B36)))</f>
        <v/>
      </c>
      <c r="C36" s="7" t="str">
        <f aca="false">IF(A36="","",IFERROR(INDEX($Q$3:$Q$102,MATCH(A36,$P$3:$P$102,0)),""))</f>
        <v/>
      </c>
      <c r="D36" s="7" t="str">
        <f aca="false">IF(A36="","",IF(C36="","결석","응시"))</f>
        <v/>
      </c>
      <c r="E36" s="7" t="str">
        <f aca="false">IF(A36="","",IF(COUNTIF($P$3:$P$102,A36)&gt;1,"중복! 확인",""))</f>
        <v/>
      </c>
      <c r="F36" s="7" t="str">
        <f aca="false">IF(A36="","",평가A!F36)</f>
        <v/>
      </c>
      <c r="G36" s="7" t="str">
        <f aca="false">IF(A36="","",IF(OR(C36="",F36=""),"",ROUND(C36-F36,1)))</f>
        <v/>
      </c>
      <c r="H36" s="7" t="str">
        <f aca="false">IF(A36="","",IF(C36="","",IF(C36&gt;=HIGH_CUT,PTS_HIGH,IF(F36="","",IF(G36&gt;=STEP2,PTS_HIGH,IF(G36&gt;=STEP1,PTS_MID,PTS_LOW))))))</f>
        <v/>
      </c>
      <c r="I36" s="7" t="str">
        <f aca="false">IF(A36="","",IF(C36="","결석 - 평균에서 제외",IF(C36&gt;=HIGH_CUT,"고득점 유지",IF(F36="","기준점수 없음 - 평균에서 제외",IF(G36&gt;=STEP2,"크게 향상",IF(G36&gt;=STEP1,"유지·소폭 향상","하락"))))))</f>
        <v/>
      </c>
      <c r="K36" s="8"/>
      <c r="L36" s="8"/>
      <c r="M36" s="8"/>
      <c r="N36" s="8"/>
      <c r="P36" s="0" t="str">
        <f aca="false">IF(TRIM(K36&amp;"")="","",UPPER(TRIM(K36&amp;"")))</f>
        <v/>
      </c>
      <c r="Q36" s="0" t="str">
        <f aca="false">IF(P36="","",IF(ISNUMBER(N36),ROUND(N36,1),IF(AND(ISNUMBER(L36),ISNUMBER(M36)),IF(M36&gt;0,ROUND(L36/M36*100,1),""),"")))</f>
        <v/>
      </c>
      <c r="R36" s="0" t="str">
        <f aca="false">IF(P36="","",IF(COUNTIF(참가자!$A$3:$A$52,P36)=0,"명단에 없는 코드",""))</f>
        <v/>
      </c>
    </row>
    <row r="37" customFormat="false" ht="15" hidden="false" customHeight="false" outlineLevel="0" collapsed="false">
      <c r="A37" s="7" t="str">
        <f aca="false">IF(참가자!A37="","",UPPER(TRIM(참가자!A37)))</f>
        <v/>
      </c>
      <c r="B37" s="7" t="str">
        <f aca="false">IF(A37="","",IF(참가자!B37="","(팀 없음)",TRIM(참가자!B37)))</f>
        <v/>
      </c>
      <c r="C37" s="7" t="str">
        <f aca="false">IF(A37="","",IFERROR(INDEX($Q$3:$Q$102,MATCH(A37,$P$3:$P$102,0)),""))</f>
        <v/>
      </c>
      <c r="D37" s="7" t="str">
        <f aca="false">IF(A37="","",IF(C37="","결석","응시"))</f>
        <v/>
      </c>
      <c r="E37" s="7" t="str">
        <f aca="false">IF(A37="","",IF(COUNTIF($P$3:$P$102,A37)&gt;1,"중복! 확인",""))</f>
        <v/>
      </c>
      <c r="F37" s="7" t="str">
        <f aca="false">IF(A37="","",평가A!F37)</f>
        <v/>
      </c>
      <c r="G37" s="7" t="str">
        <f aca="false">IF(A37="","",IF(OR(C37="",F37=""),"",ROUND(C37-F37,1)))</f>
        <v/>
      </c>
      <c r="H37" s="7" t="str">
        <f aca="false">IF(A37="","",IF(C37="","",IF(C37&gt;=HIGH_CUT,PTS_HIGH,IF(F37="","",IF(G37&gt;=STEP2,PTS_HIGH,IF(G37&gt;=STEP1,PTS_MID,PTS_LOW))))))</f>
        <v/>
      </c>
      <c r="I37" s="7" t="str">
        <f aca="false">IF(A37="","",IF(C37="","결석 - 평균에서 제외",IF(C37&gt;=HIGH_CUT,"고득점 유지",IF(F37="","기준점수 없음 - 평균에서 제외",IF(G37&gt;=STEP2,"크게 향상",IF(G37&gt;=STEP1,"유지·소폭 향상","하락"))))))</f>
        <v/>
      </c>
      <c r="K37" s="8"/>
      <c r="L37" s="8"/>
      <c r="M37" s="8"/>
      <c r="N37" s="8"/>
      <c r="P37" s="0" t="str">
        <f aca="false">IF(TRIM(K37&amp;"")="","",UPPER(TRIM(K37&amp;"")))</f>
        <v/>
      </c>
      <c r="Q37" s="0" t="str">
        <f aca="false">IF(P37="","",IF(ISNUMBER(N37),ROUND(N37,1),IF(AND(ISNUMBER(L37),ISNUMBER(M37)),IF(M37&gt;0,ROUND(L37/M37*100,1),""),"")))</f>
        <v/>
      </c>
      <c r="R37" s="0" t="str">
        <f aca="false">IF(P37="","",IF(COUNTIF(참가자!$A$3:$A$52,P37)=0,"명단에 없는 코드",""))</f>
        <v/>
      </c>
    </row>
    <row r="38" customFormat="false" ht="15" hidden="false" customHeight="false" outlineLevel="0" collapsed="false">
      <c r="A38" s="7" t="str">
        <f aca="false">IF(참가자!A38="","",UPPER(TRIM(참가자!A38)))</f>
        <v/>
      </c>
      <c r="B38" s="7" t="str">
        <f aca="false">IF(A38="","",IF(참가자!B38="","(팀 없음)",TRIM(참가자!B38)))</f>
        <v/>
      </c>
      <c r="C38" s="7" t="str">
        <f aca="false">IF(A38="","",IFERROR(INDEX($Q$3:$Q$102,MATCH(A38,$P$3:$P$102,0)),""))</f>
        <v/>
      </c>
      <c r="D38" s="7" t="str">
        <f aca="false">IF(A38="","",IF(C38="","결석","응시"))</f>
        <v/>
      </c>
      <c r="E38" s="7" t="str">
        <f aca="false">IF(A38="","",IF(COUNTIF($P$3:$P$102,A38)&gt;1,"중복! 확인",""))</f>
        <v/>
      </c>
      <c r="F38" s="7" t="str">
        <f aca="false">IF(A38="","",평가A!F38)</f>
        <v/>
      </c>
      <c r="G38" s="7" t="str">
        <f aca="false">IF(A38="","",IF(OR(C38="",F38=""),"",ROUND(C38-F38,1)))</f>
        <v/>
      </c>
      <c r="H38" s="7" t="str">
        <f aca="false">IF(A38="","",IF(C38="","",IF(C38&gt;=HIGH_CUT,PTS_HIGH,IF(F38="","",IF(G38&gt;=STEP2,PTS_HIGH,IF(G38&gt;=STEP1,PTS_MID,PTS_LOW))))))</f>
        <v/>
      </c>
      <c r="I38" s="7" t="str">
        <f aca="false">IF(A38="","",IF(C38="","결석 - 평균에서 제외",IF(C38&gt;=HIGH_CUT,"고득점 유지",IF(F38="","기준점수 없음 - 평균에서 제외",IF(G38&gt;=STEP2,"크게 향상",IF(G38&gt;=STEP1,"유지·소폭 향상","하락"))))))</f>
        <v/>
      </c>
      <c r="K38" s="8"/>
      <c r="L38" s="8"/>
      <c r="M38" s="8"/>
      <c r="N38" s="8"/>
      <c r="P38" s="0" t="str">
        <f aca="false">IF(TRIM(K38&amp;"")="","",UPPER(TRIM(K38&amp;"")))</f>
        <v/>
      </c>
      <c r="Q38" s="0" t="str">
        <f aca="false">IF(P38="","",IF(ISNUMBER(N38),ROUND(N38,1),IF(AND(ISNUMBER(L38),ISNUMBER(M38)),IF(M38&gt;0,ROUND(L38/M38*100,1),""),"")))</f>
        <v/>
      </c>
      <c r="R38" s="0" t="str">
        <f aca="false">IF(P38="","",IF(COUNTIF(참가자!$A$3:$A$52,P38)=0,"명단에 없는 코드",""))</f>
        <v/>
      </c>
    </row>
    <row r="39" customFormat="false" ht="15" hidden="false" customHeight="false" outlineLevel="0" collapsed="false">
      <c r="A39" s="7" t="str">
        <f aca="false">IF(참가자!A39="","",UPPER(TRIM(참가자!A39)))</f>
        <v/>
      </c>
      <c r="B39" s="7" t="str">
        <f aca="false">IF(A39="","",IF(참가자!B39="","(팀 없음)",TRIM(참가자!B39)))</f>
        <v/>
      </c>
      <c r="C39" s="7" t="str">
        <f aca="false">IF(A39="","",IFERROR(INDEX($Q$3:$Q$102,MATCH(A39,$P$3:$P$102,0)),""))</f>
        <v/>
      </c>
      <c r="D39" s="7" t="str">
        <f aca="false">IF(A39="","",IF(C39="","결석","응시"))</f>
        <v/>
      </c>
      <c r="E39" s="7" t="str">
        <f aca="false">IF(A39="","",IF(COUNTIF($P$3:$P$102,A39)&gt;1,"중복! 확인",""))</f>
        <v/>
      </c>
      <c r="F39" s="7" t="str">
        <f aca="false">IF(A39="","",평가A!F39)</f>
        <v/>
      </c>
      <c r="G39" s="7" t="str">
        <f aca="false">IF(A39="","",IF(OR(C39="",F39=""),"",ROUND(C39-F39,1)))</f>
        <v/>
      </c>
      <c r="H39" s="7" t="str">
        <f aca="false">IF(A39="","",IF(C39="","",IF(C39&gt;=HIGH_CUT,PTS_HIGH,IF(F39="","",IF(G39&gt;=STEP2,PTS_HIGH,IF(G39&gt;=STEP1,PTS_MID,PTS_LOW))))))</f>
        <v/>
      </c>
      <c r="I39" s="7" t="str">
        <f aca="false">IF(A39="","",IF(C39="","결석 - 평균에서 제외",IF(C39&gt;=HIGH_CUT,"고득점 유지",IF(F39="","기준점수 없음 - 평균에서 제외",IF(G39&gt;=STEP2,"크게 향상",IF(G39&gt;=STEP1,"유지·소폭 향상","하락"))))))</f>
        <v/>
      </c>
      <c r="K39" s="8"/>
      <c r="L39" s="8"/>
      <c r="M39" s="8"/>
      <c r="N39" s="8"/>
      <c r="P39" s="0" t="str">
        <f aca="false">IF(TRIM(K39&amp;"")="","",UPPER(TRIM(K39&amp;"")))</f>
        <v/>
      </c>
      <c r="Q39" s="0" t="str">
        <f aca="false">IF(P39="","",IF(ISNUMBER(N39),ROUND(N39,1),IF(AND(ISNUMBER(L39),ISNUMBER(M39)),IF(M39&gt;0,ROUND(L39/M39*100,1),""),"")))</f>
        <v/>
      </c>
      <c r="R39" s="0" t="str">
        <f aca="false">IF(P39="","",IF(COUNTIF(참가자!$A$3:$A$52,P39)=0,"명단에 없는 코드",""))</f>
        <v/>
      </c>
    </row>
    <row r="40" customFormat="false" ht="15" hidden="false" customHeight="false" outlineLevel="0" collapsed="false">
      <c r="A40" s="7" t="str">
        <f aca="false">IF(참가자!A40="","",UPPER(TRIM(참가자!A40)))</f>
        <v/>
      </c>
      <c r="B40" s="7" t="str">
        <f aca="false">IF(A40="","",IF(참가자!B40="","(팀 없음)",TRIM(참가자!B40)))</f>
        <v/>
      </c>
      <c r="C40" s="7" t="str">
        <f aca="false">IF(A40="","",IFERROR(INDEX($Q$3:$Q$102,MATCH(A40,$P$3:$P$102,0)),""))</f>
        <v/>
      </c>
      <c r="D40" s="7" t="str">
        <f aca="false">IF(A40="","",IF(C40="","결석","응시"))</f>
        <v/>
      </c>
      <c r="E40" s="7" t="str">
        <f aca="false">IF(A40="","",IF(COUNTIF($P$3:$P$102,A40)&gt;1,"중복! 확인",""))</f>
        <v/>
      </c>
      <c r="F40" s="7" t="str">
        <f aca="false">IF(A40="","",평가A!F40)</f>
        <v/>
      </c>
      <c r="G40" s="7" t="str">
        <f aca="false">IF(A40="","",IF(OR(C40="",F40=""),"",ROUND(C40-F40,1)))</f>
        <v/>
      </c>
      <c r="H40" s="7" t="str">
        <f aca="false">IF(A40="","",IF(C40="","",IF(C40&gt;=HIGH_CUT,PTS_HIGH,IF(F40="","",IF(G40&gt;=STEP2,PTS_HIGH,IF(G40&gt;=STEP1,PTS_MID,PTS_LOW))))))</f>
        <v/>
      </c>
      <c r="I40" s="7" t="str">
        <f aca="false">IF(A40="","",IF(C40="","결석 - 평균에서 제외",IF(C40&gt;=HIGH_CUT,"고득점 유지",IF(F40="","기준점수 없음 - 평균에서 제외",IF(G40&gt;=STEP2,"크게 향상",IF(G40&gt;=STEP1,"유지·소폭 향상","하락"))))))</f>
        <v/>
      </c>
      <c r="K40" s="8"/>
      <c r="L40" s="8"/>
      <c r="M40" s="8"/>
      <c r="N40" s="8"/>
      <c r="P40" s="0" t="str">
        <f aca="false">IF(TRIM(K40&amp;"")="","",UPPER(TRIM(K40&amp;"")))</f>
        <v/>
      </c>
      <c r="Q40" s="0" t="str">
        <f aca="false">IF(P40="","",IF(ISNUMBER(N40),ROUND(N40,1),IF(AND(ISNUMBER(L40),ISNUMBER(M40)),IF(M40&gt;0,ROUND(L40/M40*100,1),""),"")))</f>
        <v/>
      </c>
      <c r="R40" s="0" t="str">
        <f aca="false">IF(P40="","",IF(COUNTIF(참가자!$A$3:$A$52,P40)=0,"명단에 없는 코드",""))</f>
        <v/>
      </c>
    </row>
    <row r="41" customFormat="false" ht="15" hidden="false" customHeight="false" outlineLevel="0" collapsed="false">
      <c r="A41" s="7" t="str">
        <f aca="false">IF(참가자!A41="","",UPPER(TRIM(참가자!A41)))</f>
        <v/>
      </c>
      <c r="B41" s="7" t="str">
        <f aca="false">IF(A41="","",IF(참가자!B41="","(팀 없음)",TRIM(참가자!B41)))</f>
        <v/>
      </c>
      <c r="C41" s="7" t="str">
        <f aca="false">IF(A41="","",IFERROR(INDEX($Q$3:$Q$102,MATCH(A41,$P$3:$P$102,0)),""))</f>
        <v/>
      </c>
      <c r="D41" s="7" t="str">
        <f aca="false">IF(A41="","",IF(C41="","결석","응시"))</f>
        <v/>
      </c>
      <c r="E41" s="7" t="str">
        <f aca="false">IF(A41="","",IF(COUNTIF($P$3:$P$102,A41)&gt;1,"중복! 확인",""))</f>
        <v/>
      </c>
      <c r="F41" s="7" t="str">
        <f aca="false">IF(A41="","",평가A!F41)</f>
        <v/>
      </c>
      <c r="G41" s="7" t="str">
        <f aca="false">IF(A41="","",IF(OR(C41="",F41=""),"",ROUND(C41-F41,1)))</f>
        <v/>
      </c>
      <c r="H41" s="7" t="str">
        <f aca="false">IF(A41="","",IF(C41="","",IF(C41&gt;=HIGH_CUT,PTS_HIGH,IF(F41="","",IF(G41&gt;=STEP2,PTS_HIGH,IF(G41&gt;=STEP1,PTS_MID,PTS_LOW))))))</f>
        <v/>
      </c>
      <c r="I41" s="7" t="str">
        <f aca="false">IF(A41="","",IF(C41="","결석 - 평균에서 제외",IF(C41&gt;=HIGH_CUT,"고득점 유지",IF(F41="","기준점수 없음 - 평균에서 제외",IF(G41&gt;=STEP2,"크게 향상",IF(G41&gt;=STEP1,"유지·소폭 향상","하락"))))))</f>
        <v/>
      </c>
      <c r="K41" s="8"/>
      <c r="L41" s="8"/>
      <c r="M41" s="8"/>
      <c r="N41" s="8"/>
      <c r="P41" s="0" t="str">
        <f aca="false">IF(TRIM(K41&amp;"")="","",UPPER(TRIM(K41&amp;"")))</f>
        <v/>
      </c>
      <c r="Q41" s="0" t="str">
        <f aca="false">IF(P41="","",IF(ISNUMBER(N41),ROUND(N41,1),IF(AND(ISNUMBER(L41),ISNUMBER(M41)),IF(M41&gt;0,ROUND(L41/M41*100,1),""),"")))</f>
        <v/>
      </c>
      <c r="R41" s="0" t="str">
        <f aca="false">IF(P41="","",IF(COUNTIF(참가자!$A$3:$A$52,P41)=0,"명단에 없는 코드",""))</f>
        <v/>
      </c>
    </row>
    <row r="42" customFormat="false" ht="15" hidden="false" customHeight="false" outlineLevel="0" collapsed="false">
      <c r="A42" s="7" t="str">
        <f aca="false">IF(참가자!A42="","",UPPER(TRIM(참가자!A42)))</f>
        <v/>
      </c>
      <c r="B42" s="7" t="str">
        <f aca="false">IF(A42="","",IF(참가자!B42="","(팀 없음)",TRIM(참가자!B42)))</f>
        <v/>
      </c>
      <c r="C42" s="7" t="str">
        <f aca="false">IF(A42="","",IFERROR(INDEX($Q$3:$Q$102,MATCH(A42,$P$3:$P$102,0)),""))</f>
        <v/>
      </c>
      <c r="D42" s="7" t="str">
        <f aca="false">IF(A42="","",IF(C42="","결석","응시"))</f>
        <v/>
      </c>
      <c r="E42" s="7" t="str">
        <f aca="false">IF(A42="","",IF(COUNTIF($P$3:$P$102,A42)&gt;1,"중복! 확인",""))</f>
        <v/>
      </c>
      <c r="F42" s="7" t="str">
        <f aca="false">IF(A42="","",평가A!F42)</f>
        <v/>
      </c>
      <c r="G42" s="7" t="str">
        <f aca="false">IF(A42="","",IF(OR(C42="",F42=""),"",ROUND(C42-F42,1)))</f>
        <v/>
      </c>
      <c r="H42" s="7" t="str">
        <f aca="false">IF(A42="","",IF(C42="","",IF(C42&gt;=HIGH_CUT,PTS_HIGH,IF(F42="","",IF(G42&gt;=STEP2,PTS_HIGH,IF(G42&gt;=STEP1,PTS_MID,PTS_LOW))))))</f>
        <v/>
      </c>
      <c r="I42" s="7" t="str">
        <f aca="false">IF(A42="","",IF(C42="","결석 - 평균에서 제외",IF(C42&gt;=HIGH_CUT,"고득점 유지",IF(F42="","기준점수 없음 - 평균에서 제외",IF(G42&gt;=STEP2,"크게 향상",IF(G42&gt;=STEP1,"유지·소폭 향상","하락"))))))</f>
        <v/>
      </c>
      <c r="K42" s="8"/>
      <c r="L42" s="8"/>
      <c r="M42" s="8"/>
      <c r="N42" s="8"/>
      <c r="P42" s="0" t="str">
        <f aca="false">IF(TRIM(K42&amp;"")="","",UPPER(TRIM(K42&amp;"")))</f>
        <v/>
      </c>
      <c r="Q42" s="0" t="str">
        <f aca="false">IF(P42="","",IF(ISNUMBER(N42),ROUND(N42,1),IF(AND(ISNUMBER(L42),ISNUMBER(M42)),IF(M42&gt;0,ROUND(L42/M42*100,1),""),"")))</f>
        <v/>
      </c>
      <c r="R42" s="0" t="str">
        <f aca="false">IF(P42="","",IF(COUNTIF(참가자!$A$3:$A$52,P42)=0,"명단에 없는 코드",""))</f>
        <v/>
      </c>
    </row>
    <row r="43" customFormat="false" ht="15" hidden="false" customHeight="false" outlineLevel="0" collapsed="false">
      <c r="A43" s="7" t="str">
        <f aca="false">IF(참가자!A43="","",UPPER(TRIM(참가자!A43)))</f>
        <v/>
      </c>
      <c r="B43" s="7" t="str">
        <f aca="false">IF(A43="","",IF(참가자!B43="","(팀 없음)",TRIM(참가자!B43)))</f>
        <v/>
      </c>
      <c r="C43" s="7" t="str">
        <f aca="false">IF(A43="","",IFERROR(INDEX($Q$3:$Q$102,MATCH(A43,$P$3:$P$102,0)),""))</f>
        <v/>
      </c>
      <c r="D43" s="7" t="str">
        <f aca="false">IF(A43="","",IF(C43="","결석","응시"))</f>
        <v/>
      </c>
      <c r="E43" s="7" t="str">
        <f aca="false">IF(A43="","",IF(COUNTIF($P$3:$P$102,A43)&gt;1,"중복! 확인",""))</f>
        <v/>
      </c>
      <c r="F43" s="7" t="str">
        <f aca="false">IF(A43="","",평가A!F43)</f>
        <v/>
      </c>
      <c r="G43" s="7" t="str">
        <f aca="false">IF(A43="","",IF(OR(C43="",F43=""),"",ROUND(C43-F43,1)))</f>
        <v/>
      </c>
      <c r="H43" s="7" t="str">
        <f aca="false">IF(A43="","",IF(C43="","",IF(C43&gt;=HIGH_CUT,PTS_HIGH,IF(F43="","",IF(G43&gt;=STEP2,PTS_HIGH,IF(G43&gt;=STEP1,PTS_MID,PTS_LOW))))))</f>
        <v/>
      </c>
      <c r="I43" s="7" t="str">
        <f aca="false">IF(A43="","",IF(C43="","결석 - 평균에서 제외",IF(C43&gt;=HIGH_CUT,"고득점 유지",IF(F43="","기준점수 없음 - 평균에서 제외",IF(G43&gt;=STEP2,"크게 향상",IF(G43&gt;=STEP1,"유지·소폭 향상","하락"))))))</f>
        <v/>
      </c>
      <c r="K43" s="8"/>
      <c r="L43" s="8"/>
      <c r="M43" s="8"/>
      <c r="N43" s="8"/>
      <c r="P43" s="0" t="str">
        <f aca="false">IF(TRIM(K43&amp;"")="","",UPPER(TRIM(K43&amp;"")))</f>
        <v/>
      </c>
      <c r="Q43" s="0" t="str">
        <f aca="false">IF(P43="","",IF(ISNUMBER(N43),ROUND(N43,1),IF(AND(ISNUMBER(L43),ISNUMBER(M43)),IF(M43&gt;0,ROUND(L43/M43*100,1),""),"")))</f>
        <v/>
      </c>
      <c r="R43" s="0" t="str">
        <f aca="false">IF(P43="","",IF(COUNTIF(참가자!$A$3:$A$52,P43)=0,"명단에 없는 코드",""))</f>
        <v/>
      </c>
    </row>
    <row r="44" customFormat="false" ht="15" hidden="false" customHeight="false" outlineLevel="0" collapsed="false">
      <c r="A44" s="7" t="str">
        <f aca="false">IF(참가자!A44="","",UPPER(TRIM(참가자!A44)))</f>
        <v/>
      </c>
      <c r="B44" s="7" t="str">
        <f aca="false">IF(A44="","",IF(참가자!B44="","(팀 없음)",TRIM(참가자!B44)))</f>
        <v/>
      </c>
      <c r="C44" s="7" t="str">
        <f aca="false">IF(A44="","",IFERROR(INDEX($Q$3:$Q$102,MATCH(A44,$P$3:$P$102,0)),""))</f>
        <v/>
      </c>
      <c r="D44" s="7" t="str">
        <f aca="false">IF(A44="","",IF(C44="","결석","응시"))</f>
        <v/>
      </c>
      <c r="E44" s="7" t="str">
        <f aca="false">IF(A44="","",IF(COUNTIF($P$3:$P$102,A44)&gt;1,"중복! 확인",""))</f>
        <v/>
      </c>
      <c r="F44" s="7" t="str">
        <f aca="false">IF(A44="","",평가A!F44)</f>
        <v/>
      </c>
      <c r="G44" s="7" t="str">
        <f aca="false">IF(A44="","",IF(OR(C44="",F44=""),"",ROUND(C44-F44,1)))</f>
        <v/>
      </c>
      <c r="H44" s="7" t="str">
        <f aca="false">IF(A44="","",IF(C44="","",IF(C44&gt;=HIGH_CUT,PTS_HIGH,IF(F44="","",IF(G44&gt;=STEP2,PTS_HIGH,IF(G44&gt;=STEP1,PTS_MID,PTS_LOW))))))</f>
        <v/>
      </c>
      <c r="I44" s="7" t="str">
        <f aca="false">IF(A44="","",IF(C44="","결석 - 평균에서 제외",IF(C44&gt;=HIGH_CUT,"고득점 유지",IF(F44="","기준점수 없음 - 평균에서 제외",IF(G44&gt;=STEP2,"크게 향상",IF(G44&gt;=STEP1,"유지·소폭 향상","하락"))))))</f>
        <v/>
      </c>
      <c r="K44" s="8"/>
      <c r="L44" s="8"/>
      <c r="M44" s="8"/>
      <c r="N44" s="8"/>
      <c r="P44" s="0" t="str">
        <f aca="false">IF(TRIM(K44&amp;"")="","",UPPER(TRIM(K44&amp;"")))</f>
        <v/>
      </c>
      <c r="Q44" s="0" t="str">
        <f aca="false">IF(P44="","",IF(ISNUMBER(N44),ROUND(N44,1),IF(AND(ISNUMBER(L44),ISNUMBER(M44)),IF(M44&gt;0,ROUND(L44/M44*100,1),""),"")))</f>
        <v/>
      </c>
      <c r="R44" s="0" t="str">
        <f aca="false">IF(P44="","",IF(COUNTIF(참가자!$A$3:$A$52,P44)=0,"명단에 없는 코드",""))</f>
        <v/>
      </c>
    </row>
    <row r="45" customFormat="false" ht="15" hidden="false" customHeight="false" outlineLevel="0" collapsed="false">
      <c r="A45" s="7" t="str">
        <f aca="false">IF(참가자!A45="","",UPPER(TRIM(참가자!A45)))</f>
        <v/>
      </c>
      <c r="B45" s="7" t="str">
        <f aca="false">IF(A45="","",IF(참가자!B45="","(팀 없음)",TRIM(참가자!B45)))</f>
        <v/>
      </c>
      <c r="C45" s="7" t="str">
        <f aca="false">IF(A45="","",IFERROR(INDEX($Q$3:$Q$102,MATCH(A45,$P$3:$P$102,0)),""))</f>
        <v/>
      </c>
      <c r="D45" s="7" t="str">
        <f aca="false">IF(A45="","",IF(C45="","결석","응시"))</f>
        <v/>
      </c>
      <c r="E45" s="7" t="str">
        <f aca="false">IF(A45="","",IF(COUNTIF($P$3:$P$102,A45)&gt;1,"중복! 확인",""))</f>
        <v/>
      </c>
      <c r="F45" s="7" t="str">
        <f aca="false">IF(A45="","",평가A!F45)</f>
        <v/>
      </c>
      <c r="G45" s="7" t="str">
        <f aca="false">IF(A45="","",IF(OR(C45="",F45=""),"",ROUND(C45-F45,1)))</f>
        <v/>
      </c>
      <c r="H45" s="7" t="str">
        <f aca="false">IF(A45="","",IF(C45="","",IF(C45&gt;=HIGH_CUT,PTS_HIGH,IF(F45="","",IF(G45&gt;=STEP2,PTS_HIGH,IF(G45&gt;=STEP1,PTS_MID,PTS_LOW))))))</f>
        <v/>
      </c>
      <c r="I45" s="7" t="str">
        <f aca="false">IF(A45="","",IF(C45="","결석 - 평균에서 제외",IF(C45&gt;=HIGH_CUT,"고득점 유지",IF(F45="","기준점수 없음 - 평균에서 제외",IF(G45&gt;=STEP2,"크게 향상",IF(G45&gt;=STEP1,"유지·소폭 향상","하락"))))))</f>
        <v/>
      </c>
      <c r="K45" s="8"/>
      <c r="L45" s="8"/>
      <c r="M45" s="8"/>
      <c r="N45" s="8"/>
      <c r="P45" s="0" t="str">
        <f aca="false">IF(TRIM(K45&amp;"")="","",UPPER(TRIM(K45&amp;"")))</f>
        <v/>
      </c>
      <c r="Q45" s="0" t="str">
        <f aca="false">IF(P45="","",IF(ISNUMBER(N45),ROUND(N45,1),IF(AND(ISNUMBER(L45),ISNUMBER(M45)),IF(M45&gt;0,ROUND(L45/M45*100,1),""),"")))</f>
        <v/>
      </c>
      <c r="R45" s="0" t="str">
        <f aca="false">IF(P45="","",IF(COUNTIF(참가자!$A$3:$A$52,P45)=0,"명단에 없는 코드",""))</f>
        <v/>
      </c>
    </row>
    <row r="46" customFormat="false" ht="15" hidden="false" customHeight="false" outlineLevel="0" collapsed="false">
      <c r="A46" s="7" t="str">
        <f aca="false">IF(참가자!A46="","",UPPER(TRIM(참가자!A46)))</f>
        <v/>
      </c>
      <c r="B46" s="7" t="str">
        <f aca="false">IF(A46="","",IF(참가자!B46="","(팀 없음)",TRIM(참가자!B46)))</f>
        <v/>
      </c>
      <c r="C46" s="7" t="str">
        <f aca="false">IF(A46="","",IFERROR(INDEX($Q$3:$Q$102,MATCH(A46,$P$3:$P$102,0)),""))</f>
        <v/>
      </c>
      <c r="D46" s="7" t="str">
        <f aca="false">IF(A46="","",IF(C46="","결석","응시"))</f>
        <v/>
      </c>
      <c r="E46" s="7" t="str">
        <f aca="false">IF(A46="","",IF(COUNTIF($P$3:$P$102,A46)&gt;1,"중복! 확인",""))</f>
        <v/>
      </c>
      <c r="F46" s="7" t="str">
        <f aca="false">IF(A46="","",평가A!F46)</f>
        <v/>
      </c>
      <c r="G46" s="7" t="str">
        <f aca="false">IF(A46="","",IF(OR(C46="",F46=""),"",ROUND(C46-F46,1)))</f>
        <v/>
      </c>
      <c r="H46" s="7" t="str">
        <f aca="false">IF(A46="","",IF(C46="","",IF(C46&gt;=HIGH_CUT,PTS_HIGH,IF(F46="","",IF(G46&gt;=STEP2,PTS_HIGH,IF(G46&gt;=STEP1,PTS_MID,PTS_LOW))))))</f>
        <v/>
      </c>
      <c r="I46" s="7" t="str">
        <f aca="false">IF(A46="","",IF(C46="","결석 - 평균에서 제외",IF(C46&gt;=HIGH_CUT,"고득점 유지",IF(F46="","기준점수 없음 - 평균에서 제외",IF(G46&gt;=STEP2,"크게 향상",IF(G46&gt;=STEP1,"유지·소폭 향상","하락"))))))</f>
        <v/>
      </c>
      <c r="K46" s="8"/>
      <c r="L46" s="8"/>
      <c r="M46" s="8"/>
      <c r="N46" s="8"/>
      <c r="P46" s="0" t="str">
        <f aca="false">IF(TRIM(K46&amp;"")="","",UPPER(TRIM(K46&amp;"")))</f>
        <v/>
      </c>
      <c r="Q46" s="0" t="str">
        <f aca="false">IF(P46="","",IF(ISNUMBER(N46),ROUND(N46,1),IF(AND(ISNUMBER(L46),ISNUMBER(M46)),IF(M46&gt;0,ROUND(L46/M46*100,1),""),"")))</f>
        <v/>
      </c>
      <c r="R46" s="0" t="str">
        <f aca="false">IF(P46="","",IF(COUNTIF(참가자!$A$3:$A$52,P46)=0,"명단에 없는 코드",""))</f>
        <v/>
      </c>
    </row>
    <row r="47" customFormat="false" ht="15" hidden="false" customHeight="false" outlineLevel="0" collapsed="false">
      <c r="A47" s="7" t="str">
        <f aca="false">IF(참가자!A47="","",UPPER(TRIM(참가자!A47)))</f>
        <v/>
      </c>
      <c r="B47" s="7" t="str">
        <f aca="false">IF(A47="","",IF(참가자!B47="","(팀 없음)",TRIM(참가자!B47)))</f>
        <v/>
      </c>
      <c r="C47" s="7" t="str">
        <f aca="false">IF(A47="","",IFERROR(INDEX($Q$3:$Q$102,MATCH(A47,$P$3:$P$102,0)),""))</f>
        <v/>
      </c>
      <c r="D47" s="7" t="str">
        <f aca="false">IF(A47="","",IF(C47="","결석","응시"))</f>
        <v/>
      </c>
      <c r="E47" s="7" t="str">
        <f aca="false">IF(A47="","",IF(COUNTIF($P$3:$P$102,A47)&gt;1,"중복! 확인",""))</f>
        <v/>
      </c>
      <c r="F47" s="7" t="str">
        <f aca="false">IF(A47="","",평가A!F47)</f>
        <v/>
      </c>
      <c r="G47" s="7" t="str">
        <f aca="false">IF(A47="","",IF(OR(C47="",F47=""),"",ROUND(C47-F47,1)))</f>
        <v/>
      </c>
      <c r="H47" s="7" t="str">
        <f aca="false">IF(A47="","",IF(C47="","",IF(C47&gt;=HIGH_CUT,PTS_HIGH,IF(F47="","",IF(G47&gt;=STEP2,PTS_HIGH,IF(G47&gt;=STEP1,PTS_MID,PTS_LOW))))))</f>
        <v/>
      </c>
      <c r="I47" s="7" t="str">
        <f aca="false">IF(A47="","",IF(C47="","결석 - 평균에서 제외",IF(C47&gt;=HIGH_CUT,"고득점 유지",IF(F47="","기준점수 없음 - 평균에서 제외",IF(G47&gt;=STEP2,"크게 향상",IF(G47&gt;=STEP1,"유지·소폭 향상","하락"))))))</f>
        <v/>
      </c>
      <c r="K47" s="8"/>
      <c r="L47" s="8"/>
      <c r="M47" s="8"/>
      <c r="N47" s="8"/>
      <c r="P47" s="0" t="str">
        <f aca="false">IF(TRIM(K47&amp;"")="","",UPPER(TRIM(K47&amp;"")))</f>
        <v/>
      </c>
      <c r="Q47" s="0" t="str">
        <f aca="false">IF(P47="","",IF(ISNUMBER(N47),ROUND(N47,1),IF(AND(ISNUMBER(L47),ISNUMBER(M47)),IF(M47&gt;0,ROUND(L47/M47*100,1),""),"")))</f>
        <v/>
      </c>
      <c r="R47" s="0" t="str">
        <f aca="false">IF(P47="","",IF(COUNTIF(참가자!$A$3:$A$52,P47)=0,"명단에 없는 코드",""))</f>
        <v/>
      </c>
    </row>
    <row r="48" customFormat="false" ht="15" hidden="false" customHeight="false" outlineLevel="0" collapsed="false">
      <c r="A48" s="7" t="str">
        <f aca="false">IF(참가자!A48="","",UPPER(TRIM(참가자!A48)))</f>
        <v/>
      </c>
      <c r="B48" s="7" t="str">
        <f aca="false">IF(A48="","",IF(참가자!B48="","(팀 없음)",TRIM(참가자!B48)))</f>
        <v/>
      </c>
      <c r="C48" s="7" t="str">
        <f aca="false">IF(A48="","",IFERROR(INDEX($Q$3:$Q$102,MATCH(A48,$P$3:$P$102,0)),""))</f>
        <v/>
      </c>
      <c r="D48" s="7" t="str">
        <f aca="false">IF(A48="","",IF(C48="","결석","응시"))</f>
        <v/>
      </c>
      <c r="E48" s="7" t="str">
        <f aca="false">IF(A48="","",IF(COUNTIF($P$3:$P$102,A48)&gt;1,"중복! 확인",""))</f>
        <v/>
      </c>
      <c r="F48" s="7" t="str">
        <f aca="false">IF(A48="","",평가A!F48)</f>
        <v/>
      </c>
      <c r="G48" s="7" t="str">
        <f aca="false">IF(A48="","",IF(OR(C48="",F48=""),"",ROUND(C48-F48,1)))</f>
        <v/>
      </c>
      <c r="H48" s="7" t="str">
        <f aca="false">IF(A48="","",IF(C48="","",IF(C48&gt;=HIGH_CUT,PTS_HIGH,IF(F48="","",IF(G48&gt;=STEP2,PTS_HIGH,IF(G48&gt;=STEP1,PTS_MID,PTS_LOW))))))</f>
        <v/>
      </c>
      <c r="I48" s="7" t="str">
        <f aca="false">IF(A48="","",IF(C48="","결석 - 평균에서 제외",IF(C48&gt;=HIGH_CUT,"고득점 유지",IF(F48="","기준점수 없음 - 평균에서 제외",IF(G48&gt;=STEP2,"크게 향상",IF(G48&gt;=STEP1,"유지·소폭 향상","하락"))))))</f>
        <v/>
      </c>
      <c r="K48" s="8"/>
      <c r="L48" s="8"/>
      <c r="M48" s="8"/>
      <c r="N48" s="8"/>
      <c r="P48" s="0" t="str">
        <f aca="false">IF(TRIM(K48&amp;"")="","",UPPER(TRIM(K48&amp;"")))</f>
        <v/>
      </c>
      <c r="Q48" s="0" t="str">
        <f aca="false">IF(P48="","",IF(ISNUMBER(N48),ROUND(N48,1),IF(AND(ISNUMBER(L48),ISNUMBER(M48)),IF(M48&gt;0,ROUND(L48/M48*100,1),""),"")))</f>
        <v/>
      </c>
      <c r="R48" s="0" t="str">
        <f aca="false">IF(P48="","",IF(COUNTIF(참가자!$A$3:$A$52,P48)=0,"명단에 없는 코드",""))</f>
        <v/>
      </c>
    </row>
    <row r="49" customFormat="false" ht="15" hidden="false" customHeight="false" outlineLevel="0" collapsed="false">
      <c r="A49" s="7" t="str">
        <f aca="false">IF(참가자!A49="","",UPPER(TRIM(참가자!A49)))</f>
        <v/>
      </c>
      <c r="B49" s="7" t="str">
        <f aca="false">IF(A49="","",IF(참가자!B49="","(팀 없음)",TRIM(참가자!B49)))</f>
        <v/>
      </c>
      <c r="C49" s="7" t="str">
        <f aca="false">IF(A49="","",IFERROR(INDEX($Q$3:$Q$102,MATCH(A49,$P$3:$P$102,0)),""))</f>
        <v/>
      </c>
      <c r="D49" s="7" t="str">
        <f aca="false">IF(A49="","",IF(C49="","결석","응시"))</f>
        <v/>
      </c>
      <c r="E49" s="7" t="str">
        <f aca="false">IF(A49="","",IF(COUNTIF($P$3:$P$102,A49)&gt;1,"중복! 확인",""))</f>
        <v/>
      </c>
      <c r="F49" s="7" t="str">
        <f aca="false">IF(A49="","",평가A!F49)</f>
        <v/>
      </c>
      <c r="G49" s="7" t="str">
        <f aca="false">IF(A49="","",IF(OR(C49="",F49=""),"",ROUND(C49-F49,1)))</f>
        <v/>
      </c>
      <c r="H49" s="7" t="str">
        <f aca="false">IF(A49="","",IF(C49="","",IF(C49&gt;=HIGH_CUT,PTS_HIGH,IF(F49="","",IF(G49&gt;=STEP2,PTS_HIGH,IF(G49&gt;=STEP1,PTS_MID,PTS_LOW))))))</f>
        <v/>
      </c>
      <c r="I49" s="7" t="str">
        <f aca="false">IF(A49="","",IF(C49="","결석 - 평균에서 제외",IF(C49&gt;=HIGH_CUT,"고득점 유지",IF(F49="","기준점수 없음 - 평균에서 제외",IF(G49&gt;=STEP2,"크게 향상",IF(G49&gt;=STEP1,"유지·소폭 향상","하락"))))))</f>
        <v/>
      </c>
      <c r="K49" s="8"/>
      <c r="L49" s="8"/>
      <c r="M49" s="8"/>
      <c r="N49" s="8"/>
      <c r="P49" s="0" t="str">
        <f aca="false">IF(TRIM(K49&amp;"")="","",UPPER(TRIM(K49&amp;"")))</f>
        <v/>
      </c>
      <c r="Q49" s="0" t="str">
        <f aca="false">IF(P49="","",IF(ISNUMBER(N49),ROUND(N49,1),IF(AND(ISNUMBER(L49),ISNUMBER(M49)),IF(M49&gt;0,ROUND(L49/M49*100,1),""),"")))</f>
        <v/>
      </c>
      <c r="R49" s="0" t="str">
        <f aca="false">IF(P49="","",IF(COUNTIF(참가자!$A$3:$A$52,P49)=0,"명단에 없는 코드",""))</f>
        <v/>
      </c>
    </row>
    <row r="50" customFormat="false" ht="15" hidden="false" customHeight="false" outlineLevel="0" collapsed="false">
      <c r="A50" s="7" t="str">
        <f aca="false">IF(참가자!A50="","",UPPER(TRIM(참가자!A50)))</f>
        <v/>
      </c>
      <c r="B50" s="7" t="str">
        <f aca="false">IF(A50="","",IF(참가자!B50="","(팀 없음)",TRIM(참가자!B50)))</f>
        <v/>
      </c>
      <c r="C50" s="7" t="str">
        <f aca="false">IF(A50="","",IFERROR(INDEX($Q$3:$Q$102,MATCH(A50,$P$3:$P$102,0)),""))</f>
        <v/>
      </c>
      <c r="D50" s="7" t="str">
        <f aca="false">IF(A50="","",IF(C50="","결석","응시"))</f>
        <v/>
      </c>
      <c r="E50" s="7" t="str">
        <f aca="false">IF(A50="","",IF(COUNTIF($P$3:$P$102,A50)&gt;1,"중복! 확인",""))</f>
        <v/>
      </c>
      <c r="F50" s="7" t="str">
        <f aca="false">IF(A50="","",평가A!F50)</f>
        <v/>
      </c>
      <c r="G50" s="7" t="str">
        <f aca="false">IF(A50="","",IF(OR(C50="",F50=""),"",ROUND(C50-F50,1)))</f>
        <v/>
      </c>
      <c r="H50" s="7" t="str">
        <f aca="false">IF(A50="","",IF(C50="","",IF(C50&gt;=HIGH_CUT,PTS_HIGH,IF(F50="","",IF(G50&gt;=STEP2,PTS_HIGH,IF(G50&gt;=STEP1,PTS_MID,PTS_LOW))))))</f>
        <v/>
      </c>
      <c r="I50" s="7" t="str">
        <f aca="false">IF(A50="","",IF(C50="","결석 - 평균에서 제외",IF(C50&gt;=HIGH_CUT,"고득점 유지",IF(F50="","기준점수 없음 - 평균에서 제외",IF(G50&gt;=STEP2,"크게 향상",IF(G50&gt;=STEP1,"유지·소폭 향상","하락"))))))</f>
        <v/>
      </c>
      <c r="K50" s="8"/>
      <c r="L50" s="8"/>
      <c r="M50" s="8"/>
      <c r="N50" s="8"/>
      <c r="P50" s="0" t="str">
        <f aca="false">IF(TRIM(K50&amp;"")="","",UPPER(TRIM(K50&amp;"")))</f>
        <v/>
      </c>
      <c r="Q50" s="0" t="str">
        <f aca="false">IF(P50="","",IF(ISNUMBER(N50),ROUND(N50,1),IF(AND(ISNUMBER(L50),ISNUMBER(M50)),IF(M50&gt;0,ROUND(L50/M50*100,1),""),"")))</f>
        <v/>
      </c>
      <c r="R50" s="0" t="str">
        <f aca="false">IF(P50="","",IF(COUNTIF(참가자!$A$3:$A$52,P50)=0,"명단에 없는 코드",""))</f>
        <v/>
      </c>
    </row>
    <row r="51" customFormat="false" ht="15" hidden="false" customHeight="false" outlineLevel="0" collapsed="false">
      <c r="A51" s="7" t="str">
        <f aca="false">IF(참가자!A51="","",UPPER(TRIM(참가자!A51)))</f>
        <v/>
      </c>
      <c r="B51" s="7" t="str">
        <f aca="false">IF(A51="","",IF(참가자!B51="","(팀 없음)",TRIM(참가자!B51)))</f>
        <v/>
      </c>
      <c r="C51" s="7" t="str">
        <f aca="false">IF(A51="","",IFERROR(INDEX($Q$3:$Q$102,MATCH(A51,$P$3:$P$102,0)),""))</f>
        <v/>
      </c>
      <c r="D51" s="7" t="str">
        <f aca="false">IF(A51="","",IF(C51="","결석","응시"))</f>
        <v/>
      </c>
      <c r="E51" s="7" t="str">
        <f aca="false">IF(A51="","",IF(COUNTIF($P$3:$P$102,A51)&gt;1,"중복! 확인",""))</f>
        <v/>
      </c>
      <c r="F51" s="7" t="str">
        <f aca="false">IF(A51="","",평가A!F51)</f>
        <v/>
      </c>
      <c r="G51" s="7" t="str">
        <f aca="false">IF(A51="","",IF(OR(C51="",F51=""),"",ROUND(C51-F51,1)))</f>
        <v/>
      </c>
      <c r="H51" s="7" t="str">
        <f aca="false">IF(A51="","",IF(C51="","",IF(C51&gt;=HIGH_CUT,PTS_HIGH,IF(F51="","",IF(G51&gt;=STEP2,PTS_HIGH,IF(G51&gt;=STEP1,PTS_MID,PTS_LOW))))))</f>
        <v/>
      </c>
      <c r="I51" s="7" t="str">
        <f aca="false">IF(A51="","",IF(C51="","결석 - 평균에서 제외",IF(C51&gt;=HIGH_CUT,"고득점 유지",IF(F51="","기준점수 없음 - 평균에서 제외",IF(G51&gt;=STEP2,"크게 향상",IF(G51&gt;=STEP1,"유지·소폭 향상","하락"))))))</f>
        <v/>
      </c>
      <c r="K51" s="8"/>
      <c r="L51" s="8"/>
      <c r="M51" s="8"/>
      <c r="N51" s="8"/>
      <c r="P51" s="0" t="str">
        <f aca="false">IF(TRIM(K51&amp;"")="","",UPPER(TRIM(K51&amp;"")))</f>
        <v/>
      </c>
      <c r="Q51" s="0" t="str">
        <f aca="false">IF(P51="","",IF(ISNUMBER(N51),ROUND(N51,1),IF(AND(ISNUMBER(L51),ISNUMBER(M51)),IF(M51&gt;0,ROUND(L51/M51*100,1),""),"")))</f>
        <v/>
      </c>
      <c r="R51" s="0" t="str">
        <f aca="false">IF(P51="","",IF(COUNTIF(참가자!$A$3:$A$52,P51)=0,"명단에 없는 코드",""))</f>
        <v/>
      </c>
    </row>
    <row r="52" customFormat="false" ht="15" hidden="false" customHeight="false" outlineLevel="0" collapsed="false">
      <c r="A52" s="7" t="str">
        <f aca="false">IF(참가자!A52="","",UPPER(TRIM(참가자!A52)))</f>
        <v/>
      </c>
      <c r="B52" s="7" t="str">
        <f aca="false">IF(A52="","",IF(참가자!B52="","(팀 없음)",TRIM(참가자!B52)))</f>
        <v/>
      </c>
      <c r="C52" s="7" t="str">
        <f aca="false">IF(A52="","",IFERROR(INDEX($Q$3:$Q$102,MATCH(A52,$P$3:$P$102,0)),""))</f>
        <v/>
      </c>
      <c r="D52" s="7" t="str">
        <f aca="false">IF(A52="","",IF(C52="","결석","응시"))</f>
        <v/>
      </c>
      <c r="E52" s="7" t="str">
        <f aca="false">IF(A52="","",IF(COUNTIF($P$3:$P$102,A52)&gt;1,"중복! 확인",""))</f>
        <v/>
      </c>
      <c r="F52" s="7" t="str">
        <f aca="false">IF(A52="","",평가A!F52)</f>
        <v/>
      </c>
      <c r="G52" s="7" t="str">
        <f aca="false">IF(A52="","",IF(OR(C52="",F52=""),"",ROUND(C52-F52,1)))</f>
        <v/>
      </c>
      <c r="H52" s="7" t="str">
        <f aca="false">IF(A52="","",IF(C52="","",IF(C52&gt;=HIGH_CUT,PTS_HIGH,IF(F52="","",IF(G52&gt;=STEP2,PTS_HIGH,IF(G52&gt;=STEP1,PTS_MID,PTS_LOW))))))</f>
        <v/>
      </c>
      <c r="I52" s="7" t="str">
        <f aca="false">IF(A52="","",IF(C52="","결석 - 평균에서 제외",IF(C52&gt;=HIGH_CUT,"고득점 유지",IF(F52="","기준점수 없음 - 평균에서 제외",IF(G52&gt;=STEP2,"크게 향상",IF(G52&gt;=STEP1,"유지·소폭 향상","하락"))))))</f>
        <v/>
      </c>
      <c r="K52" s="8"/>
      <c r="L52" s="8"/>
      <c r="M52" s="8"/>
      <c r="N52" s="8"/>
      <c r="P52" s="0" t="str">
        <f aca="false">IF(TRIM(K52&amp;"")="","",UPPER(TRIM(K52&amp;"")))</f>
        <v/>
      </c>
      <c r="Q52" s="0" t="str">
        <f aca="false">IF(P52="","",IF(ISNUMBER(N52),ROUND(N52,1),IF(AND(ISNUMBER(L52),ISNUMBER(M52)),IF(M52&gt;0,ROUND(L52/M52*100,1),""),"")))</f>
        <v/>
      </c>
      <c r="R52" s="0" t="str">
        <f aca="false">IF(P52="","",IF(COUNTIF(참가자!$A$3:$A$52,P52)=0,"명단에 없는 코드",""))</f>
        <v/>
      </c>
    </row>
    <row r="53" customFormat="false" ht="15" hidden="false" customHeight="false" outlineLevel="0" collapsed="false">
      <c r="K53" s="8"/>
      <c r="L53" s="8"/>
      <c r="M53" s="8"/>
      <c r="N53" s="8"/>
      <c r="P53" s="0" t="str">
        <f aca="false">IF(TRIM(K53&amp;"")="","",UPPER(TRIM(K53&amp;"")))</f>
        <v/>
      </c>
      <c r="Q53" s="0" t="str">
        <f aca="false">IF(P53="","",IF(ISNUMBER(N53),ROUND(N53,1),IF(AND(ISNUMBER(L53),ISNUMBER(M53)),IF(M53&gt;0,ROUND(L53/M53*100,1),""),"")))</f>
        <v/>
      </c>
      <c r="R53" s="0" t="str">
        <f aca="false">IF(P53="","",IF(COUNTIF(참가자!$A$3:$A$52,P53)=0,"명단에 없는 코드",""))</f>
        <v/>
      </c>
    </row>
    <row r="54" customFormat="false" ht="15" hidden="false" customHeight="false" outlineLevel="0" collapsed="false">
      <c r="K54" s="8"/>
      <c r="L54" s="8"/>
      <c r="M54" s="8"/>
      <c r="N54" s="8"/>
      <c r="P54" s="0" t="str">
        <f aca="false">IF(TRIM(K54&amp;"")="","",UPPER(TRIM(K54&amp;"")))</f>
        <v/>
      </c>
      <c r="Q54" s="0" t="str">
        <f aca="false">IF(P54="","",IF(ISNUMBER(N54),ROUND(N54,1),IF(AND(ISNUMBER(L54),ISNUMBER(M54)),IF(M54&gt;0,ROUND(L54/M54*100,1),""),"")))</f>
        <v/>
      </c>
      <c r="R54" s="0" t="str">
        <f aca="false">IF(P54="","",IF(COUNTIF(참가자!$A$3:$A$52,P54)=0,"명단에 없는 코드",""))</f>
        <v/>
      </c>
    </row>
    <row r="55" customFormat="false" ht="15" hidden="false" customHeight="false" outlineLevel="0" collapsed="false">
      <c r="K55" s="8"/>
      <c r="L55" s="8"/>
      <c r="M55" s="8"/>
      <c r="N55" s="8"/>
      <c r="P55" s="0" t="str">
        <f aca="false">IF(TRIM(K55&amp;"")="","",UPPER(TRIM(K55&amp;"")))</f>
        <v/>
      </c>
      <c r="Q55" s="0" t="str">
        <f aca="false">IF(P55="","",IF(ISNUMBER(N55),ROUND(N55,1),IF(AND(ISNUMBER(L55),ISNUMBER(M55)),IF(M55&gt;0,ROUND(L55/M55*100,1),""),"")))</f>
        <v/>
      </c>
      <c r="R55" s="0" t="str">
        <f aca="false">IF(P55="","",IF(COUNTIF(참가자!$A$3:$A$52,P55)=0,"명단에 없는 코드",""))</f>
        <v/>
      </c>
    </row>
    <row r="56" customFormat="false" ht="15" hidden="false" customHeight="false" outlineLevel="0" collapsed="false">
      <c r="K56" s="8"/>
      <c r="L56" s="8"/>
      <c r="M56" s="8"/>
      <c r="N56" s="8"/>
      <c r="P56" s="0" t="str">
        <f aca="false">IF(TRIM(K56&amp;"")="","",UPPER(TRIM(K56&amp;"")))</f>
        <v/>
      </c>
      <c r="Q56" s="0" t="str">
        <f aca="false">IF(P56="","",IF(ISNUMBER(N56),ROUND(N56,1),IF(AND(ISNUMBER(L56),ISNUMBER(M56)),IF(M56&gt;0,ROUND(L56/M56*100,1),""),"")))</f>
        <v/>
      </c>
      <c r="R56" s="0" t="str">
        <f aca="false">IF(P56="","",IF(COUNTIF(참가자!$A$3:$A$52,P56)=0,"명단에 없는 코드",""))</f>
        <v/>
      </c>
    </row>
    <row r="57" customFormat="false" ht="15" hidden="false" customHeight="false" outlineLevel="0" collapsed="false">
      <c r="K57" s="8"/>
      <c r="L57" s="8"/>
      <c r="M57" s="8"/>
      <c r="N57" s="8"/>
      <c r="P57" s="0" t="str">
        <f aca="false">IF(TRIM(K57&amp;"")="","",UPPER(TRIM(K57&amp;"")))</f>
        <v/>
      </c>
      <c r="Q57" s="0" t="str">
        <f aca="false">IF(P57="","",IF(ISNUMBER(N57),ROUND(N57,1),IF(AND(ISNUMBER(L57),ISNUMBER(M57)),IF(M57&gt;0,ROUND(L57/M57*100,1),""),"")))</f>
        <v/>
      </c>
      <c r="R57" s="0" t="str">
        <f aca="false">IF(P57="","",IF(COUNTIF(참가자!$A$3:$A$52,P57)=0,"명단에 없는 코드",""))</f>
        <v/>
      </c>
    </row>
    <row r="58" customFormat="false" ht="15" hidden="false" customHeight="false" outlineLevel="0" collapsed="false">
      <c r="K58" s="8"/>
      <c r="L58" s="8"/>
      <c r="M58" s="8"/>
      <c r="N58" s="8"/>
      <c r="P58" s="0" t="str">
        <f aca="false">IF(TRIM(K58&amp;"")="","",UPPER(TRIM(K58&amp;"")))</f>
        <v/>
      </c>
      <c r="Q58" s="0" t="str">
        <f aca="false">IF(P58="","",IF(ISNUMBER(N58),ROUND(N58,1),IF(AND(ISNUMBER(L58),ISNUMBER(M58)),IF(M58&gt;0,ROUND(L58/M58*100,1),""),"")))</f>
        <v/>
      </c>
      <c r="R58" s="0" t="str">
        <f aca="false">IF(P58="","",IF(COUNTIF(참가자!$A$3:$A$52,P58)=0,"명단에 없는 코드",""))</f>
        <v/>
      </c>
    </row>
    <row r="59" customFormat="false" ht="15" hidden="false" customHeight="false" outlineLevel="0" collapsed="false">
      <c r="K59" s="8"/>
      <c r="L59" s="8"/>
      <c r="M59" s="8"/>
      <c r="N59" s="8"/>
      <c r="P59" s="0" t="str">
        <f aca="false">IF(TRIM(K59&amp;"")="","",UPPER(TRIM(K59&amp;"")))</f>
        <v/>
      </c>
      <c r="Q59" s="0" t="str">
        <f aca="false">IF(P59="","",IF(ISNUMBER(N59),ROUND(N59,1),IF(AND(ISNUMBER(L59),ISNUMBER(M59)),IF(M59&gt;0,ROUND(L59/M59*100,1),""),"")))</f>
        <v/>
      </c>
      <c r="R59" s="0" t="str">
        <f aca="false">IF(P59="","",IF(COUNTIF(참가자!$A$3:$A$52,P59)=0,"명단에 없는 코드",""))</f>
        <v/>
      </c>
    </row>
    <row r="60" customFormat="false" ht="15" hidden="false" customHeight="false" outlineLevel="0" collapsed="false">
      <c r="K60" s="8"/>
      <c r="L60" s="8"/>
      <c r="M60" s="8"/>
      <c r="N60" s="8"/>
      <c r="P60" s="0" t="str">
        <f aca="false">IF(TRIM(K60&amp;"")="","",UPPER(TRIM(K60&amp;"")))</f>
        <v/>
      </c>
      <c r="Q60" s="0" t="str">
        <f aca="false">IF(P60="","",IF(ISNUMBER(N60),ROUND(N60,1),IF(AND(ISNUMBER(L60),ISNUMBER(M60)),IF(M60&gt;0,ROUND(L60/M60*100,1),""),"")))</f>
        <v/>
      </c>
      <c r="R60" s="0" t="str">
        <f aca="false">IF(P60="","",IF(COUNTIF(참가자!$A$3:$A$52,P60)=0,"명단에 없는 코드",""))</f>
        <v/>
      </c>
    </row>
    <row r="61" customFormat="false" ht="15" hidden="false" customHeight="false" outlineLevel="0" collapsed="false">
      <c r="K61" s="8"/>
      <c r="L61" s="8"/>
      <c r="M61" s="8"/>
      <c r="N61" s="8"/>
      <c r="P61" s="0" t="str">
        <f aca="false">IF(TRIM(K61&amp;"")="","",UPPER(TRIM(K61&amp;"")))</f>
        <v/>
      </c>
      <c r="Q61" s="0" t="str">
        <f aca="false">IF(P61="","",IF(ISNUMBER(N61),ROUND(N61,1),IF(AND(ISNUMBER(L61),ISNUMBER(M61)),IF(M61&gt;0,ROUND(L61/M61*100,1),""),"")))</f>
        <v/>
      </c>
      <c r="R61" s="0" t="str">
        <f aca="false">IF(P61="","",IF(COUNTIF(참가자!$A$3:$A$52,P61)=0,"명단에 없는 코드",""))</f>
        <v/>
      </c>
    </row>
    <row r="62" customFormat="false" ht="15" hidden="false" customHeight="false" outlineLevel="0" collapsed="false">
      <c r="K62" s="8"/>
      <c r="L62" s="8"/>
      <c r="M62" s="8"/>
      <c r="N62" s="8"/>
      <c r="P62" s="0" t="str">
        <f aca="false">IF(TRIM(K62&amp;"")="","",UPPER(TRIM(K62&amp;"")))</f>
        <v/>
      </c>
      <c r="Q62" s="0" t="str">
        <f aca="false">IF(P62="","",IF(ISNUMBER(N62),ROUND(N62,1),IF(AND(ISNUMBER(L62),ISNUMBER(M62)),IF(M62&gt;0,ROUND(L62/M62*100,1),""),"")))</f>
        <v/>
      </c>
      <c r="R62" s="0" t="str">
        <f aca="false">IF(P62="","",IF(COUNTIF(참가자!$A$3:$A$52,P62)=0,"명단에 없는 코드",""))</f>
        <v/>
      </c>
    </row>
    <row r="63" customFormat="false" ht="15" hidden="false" customHeight="false" outlineLevel="0" collapsed="false">
      <c r="K63" s="8"/>
      <c r="L63" s="8"/>
      <c r="M63" s="8"/>
      <c r="N63" s="8"/>
      <c r="P63" s="0" t="str">
        <f aca="false">IF(TRIM(K63&amp;"")="","",UPPER(TRIM(K63&amp;"")))</f>
        <v/>
      </c>
      <c r="Q63" s="0" t="str">
        <f aca="false">IF(P63="","",IF(ISNUMBER(N63),ROUND(N63,1),IF(AND(ISNUMBER(L63),ISNUMBER(M63)),IF(M63&gt;0,ROUND(L63/M63*100,1),""),"")))</f>
        <v/>
      </c>
      <c r="R63" s="0" t="str">
        <f aca="false">IF(P63="","",IF(COUNTIF(참가자!$A$3:$A$52,P63)=0,"명단에 없는 코드",""))</f>
        <v/>
      </c>
    </row>
    <row r="64" customFormat="false" ht="15" hidden="false" customHeight="false" outlineLevel="0" collapsed="false">
      <c r="K64" s="8"/>
      <c r="L64" s="8"/>
      <c r="M64" s="8"/>
      <c r="N64" s="8"/>
      <c r="P64" s="0" t="str">
        <f aca="false">IF(TRIM(K64&amp;"")="","",UPPER(TRIM(K64&amp;"")))</f>
        <v/>
      </c>
      <c r="Q64" s="0" t="str">
        <f aca="false">IF(P64="","",IF(ISNUMBER(N64),ROUND(N64,1),IF(AND(ISNUMBER(L64),ISNUMBER(M64)),IF(M64&gt;0,ROUND(L64/M64*100,1),""),"")))</f>
        <v/>
      </c>
      <c r="R64" s="0" t="str">
        <f aca="false">IF(P64="","",IF(COUNTIF(참가자!$A$3:$A$52,P64)=0,"명단에 없는 코드",""))</f>
        <v/>
      </c>
    </row>
    <row r="65" customFormat="false" ht="15" hidden="false" customHeight="false" outlineLevel="0" collapsed="false">
      <c r="K65" s="8"/>
      <c r="L65" s="8"/>
      <c r="M65" s="8"/>
      <c r="N65" s="8"/>
      <c r="P65" s="0" t="str">
        <f aca="false">IF(TRIM(K65&amp;"")="","",UPPER(TRIM(K65&amp;"")))</f>
        <v/>
      </c>
      <c r="Q65" s="0" t="str">
        <f aca="false">IF(P65="","",IF(ISNUMBER(N65),ROUND(N65,1),IF(AND(ISNUMBER(L65),ISNUMBER(M65)),IF(M65&gt;0,ROUND(L65/M65*100,1),""),"")))</f>
        <v/>
      </c>
      <c r="R65" s="0" t="str">
        <f aca="false">IF(P65="","",IF(COUNTIF(참가자!$A$3:$A$52,P65)=0,"명단에 없는 코드",""))</f>
        <v/>
      </c>
    </row>
    <row r="66" customFormat="false" ht="15" hidden="false" customHeight="false" outlineLevel="0" collapsed="false">
      <c r="K66" s="8"/>
      <c r="L66" s="8"/>
      <c r="M66" s="8"/>
      <c r="N66" s="8"/>
      <c r="P66" s="0" t="str">
        <f aca="false">IF(TRIM(K66&amp;"")="","",UPPER(TRIM(K66&amp;"")))</f>
        <v/>
      </c>
      <c r="Q66" s="0" t="str">
        <f aca="false">IF(P66="","",IF(ISNUMBER(N66),ROUND(N66,1),IF(AND(ISNUMBER(L66),ISNUMBER(M66)),IF(M66&gt;0,ROUND(L66/M66*100,1),""),"")))</f>
        <v/>
      </c>
      <c r="R66" s="0" t="str">
        <f aca="false">IF(P66="","",IF(COUNTIF(참가자!$A$3:$A$52,P66)=0,"명단에 없는 코드",""))</f>
        <v/>
      </c>
    </row>
    <row r="67" customFormat="false" ht="15" hidden="false" customHeight="false" outlineLevel="0" collapsed="false">
      <c r="K67" s="8"/>
      <c r="L67" s="8"/>
      <c r="M67" s="8"/>
      <c r="N67" s="8"/>
      <c r="P67" s="0" t="str">
        <f aca="false">IF(TRIM(K67&amp;"")="","",UPPER(TRIM(K67&amp;"")))</f>
        <v/>
      </c>
      <c r="Q67" s="0" t="str">
        <f aca="false">IF(P67="","",IF(ISNUMBER(N67),ROUND(N67,1),IF(AND(ISNUMBER(L67),ISNUMBER(M67)),IF(M67&gt;0,ROUND(L67/M67*100,1),""),"")))</f>
        <v/>
      </c>
      <c r="R67" s="0" t="str">
        <f aca="false">IF(P67="","",IF(COUNTIF(참가자!$A$3:$A$52,P67)=0,"명단에 없는 코드",""))</f>
        <v/>
      </c>
    </row>
    <row r="68" customFormat="false" ht="15" hidden="false" customHeight="false" outlineLevel="0" collapsed="false">
      <c r="K68" s="8"/>
      <c r="L68" s="8"/>
      <c r="M68" s="8"/>
      <c r="N68" s="8"/>
      <c r="P68" s="0" t="str">
        <f aca="false">IF(TRIM(K68&amp;"")="","",UPPER(TRIM(K68&amp;"")))</f>
        <v/>
      </c>
      <c r="Q68" s="0" t="str">
        <f aca="false">IF(P68="","",IF(ISNUMBER(N68),ROUND(N68,1),IF(AND(ISNUMBER(L68),ISNUMBER(M68)),IF(M68&gt;0,ROUND(L68/M68*100,1),""),"")))</f>
        <v/>
      </c>
      <c r="R68" s="0" t="str">
        <f aca="false">IF(P68="","",IF(COUNTIF(참가자!$A$3:$A$52,P68)=0,"명단에 없는 코드",""))</f>
        <v/>
      </c>
    </row>
    <row r="69" customFormat="false" ht="15" hidden="false" customHeight="false" outlineLevel="0" collapsed="false">
      <c r="K69" s="8"/>
      <c r="L69" s="8"/>
      <c r="M69" s="8"/>
      <c r="N69" s="8"/>
      <c r="P69" s="0" t="str">
        <f aca="false">IF(TRIM(K69&amp;"")="","",UPPER(TRIM(K69&amp;"")))</f>
        <v/>
      </c>
      <c r="Q69" s="0" t="str">
        <f aca="false">IF(P69="","",IF(ISNUMBER(N69),ROUND(N69,1),IF(AND(ISNUMBER(L69),ISNUMBER(M69)),IF(M69&gt;0,ROUND(L69/M69*100,1),""),"")))</f>
        <v/>
      </c>
      <c r="R69" s="0" t="str">
        <f aca="false">IF(P69="","",IF(COUNTIF(참가자!$A$3:$A$52,P69)=0,"명단에 없는 코드",""))</f>
        <v/>
      </c>
    </row>
    <row r="70" customFormat="false" ht="15" hidden="false" customHeight="false" outlineLevel="0" collapsed="false">
      <c r="K70" s="8"/>
      <c r="L70" s="8"/>
      <c r="M70" s="8"/>
      <c r="N70" s="8"/>
      <c r="P70" s="0" t="str">
        <f aca="false">IF(TRIM(K70&amp;"")="","",UPPER(TRIM(K70&amp;"")))</f>
        <v/>
      </c>
      <c r="Q70" s="0" t="str">
        <f aca="false">IF(P70="","",IF(ISNUMBER(N70),ROUND(N70,1),IF(AND(ISNUMBER(L70),ISNUMBER(M70)),IF(M70&gt;0,ROUND(L70/M70*100,1),""),"")))</f>
        <v/>
      </c>
      <c r="R70" s="0" t="str">
        <f aca="false">IF(P70="","",IF(COUNTIF(참가자!$A$3:$A$52,P70)=0,"명단에 없는 코드",""))</f>
        <v/>
      </c>
    </row>
    <row r="71" customFormat="false" ht="15" hidden="false" customHeight="false" outlineLevel="0" collapsed="false">
      <c r="K71" s="8"/>
      <c r="L71" s="8"/>
      <c r="M71" s="8"/>
      <c r="N71" s="8"/>
      <c r="P71" s="0" t="str">
        <f aca="false">IF(TRIM(K71&amp;"")="","",UPPER(TRIM(K71&amp;"")))</f>
        <v/>
      </c>
      <c r="Q71" s="0" t="str">
        <f aca="false">IF(P71="","",IF(ISNUMBER(N71),ROUND(N71,1),IF(AND(ISNUMBER(L71),ISNUMBER(M71)),IF(M71&gt;0,ROUND(L71/M71*100,1),""),"")))</f>
        <v/>
      </c>
      <c r="R71" s="0" t="str">
        <f aca="false">IF(P71="","",IF(COUNTIF(참가자!$A$3:$A$52,P71)=0,"명단에 없는 코드",""))</f>
        <v/>
      </c>
    </row>
    <row r="72" customFormat="false" ht="15" hidden="false" customHeight="false" outlineLevel="0" collapsed="false">
      <c r="K72" s="8"/>
      <c r="L72" s="8"/>
      <c r="M72" s="8"/>
      <c r="N72" s="8"/>
      <c r="P72" s="0" t="str">
        <f aca="false">IF(TRIM(K72&amp;"")="","",UPPER(TRIM(K72&amp;"")))</f>
        <v/>
      </c>
      <c r="Q72" s="0" t="str">
        <f aca="false">IF(P72="","",IF(ISNUMBER(N72),ROUND(N72,1),IF(AND(ISNUMBER(L72),ISNUMBER(M72)),IF(M72&gt;0,ROUND(L72/M72*100,1),""),"")))</f>
        <v/>
      </c>
      <c r="R72" s="0" t="str">
        <f aca="false">IF(P72="","",IF(COUNTIF(참가자!$A$3:$A$52,P72)=0,"명단에 없는 코드",""))</f>
        <v/>
      </c>
    </row>
    <row r="73" customFormat="false" ht="15" hidden="false" customHeight="false" outlineLevel="0" collapsed="false">
      <c r="K73" s="8"/>
      <c r="L73" s="8"/>
      <c r="M73" s="8"/>
      <c r="N73" s="8"/>
      <c r="P73" s="0" t="str">
        <f aca="false">IF(TRIM(K73&amp;"")="","",UPPER(TRIM(K73&amp;"")))</f>
        <v/>
      </c>
      <c r="Q73" s="0" t="str">
        <f aca="false">IF(P73="","",IF(ISNUMBER(N73),ROUND(N73,1),IF(AND(ISNUMBER(L73),ISNUMBER(M73)),IF(M73&gt;0,ROUND(L73/M73*100,1),""),"")))</f>
        <v/>
      </c>
      <c r="R73" s="0" t="str">
        <f aca="false">IF(P73="","",IF(COUNTIF(참가자!$A$3:$A$52,P73)=0,"명단에 없는 코드",""))</f>
        <v/>
      </c>
    </row>
    <row r="74" customFormat="false" ht="15" hidden="false" customHeight="false" outlineLevel="0" collapsed="false">
      <c r="K74" s="8"/>
      <c r="L74" s="8"/>
      <c r="M74" s="8"/>
      <c r="N74" s="8"/>
      <c r="P74" s="0" t="str">
        <f aca="false">IF(TRIM(K74&amp;"")="","",UPPER(TRIM(K74&amp;"")))</f>
        <v/>
      </c>
      <c r="Q74" s="0" t="str">
        <f aca="false">IF(P74="","",IF(ISNUMBER(N74),ROUND(N74,1),IF(AND(ISNUMBER(L74),ISNUMBER(M74)),IF(M74&gt;0,ROUND(L74/M74*100,1),""),"")))</f>
        <v/>
      </c>
      <c r="R74" s="0" t="str">
        <f aca="false">IF(P74="","",IF(COUNTIF(참가자!$A$3:$A$52,P74)=0,"명단에 없는 코드",""))</f>
        <v/>
      </c>
    </row>
    <row r="75" customFormat="false" ht="15" hidden="false" customHeight="false" outlineLevel="0" collapsed="false">
      <c r="K75" s="8"/>
      <c r="L75" s="8"/>
      <c r="M75" s="8"/>
      <c r="N75" s="8"/>
      <c r="P75" s="0" t="str">
        <f aca="false">IF(TRIM(K75&amp;"")="","",UPPER(TRIM(K75&amp;"")))</f>
        <v/>
      </c>
      <c r="Q75" s="0" t="str">
        <f aca="false">IF(P75="","",IF(ISNUMBER(N75),ROUND(N75,1),IF(AND(ISNUMBER(L75),ISNUMBER(M75)),IF(M75&gt;0,ROUND(L75/M75*100,1),""),"")))</f>
        <v/>
      </c>
      <c r="R75" s="0" t="str">
        <f aca="false">IF(P75="","",IF(COUNTIF(참가자!$A$3:$A$52,P75)=0,"명단에 없는 코드",""))</f>
        <v/>
      </c>
    </row>
    <row r="76" customFormat="false" ht="15" hidden="false" customHeight="false" outlineLevel="0" collapsed="false">
      <c r="K76" s="8"/>
      <c r="L76" s="8"/>
      <c r="M76" s="8"/>
      <c r="N76" s="8"/>
      <c r="P76" s="0" t="str">
        <f aca="false">IF(TRIM(K76&amp;"")="","",UPPER(TRIM(K76&amp;"")))</f>
        <v/>
      </c>
      <c r="Q76" s="0" t="str">
        <f aca="false">IF(P76="","",IF(ISNUMBER(N76),ROUND(N76,1),IF(AND(ISNUMBER(L76),ISNUMBER(M76)),IF(M76&gt;0,ROUND(L76/M76*100,1),""),"")))</f>
        <v/>
      </c>
      <c r="R76" s="0" t="str">
        <f aca="false">IF(P76="","",IF(COUNTIF(참가자!$A$3:$A$52,P76)=0,"명단에 없는 코드",""))</f>
        <v/>
      </c>
    </row>
    <row r="77" customFormat="false" ht="15" hidden="false" customHeight="false" outlineLevel="0" collapsed="false">
      <c r="K77" s="8"/>
      <c r="L77" s="8"/>
      <c r="M77" s="8"/>
      <c r="N77" s="8"/>
      <c r="P77" s="0" t="str">
        <f aca="false">IF(TRIM(K77&amp;"")="","",UPPER(TRIM(K77&amp;"")))</f>
        <v/>
      </c>
      <c r="Q77" s="0" t="str">
        <f aca="false">IF(P77="","",IF(ISNUMBER(N77),ROUND(N77,1),IF(AND(ISNUMBER(L77),ISNUMBER(M77)),IF(M77&gt;0,ROUND(L77/M77*100,1),""),"")))</f>
        <v/>
      </c>
      <c r="R77" s="0" t="str">
        <f aca="false">IF(P77="","",IF(COUNTIF(참가자!$A$3:$A$52,P77)=0,"명단에 없는 코드",""))</f>
        <v/>
      </c>
    </row>
    <row r="78" customFormat="false" ht="15" hidden="false" customHeight="false" outlineLevel="0" collapsed="false">
      <c r="K78" s="8"/>
      <c r="L78" s="8"/>
      <c r="M78" s="8"/>
      <c r="N78" s="8"/>
      <c r="P78" s="0" t="str">
        <f aca="false">IF(TRIM(K78&amp;"")="","",UPPER(TRIM(K78&amp;"")))</f>
        <v/>
      </c>
      <c r="Q78" s="0" t="str">
        <f aca="false">IF(P78="","",IF(ISNUMBER(N78),ROUND(N78,1),IF(AND(ISNUMBER(L78),ISNUMBER(M78)),IF(M78&gt;0,ROUND(L78/M78*100,1),""),"")))</f>
        <v/>
      </c>
      <c r="R78" s="0" t="str">
        <f aca="false">IF(P78="","",IF(COUNTIF(참가자!$A$3:$A$52,P78)=0,"명단에 없는 코드",""))</f>
        <v/>
      </c>
    </row>
    <row r="79" customFormat="false" ht="15" hidden="false" customHeight="false" outlineLevel="0" collapsed="false">
      <c r="K79" s="8"/>
      <c r="L79" s="8"/>
      <c r="M79" s="8"/>
      <c r="N79" s="8"/>
      <c r="P79" s="0" t="str">
        <f aca="false">IF(TRIM(K79&amp;"")="","",UPPER(TRIM(K79&amp;"")))</f>
        <v/>
      </c>
      <c r="Q79" s="0" t="str">
        <f aca="false">IF(P79="","",IF(ISNUMBER(N79),ROUND(N79,1),IF(AND(ISNUMBER(L79),ISNUMBER(M79)),IF(M79&gt;0,ROUND(L79/M79*100,1),""),"")))</f>
        <v/>
      </c>
      <c r="R79" s="0" t="str">
        <f aca="false">IF(P79="","",IF(COUNTIF(참가자!$A$3:$A$52,P79)=0,"명단에 없는 코드",""))</f>
        <v/>
      </c>
    </row>
    <row r="80" customFormat="false" ht="15" hidden="false" customHeight="false" outlineLevel="0" collapsed="false">
      <c r="K80" s="8"/>
      <c r="L80" s="8"/>
      <c r="M80" s="8"/>
      <c r="N80" s="8"/>
      <c r="P80" s="0" t="str">
        <f aca="false">IF(TRIM(K80&amp;"")="","",UPPER(TRIM(K80&amp;"")))</f>
        <v/>
      </c>
      <c r="Q80" s="0" t="str">
        <f aca="false">IF(P80="","",IF(ISNUMBER(N80),ROUND(N80,1),IF(AND(ISNUMBER(L80),ISNUMBER(M80)),IF(M80&gt;0,ROUND(L80/M80*100,1),""),"")))</f>
        <v/>
      </c>
      <c r="R80" s="0" t="str">
        <f aca="false">IF(P80="","",IF(COUNTIF(참가자!$A$3:$A$52,P80)=0,"명단에 없는 코드",""))</f>
        <v/>
      </c>
    </row>
    <row r="81" customFormat="false" ht="15" hidden="false" customHeight="false" outlineLevel="0" collapsed="false">
      <c r="K81" s="8"/>
      <c r="L81" s="8"/>
      <c r="M81" s="8"/>
      <c r="N81" s="8"/>
      <c r="P81" s="0" t="str">
        <f aca="false">IF(TRIM(K81&amp;"")="","",UPPER(TRIM(K81&amp;"")))</f>
        <v/>
      </c>
      <c r="Q81" s="0" t="str">
        <f aca="false">IF(P81="","",IF(ISNUMBER(N81),ROUND(N81,1),IF(AND(ISNUMBER(L81),ISNUMBER(M81)),IF(M81&gt;0,ROUND(L81/M81*100,1),""),"")))</f>
        <v/>
      </c>
      <c r="R81" s="0" t="str">
        <f aca="false">IF(P81="","",IF(COUNTIF(참가자!$A$3:$A$52,P81)=0,"명단에 없는 코드",""))</f>
        <v/>
      </c>
    </row>
    <row r="82" customFormat="false" ht="15" hidden="false" customHeight="false" outlineLevel="0" collapsed="false">
      <c r="K82" s="8"/>
      <c r="L82" s="8"/>
      <c r="M82" s="8"/>
      <c r="N82" s="8"/>
      <c r="P82" s="0" t="str">
        <f aca="false">IF(TRIM(K82&amp;"")="","",UPPER(TRIM(K82&amp;"")))</f>
        <v/>
      </c>
      <c r="Q82" s="0" t="str">
        <f aca="false">IF(P82="","",IF(ISNUMBER(N82),ROUND(N82,1),IF(AND(ISNUMBER(L82),ISNUMBER(M82)),IF(M82&gt;0,ROUND(L82/M82*100,1),""),"")))</f>
        <v/>
      </c>
      <c r="R82" s="0" t="str">
        <f aca="false">IF(P82="","",IF(COUNTIF(참가자!$A$3:$A$52,P82)=0,"명단에 없는 코드",""))</f>
        <v/>
      </c>
    </row>
    <row r="83" customFormat="false" ht="15" hidden="false" customHeight="false" outlineLevel="0" collapsed="false">
      <c r="K83" s="8"/>
      <c r="L83" s="8"/>
      <c r="M83" s="8"/>
      <c r="N83" s="8"/>
      <c r="P83" s="0" t="str">
        <f aca="false">IF(TRIM(K83&amp;"")="","",UPPER(TRIM(K83&amp;"")))</f>
        <v/>
      </c>
      <c r="Q83" s="0" t="str">
        <f aca="false">IF(P83="","",IF(ISNUMBER(N83),ROUND(N83,1),IF(AND(ISNUMBER(L83),ISNUMBER(M83)),IF(M83&gt;0,ROUND(L83/M83*100,1),""),"")))</f>
        <v/>
      </c>
      <c r="R83" s="0" t="str">
        <f aca="false">IF(P83="","",IF(COUNTIF(참가자!$A$3:$A$52,P83)=0,"명단에 없는 코드",""))</f>
        <v/>
      </c>
    </row>
    <row r="84" customFormat="false" ht="15" hidden="false" customHeight="false" outlineLevel="0" collapsed="false">
      <c r="K84" s="8"/>
      <c r="L84" s="8"/>
      <c r="M84" s="8"/>
      <c r="N84" s="8"/>
      <c r="P84" s="0" t="str">
        <f aca="false">IF(TRIM(K84&amp;"")="","",UPPER(TRIM(K84&amp;"")))</f>
        <v/>
      </c>
      <c r="Q84" s="0" t="str">
        <f aca="false">IF(P84="","",IF(ISNUMBER(N84),ROUND(N84,1),IF(AND(ISNUMBER(L84),ISNUMBER(M84)),IF(M84&gt;0,ROUND(L84/M84*100,1),""),"")))</f>
        <v/>
      </c>
      <c r="R84" s="0" t="str">
        <f aca="false">IF(P84="","",IF(COUNTIF(참가자!$A$3:$A$52,P84)=0,"명단에 없는 코드",""))</f>
        <v/>
      </c>
    </row>
    <row r="85" customFormat="false" ht="15" hidden="false" customHeight="false" outlineLevel="0" collapsed="false">
      <c r="K85" s="8"/>
      <c r="L85" s="8"/>
      <c r="M85" s="8"/>
      <c r="N85" s="8"/>
      <c r="P85" s="0" t="str">
        <f aca="false">IF(TRIM(K85&amp;"")="","",UPPER(TRIM(K85&amp;"")))</f>
        <v/>
      </c>
      <c r="Q85" s="0" t="str">
        <f aca="false">IF(P85="","",IF(ISNUMBER(N85),ROUND(N85,1),IF(AND(ISNUMBER(L85),ISNUMBER(M85)),IF(M85&gt;0,ROUND(L85/M85*100,1),""),"")))</f>
        <v/>
      </c>
      <c r="R85" s="0" t="str">
        <f aca="false">IF(P85="","",IF(COUNTIF(참가자!$A$3:$A$52,P85)=0,"명단에 없는 코드",""))</f>
        <v/>
      </c>
    </row>
    <row r="86" customFormat="false" ht="15" hidden="false" customHeight="false" outlineLevel="0" collapsed="false">
      <c r="K86" s="8"/>
      <c r="L86" s="8"/>
      <c r="M86" s="8"/>
      <c r="N86" s="8"/>
      <c r="P86" s="0" t="str">
        <f aca="false">IF(TRIM(K86&amp;"")="","",UPPER(TRIM(K86&amp;"")))</f>
        <v/>
      </c>
      <c r="Q86" s="0" t="str">
        <f aca="false">IF(P86="","",IF(ISNUMBER(N86),ROUND(N86,1),IF(AND(ISNUMBER(L86),ISNUMBER(M86)),IF(M86&gt;0,ROUND(L86/M86*100,1),""),"")))</f>
        <v/>
      </c>
      <c r="R86" s="0" t="str">
        <f aca="false">IF(P86="","",IF(COUNTIF(참가자!$A$3:$A$52,P86)=0,"명단에 없는 코드",""))</f>
        <v/>
      </c>
    </row>
    <row r="87" customFormat="false" ht="15" hidden="false" customHeight="false" outlineLevel="0" collapsed="false">
      <c r="K87" s="8"/>
      <c r="L87" s="8"/>
      <c r="M87" s="8"/>
      <c r="N87" s="8"/>
      <c r="P87" s="0" t="str">
        <f aca="false">IF(TRIM(K87&amp;"")="","",UPPER(TRIM(K87&amp;"")))</f>
        <v/>
      </c>
      <c r="Q87" s="0" t="str">
        <f aca="false">IF(P87="","",IF(ISNUMBER(N87),ROUND(N87,1),IF(AND(ISNUMBER(L87),ISNUMBER(M87)),IF(M87&gt;0,ROUND(L87/M87*100,1),""),"")))</f>
        <v/>
      </c>
      <c r="R87" s="0" t="str">
        <f aca="false">IF(P87="","",IF(COUNTIF(참가자!$A$3:$A$52,P87)=0,"명단에 없는 코드",""))</f>
        <v/>
      </c>
    </row>
    <row r="88" customFormat="false" ht="15" hidden="false" customHeight="false" outlineLevel="0" collapsed="false">
      <c r="K88" s="8"/>
      <c r="L88" s="8"/>
      <c r="M88" s="8"/>
      <c r="N88" s="8"/>
      <c r="P88" s="0" t="str">
        <f aca="false">IF(TRIM(K88&amp;"")="","",UPPER(TRIM(K88&amp;"")))</f>
        <v/>
      </c>
      <c r="Q88" s="0" t="str">
        <f aca="false">IF(P88="","",IF(ISNUMBER(N88),ROUND(N88,1),IF(AND(ISNUMBER(L88),ISNUMBER(M88)),IF(M88&gt;0,ROUND(L88/M88*100,1),""),"")))</f>
        <v/>
      </c>
      <c r="R88" s="0" t="str">
        <f aca="false">IF(P88="","",IF(COUNTIF(참가자!$A$3:$A$52,P88)=0,"명단에 없는 코드",""))</f>
        <v/>
      </c>
    </row>
    <row r="89" customFormat="false" ht="15" hidden="false" customHeight="false" outlineLevel="0" collapsed="false">
      <c r="K89" s="8"/>
      <c r="L89" s="8"/>
      <c r="M89" s="8"/>
      <c r="N89" s="8"/>
      <c r="P89" s="0" t="str">
        <f aca="false">IF(TRIM(K89&amp;"")="","",UPPER(TRIM(K89&amp;"")))</f>
        <v/>
      </c>
      <c r="Q89" s="0" t="str">
        <f aca="false">IF(P89="","",IF(ISNUMBER(N89),ROUND(N89,1),IF(AND(ISNUMBER(L89),ISNUMBER(M89)),IF(M89&gt;0,ROUND(L89/M89*100,1),""),"")))</f>
        <v/>
      </c>
      <c r="R89" s="0" t="str">
        <f aca="false">IF(P89="","",IF(COUNTIF(참가자!$A$3:$A$52,P89)=0,"명단에 없는 코드",""))</f>
        <v/>
      </c>
    </row>
    <row r="90" customFormat="false" ht="15" hidden="false" customHeight="false" outlineLevel="0" collapsed="false">
      <c r="K90" s="8"/>
      <c r="L90" s="8"/>
      <c r="M90" s="8"/>
      <c r="N90" s="8"/>
      <c r="P90" s="0" t="str">
        <f aca="false">IF(TRIM(K90&amp;"")="","",UPPER(TRIM(K90&amp;"")))</f>
        <v/>
      </c>
      <c r="Q90" s="0" t="str">
        <f aca="false">IF(P90="","",IF(ISNUMBER(N90),ROUND(N90,1),IF(AND(ISNUMBER(L90),ISNUMBER(M90)),IF(M90&gt;0,ROUND(L90/M90*100,1),""),"")))</f>
        <v/>
      </c>
      <c r="R90" s="0" t="str">
        <f aca="false">IF(P90="","",IF(COUNTIF(참가자!$A$3:$A$52,P90)=0,"명단에 없는 코드",""))</f>
        <v/>
      </c>
    </row>
    <row r="91" customFormat="false" ht="15" hidden="false" customHeight="false" outlineLevel="0" collapsed="false">
      <c r="K91" s="8"/>
      <c r="L91" s="8"/>
      <c r="M91" s="8"/>
      <c r="N91" s="8"/>
      <c r="P91" s="0" t="str">
        <f aca="false">IF(TRIM(K91&amp;"")="","",UPPER(TRIM(K91&amp;"")))</f>
        <v/>
      </c>
      <c r="Q91" s="0" t="str">
        <f aca="false">IF(P91="","",IF(ISNUMBER(N91),ROUND(N91,1),IF(AND(ISNUMBER(L91),ISNUMBER(M91)),IF(M91&gt;0,ROUND(L91/M91*100,1),""),"")))</f>
        <v/>
      </c>
      <c r="R91" s="0" t="str">
        <f aca="false">IF(P91="","",IF(COUNTIF(참가자!$A$3:$A$52,P91)=0,"명단에 없는 코드",""))</f>
        <v/>
      </c>
    </row>
    <row r="92" customFormat="false" ht="15" hidden="false" customHeight="false" outlineLevel="0" collapsed="false">
      <c r="K92" s="8"/>
      <c r="L92" s="8"/>
      <c r="M92" s="8"/>
      <c r="N92" s="8"/>
      <c r="P92" s="0" t="str">
        <f aca="false">IF(TRIM(K92&amp;"")="","",UPPER(TRIM(K92&amp;"")))</f>
        <v/>
      </c>
      <c r="Q92" s="0" t="str">
        <f aca="false">IF(P92="","",IF(ISNUMBER(N92),ROUND(N92,1),IF(AND(ISNUMBER(L92),ISNUMBER(M92)),IF(M92&gt;0,ROUND(L92/M92*100,1),""),"")))</f>
        <v/>
      </c>
      <c r="R92" s="0" t="str">
        <f aca="false">IF(P92="","",IF(COUNTIF(참가자!$A$3:$A$52,P92)=0,"명단에 없는 코드",""))</f>
        <v/>
      </c>
    </row>
    <row r="93" customFormat="false" ht="15" hidden="false" customHeight="false" outlineLevel="0" collapsed="false">
      <c r="K93" s="8"/>
      <c r="L93" s="8"/>
      <c r="M93" s="8"/>
      <c r="N93" s="8"/>
      <c r="P93" s="0" t="str">
        <f aca="false">IF(TRIM(K93&amp;"")="","",UPPER(TRIM(K93&amp;"")))</f>
        <v/>
      </c>
      <c r="Q93" s="0" t="str">
        <f aca="false">IF(P93="","",IF(ISNUMBER(N93),ROUND(N93,1),IF(AND(ISNUMBER(L93),ISNUMBER(M93)),IF(M93&gt;0,ROUND(L93/M93*100,1),""),"")))</f>
        <v/>
      </c>
      <c r="R93" s="0" t="str">
        <f aca="false">IF(P93="","",IF(COUNTIF(참가자!$A$3:$A$52,P93)=0,"명단에 없는 코드",""))</f>
        <v/>
      </c>
    </row>
    <row r="94" customFormat="false" ht="15" hidden="false" customHeight="false" outlineLevel="0" collapsed="false">
      <c r="K94" s="8"/>
      <c r="L94" s="8"/>
      <c r="M94" s="8"/>
      <c r="N94" s="8"/>
      <c r="P94" s="0" t="str">
        <f aca="false">IF(TRIM(K94&amp;"")="","",UPPER(TRIM(K94&amp;"")))</f>
        <v/>
      </c>
      <c r="Q94" s="0" t="str">
        <f aca="false">IF(P94="","",IF(ISNUMBER(N94),ROUND(N94,1),IF(AND(ISNUMBER(L94),ISNUMBER(M94)),IF(M94&gt;0,ROUND(L94/M94*100,1),""),"")))</f>
        <v/>
      </c>
      <c r="R94" s="0" t="str">
        <f aca="false">IF(P94="","",IF(COUNTIF(참가자!$A$3:$A$52,P94)=0,"명단에 없는 코드",""))</f>
        <v/>
      </c>
    </row>
    <row r="95" customFormat="false" ht="15" hidden="false" customHeight="false" outlineLevel="0" collapsed="false">
      <c r="K95" s="8"/>
      <c r="L95" s="8"/>
      <c r="M95" s="8"/>
      <c r="N95" s="8"/>
      <c r="P95" s="0" t="str">
        <f aca="false">IF(TRIM(K95&amp;"")="","",UPPER(TRIM(K95&amp;"")))</f>
        <v/>
      </c>
      <c r="Q95" s="0" t="str">
        <f aca="false">IF(P95="","",IF(ISNUMBER(N95),ROUND(N95,1),IF(AND(ISNUMBER(L95),ISNUMBER(M95)),IF(M95&gt;0,ROUND(L95/M95*100,1),""),"")))</f>
        <v/>
      </c>
      <c r="R95" s="0" t="str">
        <f aca="false">IF(P95="","",IF(COUNTIF(참가자!$A$3:$A$52,P95)=0,"명단에 없는 코드",""))</f>
        <v/>
      </c>
    </row>
    <row r="96" customFormat="false" ht="15" hidden="false" customHeight="false" outlineLevel="0" collapsed="false">
      <c r="K96" s="8"/>
      <c r="L96" s="8"/>
      <c r="M96" s="8"/>
      <c r="N96" s="8"/>
      <c r="P96" s="0" t="str">
        <f aca="false">IF(TRIM(K96&amp;"")="","",UPPER(TRIM(K96&amp;"")))</f>
        <v/>
      </c>
      <c r="Q96" s="0" t="str">
        <f aca="false">IF(P96="","",IF(ISNUMBER(N96),ROUND(N96,1),IF(AND(ISNUMBER(L96),ISNUMBER(M96)),IF(M96&gt;0,ROUND(L96/M96*100,1),""),"")))</f>
        <v/>
      </c>
      <c r="R96" s="0" t="str">
        <f aca="false">IF(P96="","",IF(COUNTIF(참가자!$A$3:$A$52,P96)=0,"명단에 없는 코드",""))</f>
        <v/>
      </c>
    </row>
    <row r="97" customFormat="false" ht="15" hidden="false" customHeight="false" outlineLevel="0" collapsed="false">
      <c r="K97" s="8"/>
      <c r="L97" s="8"/>
      <c r="M97" s="8"/>
      <c r="N97" s="8"/>
      <c r="P97" s="0" t="str">
        <f aca="false">IF(TRIM(K97&amp;"")="","",UPPER(TRIM(K97&amp;"")))</f>
        <v/>
      </c>
      <c r="Q97" s="0" t="str">
        <f aca="false">IF(P97="","",IF(ISNUMBER(N97),ROUND(N97,1),IF(AND(ISNUMBER(L97),ISNUMBER(M97)),IF(M97&gt;0,ROUND(L97/M97*100,1),""),"")))</f>
        <v/>
      </c>
      <c r="R97" s="0" t="str">
        <f aca="false">IF(P97="","",IF(COUNTIF(참가자!$A$3:$A$52,P97)=0,"명단에 없는 코드",""))</f>
        <v/>
      </c>
    </row>
    <row r="98" customFormat="false" ht="15" hidden="false" customHeight="false" outlineLevel="0" collapsed="false">
      <c r="K98" s="8"/>
      <c r="L98" s="8"/>
      <c r="M98" s="8"/>
      <c r="N98" s="8"/>
      <c r="P98" s="0" t="str">
        <f aca="false">IF(TRIM(K98&amp;"")="","",UPPER(TRIM(K98&amp;"")))</f>
        <v/>
      </c>
      <c r="Q98" s="0" t="str">
        <f aca="false">IF(P98="","",IF(ISNUMBER(N98),ROUND(N98,1),IF(AND(ISNUMBER(L98),ISNUMBER(M98)),IF(M98&gt;0,ROUND(L98/M98*100,1),""),"")))</f>
        <v/>
      </c>
      <c r="R98" s="0" t="str">
        <f aca="false">IF(P98="","",IF(COUNTIF(참가자!$A$3:$A$52,P98)=0,"명단에 없는 코드",""))</f>
        <v/>
      </c>
    </row>
    <row r="99" customFormat="false" ht="15" hidden="false" customHeight="false" outlineLevel="0" collapsed="false">
      <c r="K99" s="8"/>
      <c r="L99" s="8"/>
      <c r="M99" s="8"/>
      <c r="N99" s="8"/>
      <c r="P99" s="0" t="str">
        <f aca="false">IF(TRIM(K99&amp;"")="","",UPPER(TRIM(K99&amp;"")))</f>
        <v/>
      </c>
      <c r="Q99" s="0" t="str">
        <f aca="false">IF(P99="","",IF(ISNUMBER(N99),ROUND(N99,1),IF(AND(ISNUMBER(L99),ISNUMBER(M99)),IF(M99&gt;0,ROUND(L99/M99*100,1),""),"")))</f>
        <v/>
      </c>
      <c r="R99" s="0" t="str">
        <f aca="false">IF(P99="","",IF(COUNTIF(참가자!$A$3:$A$52,P99)=0,"명단에 없는 코드",""))</f>
        <v/>
      </c>
    </row>
    <row r="100" customFormat="false" ht="15" hidden="false" customHeight="false" outlineLevel="0" collapsed="false">
      <c r="K100" s="8"/>
      <c r="L100" s="8"/>
      <c r="M100" s="8"/>
      <c r="N100" s="8"/>
      <c r="P100" s="0" t="str">
        <f aca="false">IF(TRIM(K100&amp;"")="","",UPPER(TRIM(K100&amp;"")))</f>
        <v/>
      </c>
      <c r="Q100" s="0" t="str">
        <f aca="false">IF(P100="","",IF(ISNUMBER(N100),ROUND(N100,1),IF(AND(ISNUMBER(L100),ISNUMBER(M100)),IF(M100&gt;0,ROUND(L100/M100*100,1),""),"")))</f>
        <v/>
      </c>
      <c r="R100" s="0" t="str">
        <f aca="false">IF(P100="","",IF(COUNTIF(참가자!$A$3:$A$52,P100)=0,"명단에 없는 코드",""))</f>
        <v/>
      </c>
    </row>
    <row r="101" customFormat="false" ht="15" hidden="false" customHeight="false" outlineLevel="0" collapsed="false">
      <c r="K101" s="8"/>
      <c r="L101" s="8"/>
      <c r="M101" s="8"/>
      <c r="N101" s="8"/>
      <c r="P101" s="0" t="str">
        <f aca="false">IF(TRIM(K101&amp;"")="","",UPPER(TRIM(K101&amp;"")))</f>
        <v/>
      </c>
      <c r="Q101" s="0" t="str">
        <f aca="false">IF(P101="","",IF(ISNUMBER(N101),ROUND(N101,1),IF(AND(ISNUMBER(L101),ISNUMBER(M101)),IF(M101&gt;0,ROUND(L101/M101*100,1),""),"")))</f>
        <v/>
      </c>
      <c r="R101" s="0" t="str">
        <f aca="false">IF(P101="","",IF(COUNTIF(참가자!$A$3:$A$52,P101)=0,"명단에 없는 코드",""))</f>
        <v/>
      </c>
    </row>
    <row r="102" customFormat="false" ht="15" hidden="false" customHeight="false" outlineLevel="0" collapsed="false">
      <c r="K102" s="8"/>
      <c r="L102" s="8"/>
      <c r="M102" s="8"/>
      <c r="N102" s="8"/>
      <c r="P102" s="0" t="str">
        <f aca="false">IF(TRIM(K102&amp;"")="","",UPPER(TRIM(K102&amp;"")))</f>
        <v/>
      </c>
      <c r="Q102" s="0" t="str">
        <f aca="false">IF(P102="","",IF(ISNUMBER(N102),ROUND(N102,1),IF(AND(ISNUMBER(L102),ISNUMBER(M102)),IF(M102&gt;0,ROUND(L102/M102*100,1),""),"")))</f>
        <v/>
      </c>
      <c r="R102" s="0" t="str">
        <f aca="false">IF(P102="","",IF(COUNTIF(참가자!$A$3:$A$52,P102)=0,"명단에 없는 코드",""))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5" hidden="false" customHeight="false" outlineLevel="0" collapsed="false">
      <c r="A1" s="4" t="s">
        <v>40</v>
      </c>
    </row>
    <row r="2" customFormat="false" ht="28.35" hidden="false" customHeight="false" outlineLevel="0" collapsed="false">
      <c r="A2" s="10" t="s">
        <v>2</v>
      </c>
      <c r="B2" s="10" t="s">
        <v>41</v>
      </c>
      <c r="C2" s="10" t="s">
        <v>42</v>
      </c>
      <c r="D2" s="10" t="s">
        <v>43</v>
      </c>
      <c r="E2" s="10" t="s">
        <v>44</v>
      </c>
      <c r="F2" s="10" t="s">
        <v>45</v>
      </c>
      <c r="G2" s="10" t="s">
        <v>46</v>
      </c>
      <c r="H2" s="10" t="s">
        <v>47</v>
      </c>
      <c r="I2" s="10" t="s">
        <v>48</v>
      </c>
      <c r="J2" s="10" t="s">
        <v>49</v>
      </c>
    </row>
    <row r="3" customFormat="false" ht="15" hidden="false" customHeight="false" outlineLevel="0" collapsed="false">
      <c r="A3" s="3" t="s">
        <v>5</v>
      </c>
      <c r="B3" s="7" t="n">
        <f aca="false">IF(A3="","",COUNTIF(평가A!$B$3:$B$52,A3))</f>
        <v>3</v>
      </c>
      <c r="C3" s="7" t="n">
        <f aca="false">IF(A3="","",COUNTIFS(평가B!$B$3:$B$52,A3,평가B!$H$3:$H$52,"&gt;=0"))</f>
        <v>3</v>
      </c>
      <c r="D3" s="7" t="n">
        <f aca="false">IF(A3="","",IF(C3=0,"",ROUND(SUMIFS(평가B!$H$3:$H$52,평가B!$B$3:$B$52,A3)/C3,1)))</f>
        <v>16.7</v>
      </c>
      <c r="E3" s="7" t="str">
        <f aca="false">IF(OR(A3="",D3=""),"",IF(D3&gt;=TEAM_GOAL,"달성","도전 중"))</f>
        <v>달성</v>
      </c>
      <c r="F3" s="7" t="n">
        <f aca="false">IF(A3="","",COUNTIFS(평가C!$B$3:$B$52,A3,평가C!$H$3:$H$52,"&gt;=0"))</f>
        <v>3</v>
      </c>
      <c r="G3" s="7" t="n">
        <f aca="false">IF(A3="","",IF(F3=0,"",ROUND(SUMIFS(평가C!$H$3:$H$52,평가C!$B$3:$B$52,A3)/F3,1)))</f>
        <v>13.3</v>
      </c>
      <c r="H3" s="7" t="str">
        <f aca="false">IF(OR(A3="",G3=""),"",IF(G3&gt;=TEAM_GOAL,"달성","도전 중"))</f>
        <v>도전 중</v>
      </c>
      <c r="I3" s="7" t="n">
        <f aca="false">IF(A3="","",IF(COUNT(D3,G3)=0,"",ROUND(AVERAGE(D3,G3),1)))</f>
        <v>15</v>
      </c>
      <c r="J3" s="7" t="n">
        <f aca="false">IF(OR(A3="",I3=""),"",RANK(I3,$I$3:$I$12))</f>
        <v>1</v>
      </c>
    </row>
    <row r="4" customFormat="false" ht="15" hidden="false" customHeight="false" outlineLevel="0" collapsed="false">
      <c r="A4" s="3" t="s">
        <v>9</v>
      </c>
      <c r="B4" s="7" t="n">
        <f aca="false">IF(A4="","",COUNTIF(평가A!$B$3:$B$52,A4))</f>
        <v>3</v>
      </c>
      <c r="C4" s="7" t="n">
        <f aca="false">IF(A4="","",COUNTIFS(평가B!$B$3:$B$52,A4,평가B!$H$3:$H$52,"&gt;=0"))</f>
        <v>3</v>
      </c>
      <c r="D4" s="7" t="n">
        <f aca="false">IF(A4="","",IF(C4=0,"",ROUND(SUMIFS(평가B!$H$3:$H$52,평가B!$B$3:$B$52,A4)/C4,1)))</f>
        <v>13.3</v>
      </c>
      <c r="E4" s="7" t="str">
        <f aca="false">IF(OR(A4="",D4=""),"",IF(D4&gt;=TEAM_GOAL,"달성","도전 중"))</f>
        <v>도전 중</v>
      </c>
      <c r="F4" s="7" t="n">
        <f aca="false">IF(A4="","",COUNTIFS(평가C!$B$3:$B$52,A4,평가C!$H$3:$H$52,"&gt;=0"))</f>
        <v>2</v>
      </c>
      <c r="G4" s="7" t="n">
        <f aca="false">IF(A4="","",IF(F4=0,"",ROUND(SUMIFS(평가C!$H$3:$H$52,평가C!$B$3:$B$52,A4)/F4,1)))</f>
        <v>15</v>
      </c>
      <c r="H4" s="7" t="str">
        <f aca="false">IF(OR(A4="",G4=""),"",IF(G4&gt;=TEAM_GOAL,"달성","도전 중"))</f>
        <v>달성</v>
      </c>
      <c r="I4" s="7" t="n">
        <f aca="false">IF(A4="","",IF(COUNT(D4,G4)=0,"",ROUND(AVERAGE(D4,G4),1)))</f>
        <v>14.2</v>
      </c>
      <c r="J4" s="7" t="n">
        <f aca="false">IF(OR(A4="",I4=""),"",RANK(I4,$I$3:$I$12))</f>
        <v>2</v>
      </c>
    </row>
    <row r="5" customFormat="false" ht="15" hidden="false" customHeight="false" outlineLevel="0" collapsed="false">
      <c r="A5" s="3" t="s">
        <v>13</v>
      </c>
      <c r="B5" s="7" t="n">
        <f aca="false">IF(A5="","",COUNTIF(평가A!$B$3:$B$52,A5))</f>
        <v>3</v>
      </c>
      <c r="C5" s="7" t="n">
        <f aca="false">IF(A5="","",COUNTIFS(평가B!$B$3:$B$52,A5,평가B!$H$3:$H$52,"&gt;=0"))</f>
        <v>2</v>
      </c>
      <c r="D5" s="7" t="n">
        <f aca="false">IF(A5="","",IF(C5=0,"",ROUND(SUMIFS(평가B!$H$3:$H$52,평가B!$B$3:$B$52,A5)/C5,1)))</f>
        <v>10</v>
      </c>
      <c r="E5" s="7" t="str">
        <f aca="false">IF(OR(A5="",D5=""),"",IF(D5&gt;=TEAM_GOAL,"달성","도전 중"))</f>
        <v>도전 중</v>
      </c>
      <c r="F5" s="7" t="n">
        <f aca="false">IF(A5="","",COUNTIFS(평가C!$B$3:$B$52,A5,평가C!$H$3:$H$52,"&gt;=0"))</f>
        <v>3</v>
      </c>
      <c r="G5" s="7" t="n">
        <f aca="false">IF(A5="","",IF(F5=0,"",ROUND(SUMIFS(평가C!$H$3:$H$52,평가C!$B$3:$B$52,A5)/F5,1)))</f>
        <v>16.7</v>
      </c>
      <c r="H5" s="7" t="str">
        <f aca="false">IF(OR(A5="",G5=""),"",IF(G5&gt;=TEAM_GOAL,"달성","도전 중"))</f>
        <v>달성</v>
      </c>
      <c r="I5" s="7" t="n">
        <f aca="false">IF(A5="","",IF(COUNT(D5,G5)=0,"",ROUND(AVERAGE(D5,G5),1)))</f>
        <v>13.4</v>
      </c>
      <c r="J5" s="7" t="n">
        <f aca="false">IF(OR(A5="",I5=""),"",RANK(I5,$I$3:$I$12))</f>
        <v>3</v>
      </c>
    </row>
    <row r="6" customFormat="false" ht="15" hidden="false" customHeight="false" outlineLevel="0" collapsed="false">
      <c r="A6" s="3" t="s">
        <v>17</v>
      </c>
      <c r="B6" s="7" t="n">
        <f aca="false">IF(A6="","",COUNTIF(평가A!$B$3:$B$52,A6))</f>
        <v>3</v>
      </c>
      <c r="C6" s="7" t="n">
        <f aca="false">IF(A6="","",COUNTIFS(평가B!$B$3:$B$52,A6,평가B!$H$3:$H$52,"&gt;=0"))</f>
        <v>3</v>
      </c>
      <c r="D6" s="7" t="n">
        <f aca="false">IF(A6="","",IF(C6=0,"",ROUND(SUMIFS(평가B!$H$3:$H$52,평가B!$B$3:$B$52,A6)/C6,1)))</f>
        <v>13.3</v>
      </c>
      <c r="E6" s="7" t="str">
        <f aca="false">IF(OR(A6="",D6=""),"",IF(D6&gt;=TEAM_GOAL,"달성","도전 중"))</f>
        <v>도전 중</v>
      </c>
      <c r="F6" s="7" t="n">
        <f aca="false">IF(A6="","",COUNTIFS(평가C!$B$3:$B$52,A6,평가C!$H$3:$H$52,"&gt;=0"))</f>
        <v>1</v>
      </c>
      <c r="G6" s="7" t="n">
        <f aca="false">IF(A6="","",IF(F6=0,"",ROUND(SUMIFS(평가C!$H$3:$H$52,평가C!$B$3:$B$52,A6)/F6,1)))</f>
        <v>10</v>
      </c>
      <c r="H6" s="7" t="str">
        <f aca="false">IF(OR(A6="",G6=""),"",IF(G6&gt;=TEAM_GOAL,"달성","도전 중"))</f>
        <v>도전 중</v>
      </c>
      <c r="I6" s="7" t="n">
        <f aca="false">IF(A6="","",IF(COUNT(D6,G6)=0,"",ROUND(AVERAGE(D6,G6),1)))</f>
        <v>11.7</v>
      </c>
      <c r="J6" s="7" t="n">
        <f aca="false">IF(OR(A6="",I6=""),"",RANK(I6,$I$3:$I$12))</f>
        <v>4</v>
      </c>
    </row>
    <row r="7" customFormat="false" ht="15" hidden="false" customHeight="false" outlineLevel="0" collapsed="false">
      <c r="A7" s="3"/>
      <c r="B7" s="7" t="str">
        <f aca="false">IF(A7="","",COUNTIF(평가A!$B$3:$B$52,A7))</f>
        <v/>
      </c>
      <c r="C7" s="7" t="str">
        <f aca="false">IF(A7="","",COUNTIFS(평가B!$B$3:$B$52,A7,평가B!$H$3:$H$52,"&gt;=0"))</f>
        <v/>
      </c>
      <c r="D7" s="7" t="str">
        <f aca="false">IF(A7="","",IF(C7=0,"",ROUND(SUMIFS(평가B!$H$3:$H$52,평가B!$B$3:$B$52,A7)/C7,1)))</f>
        <v/>
      </c>
      <c r="E7" s="7" t="str">
        <f aca="false">IF(OR(A7="",D7=""),"",IF(D7&gt;=TEAM_GOAL,"달성","도전 중"))</f>
        <v/>
      </c>
      <c r="F7" s="7" t="str">
        <f aca="false">IF(A7="","",COUNTIFS(평가C!$B$3:$B$52,A7,평가C!$H$3:$H$52,"&gt;=0"))</f>
        <v/>
      </c>
      <c r="G7" s="7" t="str">
        <f aca="false">IF(A7="","",IF(F7=0,"",ROUND(SUMIFS(평가C!$H$3:$H$52,평가C!$B$3:$B$52,A7)/F7,1)))</f>
        <v/>
      </c>
      <c r="H7" s="7" t="str">
        <f aca="false">IF(OR(A7="",G7=""),"",IF(G7&gt;=TEAM_GOAL,"달성","도전 중"))</f>
        <v/>
      </c>
      <c r="I7" s="7" t="str">
        <f aca="false">IF(A7="","",IF(COUNT(D7,G7)=0,"",ROUND(AVERAGE(D7,G7),1)))</f>
        <v/>
      </c>
      <c r="J7" s="7" t="str">
        <f aca="false">IF(OR(A7="",I7=""),"",RANK(I7,$I$3:$I$12))</f>
        <v/>
      </c>
    </row>
    <row r="8" customFormat="false" ht="15" hidden="false" customHeight="false" outlineLevel="0" collapsed="false">
      <c r="A8" s="3"/>
      <c r="B8" s="7" t="str">
        <f aca="false">IF(A8="","",COUNTIF(평가A!$B$3:$B$52,A8))</f>
        <v/>
      </c>
      <c r="C8" s="7" t="str">
        <f aca="false">IF(A8="","",COUNTIFS(평가B!$B$3:$B$52,A8,평가B!$H$3:$H$52,"&gt;=0"))</f>
        <v/>
      </c>
      <c r="D8" s="7" t="str">
        <f aca="false">IF(A8="","",IF(C8=0,"",ROUND(SUMIFS(평가B!$H$3:$H$52,평가B!$B$3:$B$52,A8)/C8,1)))</f>
        <v/>
      </c>
      <c r="E8" s="7" t="str">
        <f aca="false">IF(OR(A8="",D8=""),"",IF(D8&gt;=TEAM_GOAL,"달성","도전 중"))</f>
        <v/>
      </c>
      <c r="F8" s="7" t="str">
        <f aca="false">IF(A8="","",COUNTIFS(평가C!$B$3:$B$52,A8,평가C!$H$3:$H$52,"&gt;=0"))</f>
        <v/>
      </c>
      <c r="G8" s="7" t="str">
        <f aca="false">IF(A8="","",IF(F8=0,"",ROUND(SUMIFS(평가C!$H$3:$H$52,평가C!$B$3:$B$52,A8)/F8,1)))</f>
        <v/>
      </c>
      <c r="H8" s="7" t="str">
        <f aca="false">IF(OR(A8="",G8=""),"",IF(G8&gt;=TEAM_GOAL,"달성","도전 중"))</f>
        <v/>
      </c>
      <c r="I8" s="7" t="str">
        <f aca="false">IF(A8="","",IF(COUNT(D8,G8)=0,"",ROUND(AVERAGE(D8,G8),1)))</f>
        <v/>
      </c>
      <c r="J8" s="7" t="str">
        <f aca="false">IF(OR(A8="",I8=""),"",RANK(I8,$I$3:$I$12))</f>
        <v/>
      </c>
    </row>
    <row r="9" customFormat="false" ht="15" hidden="false" customHeight="false" outlineLevel="0" collapsed="false">
      <c r="A9" s="3"/>
      <c r="B9" s="7" t="str">
        <f aca="false">IF(A9="","",COUNTIF(평가A!$B$3:$B$52,A9))</f>
        <v/>
      </c>
      <c r="C9" s="7" t="str">
        <f aca="false">IF(A9="","",COUNTIFS(평가B!$B$3:$B$52,A9,평가B!$H$3:$H$52,"&gt;=0"))</f>
        <v/>
      </c>
      <c r="D9" s="7" t="str">
        <f aca="false">IF(A9="","",IF(C9=0,"",ROUND(SUMIFS(평가B!$H$3:$H$52,평가B!$B$3:$B$52,A9)/C9,1)))</f>
        <v/>
      </c>
      <c r="E9" s="7" t="str">
        <f aca="false">IF(OR(A9="",D9=""),"",IF(D9&gt;=TEAM_GOAL,"달성","도전 중"))</f>
        <v/>
      </c>
      <c r="F9" s="7" t="str">
        <f aca="false">IF(A9="","",COUNTIFS(평가C!$B$3:$B$52,A9,평가C!$H$3:$H$52,"&gt;=0"))</f>
        <v/>
      </c>
      <c r="G9" s="7" t="str">
        <f aca="false">IF(A9="","",IF(F9=0,"",ROUND(SUMIFS(평가C!$H$3:$H$52,평가C!$B$3:$B$52,A9)/F9,1)))</f>
        <v/>
      </c>
      <c r="H9" s="7" t="str">
        <f aca="false">IF(OR(A9="",G9=""),"",IF(G9&gt;=TEAM_GOAL,"달성","도전 중"))</f>
        <v/>
      </c>
      <c r="I9" s="7" t="str">
        <f aca="false">IF(A9="","",IF(COUNT(D9,G9)=0,"",ROUND(AVERAGE(D9,G9),1)))</f>
        <v/>
      </c>
      <c r="J9" s="7" t="str">
        <f aca="false">IF(OR(A9="",I9=""),"",RANK(I9,$I$3:$I$12))</f>
        <v/>
      </c>
    </row>
    <row r="10" customFormat="false" ht="15" hidden="false" customHeight="false" outlineLevel="0" collapsed="false">
      <c r="A10" s="3"/>
      <c r="B10" s="7" t="str">
        <f aca="false">IF(A10="","",COUNTIF(평가A!$B$3:$B$52,A10))</f>
        <v/>
      </c>
      <c r="C10" s="7" t="str">
        <f aca="false">IF(A10="","",COUNTIFS(평가B!$B$3:$B$52,A10,평가B!$H$3:$H$52,"&gt;=0"))</f>
        <v/>
      </c>
      <c r="D10" s="7" t="str">
        <f aca="false">IF(A10="","",IF(C10=0,"",ROUND(SUMIFS(평가B!$H$3:$H$52,평가B!$B$3:$B$52,A10)/C10,1)))</f>
        <v/>
      </c>
      <c r="E10" s="7" t="str">
        <f aca="false">IF(OR(A10="",D10=""),"",IF(D10&gt;=TEAM_GOAL,"달성","도전 중"))</f>
        <v/>
      </c>
      <c r="F10" s="7" t="str">
        <f aca="false">IF(A10="","",COUNTIFS(평가C!$B$3:$B$52,A10,평가C!$H$3:$H$52,"&gt;=0"))</f>
        <v/>
      </c>
      <c r="G10" s="7" t="str">
        <f aca="false">IF(A10="","",IF(F10=0,"",ROUND(SUMIFS(평가C!$H$3:$H$52,평가C!$B$3:$B$52,A10)/F10,1)))</f>
        <v/>
      </c>
      <c r="H10" s="7" t="str">
        <f aca="false">IF(OR(A10="",G10=""),"",IF(G10&gt;=TEAM_GOAL,"달성","도전 중"))</f>
        <v/>
      </c>
      <c r="I10" s="7" t="str">
        <f aca="false">IF(A10="","",IF(COUNT(D10,G10)=0,"",ROUND(AVERAGE(D10,G10),1)))</f>
        <v/>
      </c>
      <c r="J10" s="7" t="str">
        <f aca="false">IF(OR(A10="",I10=""),"",RANK(I10,$I$3:$I$12))</f>
        <v/>
      </c>
    </row>
    <row r="11" customFormat="false" ht="15" hidden="false" customHeight="false" outlineLevel="0" collapsed="false">
      <c r="A11" s="3"/>
      <c r="B11" s="7" t="str">
        <f aca="false">IF(A11="","",COUNTIF(평가A!$B$3:$B$52,A11))</f>
        <v/>
      </c>
      <c r="C11" s="7" t="str">
        <f aca="false">IF(A11="","",COUNTIFS(평가B!$B$3:$B$52,A11,평가B!$H$3:$H$52,"&gt;=0"))</f>
        <v/>
      </c>
      <c r="D11" s="7" t="str">
        <f aca="false">IF(A11="","",IF(C11=0,"",ROUND(SUMIFS(평가B!$H$3:$H$52,평가B!$B$3:$B$52,A11)/C11,1)))</f>
        <v/>
      </c>
      <c r="E11" s="7" t="str">
        <f aca="false">IF(OR(A11="",D11=""),"",IF(D11&gt;=TEAM_GOAL,"달성","도전 중"))</f>
        <v/>
      </c>
      <c r="F11" s="7" t="str">
        <f aca="false">IF(A11="","",COUNTIFS(평가C!$B$3:$B$52,A11,평가C!$H$3:$H$52,"&gt;=0"))</f>
        <v/>
      </c>
      <c r="G11" s="7" t="str">
        <f aca="false">IF(A11="","",IF(F11=0,"",ROUND(SUMIFS(평가C!$H$3:$H$52,평가C!$B$3:$B$52,A11)/F11,1)))</f>
        <v/>
      </c>
      <c r="H11" s="7" t="str">
        <f aca="false">IF(OR(A11="",G11=""),"",IF(G11&gt;=TEAM_GOAL,"달성","도전 중"))</f>
        <v/>
      </c>
      <c r="I11" s="7" t="str">
        <f aca="false">IF(A11="","",IF(COUNT(D11,G11)=0,"",ROUND(AVERAGE(D11,G11),1)))</f>
        <v/>
      </c>
      <c r="J11" s="7" t="str">
        <f aca="false">IF(OR(A11="",I11=""),"",RANK(I11,$I$3:$I$12))</f>
        <v/>
      </c>
    </row>
    <row r="12" customFormat="false" ht="15" hidden="false" customHeight="false" outlineLevel="0" collapsed="false">
      <c r="A12" s="3"/>
      <c r="B12" s="7" t="str">
        <f aca="false">IF(A12="","",COUNTIF(평가A!$B$3:$B$52,A12))</f>
        <v/>
      </c>
      <c r="C12" s="7" t="str">
        <f aca="false">IF(A12="","",COUNTIFS(평가B!$B$3:$B$52,A12,평가B!$H$3:$H$52,"&gt;=0"))</f>
        <v/>
      </c>
      <c r="D12" s="7" t="str">
        <f aca="false">IF(A12="","",IF(C12=0,"",ROUND(SUMIFS(평가B!$H$3:$H$52,평가B!$B$3:$B$52,A12)/C12,1)))</f>
        <v/>
      </c>
      <c r="E12" s="7" t="str">
        <f aca="false">IF(OR(A12="",D12=""),"",IF(D12&gt;=TEAM_GOAL,"달성","도전 중"))</f>
        <v/>
      </c>
      <c r="F12" s="7" t="str">
        <f aca="false">IF(A12="","",COUNTIFS(평가C!$B$3:$B$52,A12,평가C!$H$3:$H$52,"&gt;=0"))</f>
        <v/>
      </c>
      <c r="G12" s="7" t="str">
        <f aca="false">IF(A12="","",IF(F12=0,"",ROUND(SUMIFS(평가C!$H$3:$H$52,평가C!$B$3:$B$52,A12)/F12,1)))</f>
        <v/>
      </c>
      <c r="H12" s="7" t="str">
        <f aca="false">IF(OR(A12="",G12=""),"",IF(G12&gt;=TEAM_GOAL,"달성","도전 중"))</f>
        <v/>
      </c>
      <c r="I12" s="7" t="str">
        <f aca="false">IF(A12="","",IF(COUNT(D12,G12)=0,"",ROUND(AVERAGE(D12,G12),1)))</f>
        <v/>
      </c>
      <c r="J12" s="7" t="str">
        <f aca="false">IF(OR(A12="",I12=""),"",RANK(I12,$I$3:$I$12))</f>
        <v/>
      </c>
    </row>
    <row r="15" customFormat="false" ht="17.15" hidden="false" customHeight="false" outlineLevel="0" collapsed="false">
      <c r="A15" s="11" t="s">
        <v>50</v>
      </c>
    </row>
    <row r="16" customFormat="false" ht="28.35" hidden="false" customHeight="false" outlineLevel="0" collapsed="false">
      <c r="A16" s="10" t="s">
        <v>51</v>
      </c>
      <c r="B16" s="10" t="s">
        <v>52</v>
      </c>
      <c r="C16" s="10" t="s">
        <v>53</v>
      </c>
      <c r="D16" s="10" t="s">
        <v>54</v>
      </c>
      <c r="E16" s="10" t="s">
        <v>55</v>
      </c>
      <c r="F16" s="10" t="s">
        <v>56</v>
      </c>
      <c r="G16" s="10" t="s">
        <v>57</v>
      </c>
      <c r="H16" s="10" t="s">
        <v>58</v>
      </c>
      <c r="I16" s="10" t="s">
        <v>59</v>
      </c>
    </row>
    <row r="17" customFormat="false" ht="15" hidden="false" customHeight="false" outlineLevel="0" collapsed="false">
      <c r="A17" s="12" t="s">
        <v>60</v>
      </c>
      <c r="B17" s="7" t="n">
        <f aca="false">COUNTIF(참가자!$A$3:$A$52,"?*")</f>
        <v>12</v>
      </c>
      <c r="C17" s="3"/>
      <c r="D17" s="7" t="n">
        <f aca="false">COUNTIF(진단!$D$3:$D$52,"응시")</f>
        <v>11</v>
      </c>
      <c r="E17" s="7" t="n">
        <f aca="false">IF(IF(C17="",B17,C17)=0,"",ROUND(D17/IF(C17="",B17,C17)*100,1))</f>
        <v>91.7</v>
      </c>
      <c r="F17" s="7" t="n">
        <f aca="false">IF(D17=0,"",ROUND(AVERAGE(진단!$C$3:$C$52),1))</f>
        <v>61.4</v>
      </c>
      <c r="G17" s="7" t="n">
        <f aca="false">COUNTIF(진단!$E$3:$E$52,"중복*")</f>
        <v>1</v>
      </c>
      <c r="H17" s="7" t="n">
        <f aca="false">COUNTIF(진단!$R$3:$R$102,"명단*")</f>
        <v>0</v>
      </c>
      <c r="I17" s="7" t="str">
        <f aca="false">IF(C17="","(출석 인원 입력 시)",MAX(0,C17-D17))</f>
        <v>(출석 인원 입력 시)</v>
      </c>
    </row>
    <row r="18" customFormat="false" ht="15" hidden="false" customHeight="false" outlineLevel="0" collapsed="false">
      <c r="A18" s="12" t="s">
        <v>61</v>
      </c>
      <c r="B18" s="7" t="n">
        <f aca="false">COUNTIF(참가자!$A$3:$A$52,"?*")</f>
        <v>12</v>
      </c>
      <c r="C18" s="3"/>
      <c r="D18" s="7" t="n">
        <f aca="false">COUNTIF(평가A!$D$3:$D$52,"응시")</f>
        <v>10</v>
      </c>
      <c r="E18" s="7" t="n">
        <f aca="false">IF(IF(C18="",B18,C18)=0,"",ROUND(D18/IF(C18="",B18,C18)*100,1))</f>
        <v>83.3</v>
      </c>
      <c r="F18" s="7" t="n">
        <f aca="false">IF(D18=0,"",ROUND(AVERAGE(평가A!$C$3:$C$52),1))</f>
        <v>68</v>
      </c>
      <c r="G18" s="7" t="n">
        <f aca="false">COUNTIF(평가A!$E$3:$E$52,"중복*")</f>
        <v>0</v>
      </c>
      <c r="H18" s="7" t="n">
        <f aca="false">COUNTIF(평가A!$R$3:$R$102,"명단*")</f>
        <v>0</v>
      </c>
      <c r="I18" s="7" t="str">
        <f aca="false">IF(C18="","(출석 인원 입력 시)",MAX(0,C18-D18))</f>
        <v>(출석 인원 입력 시)</v>
      </c>
    </row>
    <row r="19" customFormat="false" ht="15" hidden="false" customHeight="false" outlineLevel="0" collapsed="false">
      <c r="A19" s="12" t="s">
        <v>62</v>
      </c>
      <c r="B19" s="7" t="n">
        <f aca="false">COUNTIF(참가자!$A$3:$A$52,"?*")</f>
        <v>12</v>
      </c>
      <c r="C19" s="3"/>
      <c r="D19" s="7" t="n">
        <f aca="false">COUNTIF(평가B!$D$3:$D$52,"응시")</f>
        <v>11</v>
      </c>
      <c r="E19" s="7" t="n">
        <f aca="false">IF(IF(C19="",B19,C19)=0,"",ROUND(D19/IF(C19="",B19,C19)*100,1))</f>
        <v>91.7</v>
      </c>
      <c r="F19" s="7" t="n">
        <f aca="false">IF(D19=0,"",ROUND(AVERAGE(평가B!$C$3:$C$52),1))</f>
        <v>75</v>
      </c>
      <c r="G19" s="7" t="n">
        <f aca="false">COUNTIF(평가B!$E$3:$E$52,"중복*")</f>
        <v>0</v>
      </c>
      <c r="H19" s="7" t="n">
        <f aca="false">COUNTIF(평가B!$R$3:$R$102,"명단*")</f>
        <v>0</v>
      </c>
      <c r="I19" s="7" t="str">
        <f aca="false">IF(C19="","(출석 인원 입력 시)",MAX(0,C19-D19))</f>
        <v>(출석 인원 입력 시)</v>
      </c>
    </row>
    <row r="20" customFormat="false" ht="15" hidden="false" customHeight="false" outlineLevel="0" collapsed="false">
      <c r="A20" s="12" t="s">
        <v>63</v>
      </c>
      <c r="B20" s="7" t="n">
        <f aca="false">COUNTIF(참가자!$A$3:$A$52,"?*")</f>
        <v>12</v>
      </c>
      <c r="C20" s="3"/>
      <c r="D20" s="7" t="n">
        <f aca="false">COUNTIF(평가C!$D$3:$D$52,"응시")</f>
        <v>10</v>
      </c>
      <c r="E20" s="7" t="n">
        <f aca="false">IF(IF(C20="",B20,C20)=0,"",ROUND(D20/IF(C20="",B20,C20)*100,1))</f>
        <v>83.3</v>
      </c>
      <c r="F20" s="7" t="n">
        <f aca="false">IF(D20=0,"",ROUND(AVERAGE(평가C!$C$3:$C$52),1))</f>
        <v>70.5</v>
      </c>
      <c r="G20" s="7" t="n">
        <f aca="false">COUNTIF(평가C!$E$3:$E$52,"중복*")</f>
        <v>0</v>
      </c>
      <c r="H20" s="7" t="n">
        <f aca="false">COUNTIF(평가C!$R$3:$R$102,"명단*")</f>
        <v>1</v>
      </c>
      <c r="I20" s="7" t="str">
        <f aca="false">IF(C20="","(출석 인원 입력 시)",MAX(0,C20-D20))</f>
        <v>(출석 인원 입력 시)</v>
      </c>
    </row>
    <row r="22" customFormat="false" ht="15" hidden="false" customHeight="false" outlineLevel="0" collapsed="false">
      <c r="A22" s="13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0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14" t="s">
        <v>65</v>
      </c>
    </row>
    <row r="2" customFormat="false" ht="15" hidden="false" customHeight="false" outlineLevel="0" collapsed="false">
      <c r="A2" s="13" t="s">
        <v>66</v>
      </c>
    </row>
    <row r="4" customFormat="false" ht="17.15" hidden="false" customHeight="false" outlineLevel="0" collapsed="false">
      <c r="A4" s="11" t="s">
        <v>67</v>
      </c>
    </row>
    <row r="5" customFormat="false" ht="15" hidden="false" customHeight="false" outlineLevel="0" collapsed="false">
      <c r="A5" s="2" t="s">
        <v>68</v>
      </c>
      <c r="B5" s="2" t="s">
        <v>69</v>
      </c>
      <c r="C5" s="2" t="s">
        <v>70</v>
      </c>
    </row>
    <row r="6" customFormat="false" ht="28.35" hidden="false" customHeight="false" outlineLevel="0" collapsed="false">
      <c r="A6" s="15" t="s">
        <v>71</v>
      </c>
      <c r="B6" s="16" t="s">
        <v>72</v>
      </c>
      <c r="C6" s="17" t="n">
        <v>90</v>
      </c>
    </row>
    <row r="7" customFormat="false" ht="15" hidden="false" customHeight="false" outlineLevel="0" collapsed="false">
      <c r="A7" s="15" t="s">
        <v>73</v>
      </c>
      <c r="B7" s="16" t="s">
        <v>74</v>
      </c>
      <c r="C7" s="17" t="n">
        <v>0</v>
      </c>
    </row>
    <row r="8" customFormat="false" ht="15" hidden="false" customHeight="false" outlineLevel="0" collapsed="false">
      <c r="A8" s="15" t="s">
        <v>75</v>
      </c>
      <c r="B8" s="16" t="s">
        <v>76</v>
      </c>
      <c r="C8" s="17" t="n">
        <v>10</v>
      </c>
    </row>
    <row r="9" customFormat="false" ht="15" hidden="false" customHeight="false" outlineLevel="0" collapsed="false">
      <c r="A9" s="15" t="s">
        <v>77</v>
      </c>
      <c r="B9" s="16" t="s">
        <v>78</v>
      </c>
      <c r="C9" s="17" t="n">
        <v>0</v>
      </c>
    </row>
    <row r="10" customFormat="false" ht="15" hidden="false" customHeight="false" outlineLevel="0" collapsed="false">
      <c r="A10" s="15" t="s">
        <v>79</v>
      </c>
      <c r="B10" s="16" t="s">
        <v>80</v>
      </c>
      <c r="C10" s="17" t="n">
        <v>10</v>
      </c>
    </row>
    <row r="11" customFormat="false" ht="15" hidden="false" customHeight="false" outlineLevel="0" collapsed="false">
      <c r="A11" s="15" t="s">
        <v>81</v>
      </c>
      <c r="B11" s="16" t="s">
        <v>82</v>
      </c>
      <c r="C11" s="17" t="n">
        <v>20</v>
      </c>
    </row>
    <row r="12" customFormat="false" ht="15" hidden="false" customHeight="false" outlineLevel="0" collapsed="false">
      <c r="A12" s="15" t="s">
        <v>83</v>
      </c>
      <c r="B12" s="16" t="s">
        <v>84</v>
      </c>
      <c r="C12" s="17" t="n">
        <v>15</v>
      </c>
    </row>
    <row r="13" customFormat="false" ht="15" hidden="false" customHeight="false" outlineLevel="0" collapsed="false">
      <c r="A13" s="15" t="s">
        <v>85</v>
      </c>
      <c r="B13" s="16" t="s">
        <v>86</v>
      </c>
      <c r="C13" s="17" t="n">
        <v>1</v>
      </c>
    </row>
    <row r="15" customFormat="false" ht="15" hidden="false" customHeight="false" outlineLevel="0" collapsed="false">
      <c r="A15" s="18"/>
    </row>
    <row r="16" customFormat="false" ht="17.15" hidden="false" customHeight="false" outlineLevel="0" collapsed="false">
      <c r="A16" s="11" t="s">
        <v>87</v>
      </c>
    </row>
    <row r="17" customFormat="false" ht="15" hidden="false" customHeight="false" outlineLevel="0" collapsed="false">
      <c r="A17" s="18" t="s">
        <v>88</v>
      </c>
    </row>
    <row r="18" customFormat="false" ht="15" hidden="false" customHeight="false" outlineLevel="0" collapsed="false">
      <c r="A18" s="18" t="s">
        <v>89</v>
      </c>
    </row>
    <row r="19" customFormat="false" ht="15" hidden="false" customHeight="false" outlineLevel="0" collapsed="false">
      <c r="A19" s="18" t="s">
        <v>90</v>
      </c>
    </row>
    <row r="20" customFormat="false" ht="15" hidden="false" customHeight="false" outlineLevel="0" collapsed="false">
      <c r="A20" s="18" t="s">
        <v>91</v>
      </c>
    </row>
    <row r="21" customFormat="false" ht="15" hidden="false" customHeight="false" outlineLevel="0" collapsed="false">
      <c r="A21" s="18" t="s">
        <v>92</v>
      </c>
    </row>
    <row r="22" customFormat="false" ht="15" hidden="false" customHeight="false" outlineLevel="0" collapsed="false">
      <c r="A22" s="18" t="s">
        <v>93</v>
      </c>
    </row>
    <row r="23" customFormat="false" ht="15" hidden="false" customHeight="false" outlineLevel="0" collapsed="false">
      <c r="A23" s="18"/>
    </row>
    <row r="24" customFormat="false" ht="16.15" hidden="false" customHeight="false" outlineLevel="0" collapsed="false">
      <c r="A24" s="11" t="s">
        <v>94</v>
      </c>
    </row>
    <row r="25" customFormat="false" ht="15" hidden="false" customHeight="false" outlineLevel="0" collapsed="false">
      <c r="A25" s="18" t="s">
        <v>95</v>
      </c>
    </row>
    <row r="26" customFormat="false" ht="15" hidden="false" customHeight="false" outlineLevel="0" collapsed="false">
      <c r="A26" s="18" t="s">
        <v>96</v>
      </c>
    </row>
    <row r="27" customFormat="false" ht="15" hidden="false" customHeight="false" outlineLevel="0" collapsed="false">
      <c r="A27" s="18" t="s">
        <v>97</v>
      </c>
    </row>
    <row r="28" customFormat="false" ht="15" hidden="false" customHeight="false" outlineLevel="0" collapsed="false">
      <c r="A28" s="18"/>
    </row>
    <row r="29" customFormat="false" ht="17.15" hidden="false" customHeight="false" outlineLevel="0" collapsed="false">
      <c r="A29" s="11" t="s">
        <v>98</v>
      </c>
    </row>
    <row r="30" customFormat="false" ht="15" hidden="false" customHeight="false" outlineLevel="0" collapsed="false">
      <c r="A30" s="18" t="s">
        <v>99</v>
      </c>
    </row>
    <row r="31" customFormat="false" ht="15" hidden="false" customHeight="false" outlineLevel="0" collapsed="false">
      <c r="A31" s="18" t="s">
        <v>100</v>
      </c>
    </row>
    <row r="32" customFormat="false" ht="15" hidden="false" customHeight="false" outlineLevel="0" collapsed="false">
      <c r="A32" s="19" t="s">
        <v>101</v>
      </c>
    </row>
    <row r="33" customFormat="false" ht="15" hidden="false" customHeight="false" outlineLevel="0" collapsed="false">
      <c r="A33" s="18" t="s">
        <v>102</v>
      </c>
    </row>
    <row r="34" customFormat="false" ht="15" hidden="false" customHeight="false" outlineLevel="0" collapsed="false">
      <c r="A34" s="19" t="s">
        <v>103</v>
      </c>
    </row>
    <row r="35" customFormat="false" ht="15" hidden="false" customHeight="false" outlineLevel="0" collapsed="false">
      <c r="A35" s="18"/>
    </row>
    <row r="36" customFormat="false" ht="16.15" hidden="false" customHeight="false" outlineLevel="0" collapsed="false">
      <c r="A36" s="11" t="s">
        <v>104</v>
      </c>
    </row>
    <row r="37" customFormat="false" ht="15" hidden="false" customHeight="false" outlineLevel="0" collapsed="false">
      <c r="A37" s="18" t="s">
        <v>105</v>
      </c>
    </row>
    <row r="38" customFormat="false" ht="15" hidden="false" customHeight="false" outlineLevel="0" collapsed="false">
      <c r="A38" s="18" t="s">
        <v>106</v>
      </c>
    </row>
    <row r="39" customFormat="false" ht="15" hidden="false" customHeight="false" outlineLevel="0" collapsed="false">
      <c r="A39" s="18"/>
    </row>
    <row r="40" customFormat="false" ht="17.15" hidden="false" customHeight="false" outlineLevel="0" collapsed="false">
      <c r="A40" s="11" t="s">
        <v>107</v>
      </c>
    </row>
    <row r="41" customFormat="false" ht="15" hidden="false" customHeight="false" outlineLevel="0" collapsed="false">
      <c r="A41" s="19" t="s">
        <v>108</v>
      </c>
    </row>
    <row r="42" customFormat="false" ht="15" hidden="false" customHeight="false" outlineLevel="0" collapsed="false">
      <c r="A42" s="19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2026-11-01T12:25:19Z</dcterms:created>
  <dc:creator>openpyxl</dc:creator>
  <dc:description/>
  <dc:language>en-US</dc:language>
  <cp:lastModifiedBy/>
  <dcterms:modified xsi:type="dcterms:W3CDTF">2026-11-01T12:25:19Z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