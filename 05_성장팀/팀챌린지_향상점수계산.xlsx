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참가자" sheetId="1" state="visible" r:id="rId1"/>
    <sheet xmlns:r="http://schemas.openxmlformats.org/officeDocument/2006/relationships" name="진단" sheetId="2" state="visible" r:id="rId2"/>
    <sheet xmlns:r="http://schemas.openxmlformats.org/officeDocument/2006/relationships" name="평가A" sheetId="3" state="visible" r:id="rId3"/>
    <sheet xmlns:r="http://schemas.openxmlformats.org/officeDocument/2006/relationships" name="평가B" sheetId="4" state="visible" r:id="rId4"/>
    <sheet xmlns:r="http://schemas.openxmlformats.org/officeDocument/2006/relationships" name="평가C" sheetId="5" state="visible" r:id="rId5"/>
    <sheet xmlns:r="http://schemas.openxmlformats.org/officeDocument/2006/relationships" name="팀 점수" sheetId="6" state="visible" r:id="rId6"/>
    <sheet xmlns:r="http://schemas.openxmlformats.org/officeDocument/2006/relationships" name="사용법" sheetId="7" state="visible" r:id="rId7"/>
  </sheets>
  <definedNames>
    <definedName name="HIGH_CUT">'사용법'!$C$6</definedName>
    <definedName name="STEP1">'사용법'!$C$7</definedName>
    <definedName name="STEP2">'사용법'!$C$8</definedName>
    <definedName name="PTS_LOW">'사용법'!$C$9</definedName>
    <definedName name="PTS_MID">'사용법'!$C$10</definedName>
    <definedName name="PTS_HIGH">'사용법'!$C$11</definedName>
    <definedName name="GOAL">'사용법'!$C$12</definedName>
    <definedName name="DIAG_GAP">'사용법'!$C$13</definedName>
    <definedName name="DIAG_ITEMS">'사용법'!$C$14</definedName>
    <definedName name="EVAL_ITEMS">'사용법'!$C$15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</cols>
  <sheetData>
    <row r="1">
      <c r="A1" s="1" t="inlineStr">
        <is>
          <t>참가자 명단 — 실명·학번·연락처 금지. 무작위 6자리 참가자 코드만(예: K7M2QX). (예시 12명은 가짜 데이터)</t>
        </is>
      </c>
    </row>
    <row r="2">
      <c r="A2" s="2" t="inlineStr">
        <is>
          <t>참가자 코드</t>
        </is>
      </c>
      <c r="B2" s="2" t="inlineStr">
        <is>
          <t>팀</t>
        </is>
      </c>
      <c r="C2" s="2" t="inlineStr">
        <is>
          <t>메모(선택, 개인정보 금지)</t>
        </is>
      </c>
    </row>
    <row r="3">
      <c r="A3" s="3" t="inlineStr">
        <is>
          <t>K7M2QX</t>
        </is>
      </c>
      <c r="B3" s="3" t="inlineStr">
        <is>
          <t>1팀</t>
        </is>
      </c>
    </row>
    <row r="4">
      <c r="A4" s="3" t="inlineStr">
        <is>
          <t>R4XT9H</t>
        </is>
      </c>
      <c r="B4" s="3" t="inlineStr">
        <is>
          <t>1팀</t>
        </is>
      </c>
    </row>
    <row r="5">
      <c r="A5" s="3" t="inlineStr">
        <is>
          <t>H9WC3P</t>
        </is>
      </c>
      <c r="B5" s="3" t="inlineStr">
        <is>
          <t>1팀</t>
        </is>
      </c>
    </row>
    <row r="6">
      <c r="A6" s="3" t="inlineStr">
        <is>
          <t>B3NV7K</t>
        </is>
      </c>
      <c r="B6" s="3" t="inlineStr">
        <is>
          <t>2팀</t>
        </is>
      </c>
    </row>
    <row r="7">
      <c r="A7" s="3" t="inlineStr">
        <is>
          <t>Z8DQ4T</t>
        </is>
      </c>
      <c r="B7" s="3" t="inlineStr">
        <is>
          <t>2팀</t>
        </is>
      </c>
    </row>
    <row r="8">
      <c r="A8" s="3" t="inlineStr">
        <is>
          <t>M2PF6Y</t>
        </is>
      </c>
      <c r="B8" s="3" t="inlineStr">
        <is>
          <t>2팀</t>
        </is>
      </c>
    </row>
    <row r="9">
      <c r="A9" s="3" t="inlineStr">
        <is>
          <t>T6YH8R</t>
        </is>
      </c>
      <c r="B9" s="3" t="inlineStr">
        <is>
          <t>3팀</t>
        </is>
      </c>
    </row>
    <row r="10">
      <c r="A10" s="3" t="inlineStr">
        <is>
          <t>C5JR2W</t>
        </is>
      </c>
      <c r="B10" s="3" t="inlineStr">
        <is>
          <t>3팀</t>
        </is>
      </c>
    </row>
    <row r="11">
      <c r="A11" s="3" t="inlineStr">
        <is>
          <t>W3KE5N</t>
        </is>
      </c>
      <c r="B11" s="3" t="inlineStr">
        <is>
          <t>3팀</t>
        </is>
      </c>
    </row>
    <row r="12">
      <c r="A12" s="3" t="inlineStr">
        <is>
          <t>F8UA7G</t>
        </is>
      </c>
      <c r="B12" s="3" t="inlineStr">
        <is>
          <t>4팀</t>
        </is>
      </c>
    </row>
    <row r="13">
      <c r="A13" s="3" t="inlineStr">
        <is>
          <t>N4GS9B</t>
        </is>
      </c>
      <c r="B13" s="3" t="inlineStr">
        <is>
          <t>4팀</t>
        </is>
      </c>
    </row>
    <row r="14">
      <c r="A14" s="3" t="inlineStr">
        <is>
          <t>D7VB3M</t>
        </is>
      </c>
      <c r="B14" s="3" t="inlineStr">
        <is>
          <t>4팀</t>
        </is>
      </c>
    </row>
    <row r="15">
      <c r="A15" s="3" t="n"/>
      <c r="B15" s="3" t="n"/>
    </row>
    <row r="16">
      <c r="A16" s="3" t="n"/>
      <c r="B16" s="3" t="n"/>
    </row>
    <row r="17">
      <c r="A17" s="3" t="n"/>
      <c r="B17" s="3" t="n"/>
    </row>
    <row r="18">
      <c r="A18" s="3" t="n"/>
      <c r="B18" s="3" t="n"/>
    </row>
    <row r="19">
      <c r="A19" s="3" t="n"/>
      <c r="B19" s="3" t="n"/>
    </row>
    <row r="20">
      <c r="A20" s="3" t="n"/>
      <c r="B20" s="3" t="n"/>
    </row>
    <row r="21">
      <c r="A21" s="3" t="n"/>
      <c r="B21" s="3" t="n"/>
    </row>
    <row r="22">
      <c r="A22" s="3" t="n"/>
      <c r="B22" s="3" t="n"/>
    </row>
    <row r="23">
      <c r="A23" s="3" t="n"/>
      <c r="B23" s="3" t="n"/>
    </row>
    <row r="24">
      <c r="A24" s="3" t="n"/>
      <c r="B24" s="3" t="n"/>
    </row>
    <row r="25">
      <c r="A25" s="3" t="n"/>
      <c r="B25" s="3" t="n"/>
    </row>
    <row r="26">
      <c r="A26" s="3" t="n"/>
      <c r="B26" s="3" t="n"/>
    </row>
    <row r="27">
      <c r="A27" s="3" t="n"/>
      <c r="B27" s="3" t="n"/>
    </row>
    <row r="28">
      <c r="A28" s="3" t="n"/>
      <c r="B28" s="3" t="n"/>
    </row>
    <row r="29">
      <c r="A29" s="3" t="n"/>
      <c r="B29" s="3" t="n"/>
    </row>
    <row r="30">
      <c r="A30" s="3" t="n"/>
      <c r="B30" s="3" t="n"/>
    </row>
    <row r="31">
      <c r="A31" s="3" t="n"/>
      <c r="B31" s="3" t="n"/>
    </row>
    <row r="32">
      <c r="A32" s="3" t="n"/>
      <c r="B32" s="3" t="n"/>
    </row>
    <row r="33">
      <c r="A33" s="3" t="n"/>
      <c r="B33" s="3" t="n"/>
    </row>
    <row r="34">
      <c r="A34" s="3" t="n"/>
      <c r="B34" s="3" t="n"/>
    </row>
    <row r="35">
      <c r="A35" s="3" t="n"/>
      <c r="B35" s="3" t="n"/>
    </row>
    <row r="36">
      <c r="A36" s="3" t="n"/>
      <c r="B36" s="3" t="n"/>
    </row>
    <row r="37">
      <c r="A37" s="3" t="n"/>
      <c r="B37" s="3" t="n"/>
    </row>
    <row r="38">
      <c r="A38" s="3" t="n"/>
      <c r="B38" s="3" t="n"/>
    </row>
    <row r="39">
      <c r="A39" s="3" t="n"/>
      <c r="B39" s="3" t="n"/>
    </row>
    <row r="40">
      <c r="A40" s="3" t="n"/>
      <c r="B40" s="3" t="n"/>
    </row>
    <row r="41">
      <c r="A41" s="3" t="n"/>
      <c r="B41" s="3" t="n"/>
    </row>
    <row r="42">
      <c r="A42" s="3" t="n"/>
      <c r="B42" s="3" t="n"/>
    </row>
    <row r="43">
      <c r="A43" s="3" t="n"/>
      <c r="B43" s="3" t="n"/>
    </row>
    <row r="44">
      <c r="A44" s="3" t="n"/>
      <c r="B44" s="3" t="n"/>
    </row>
    <row r="45">
      <c r="A45" s="3" t="n"/>
      <c r="B45" s="3" t="n"/>
    </row>
    <row r="46">
      <c r="A46" s="3" t="n"/>
      <c r="B46" s="3" t="n"/>
    </row>
    <row r="47">
      <c r="A47" s="3" t="n"/>
      <c r="B47" s="3" t="n"/>
    </row>
    <row r="48">
      <c r="A48" s="3" t="n"/>
      <c r="B48" s="3" t="n"/>
    </row>
    <row r="49">
      <c r="A49" s="3" t="n"/>
      <c r="B49" s="3" t="n"/>
    </row>
    <row r="50">
      <c r="A50" s="3" t="n"/>
      <c r="B50" s="3" t="n"/>
    </row>
    <row r="51">
      <c r="A51" s="3" t="n"/>
      <c r="B51" s="3" t="n"/>
    </row>
    <row r="52">
      <c r="A52" s="3" t="n"/>
      <c r="B52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0" customWidth="1" min="4" max="4"/>
    <col width="11" customWidth="1" min="5" max="5"/>
    <col width="11" customWidth="1" min="6" max="6"/>
    <col width="3" customWidth="1" min="17" max="17"/>
    <col width="12" customWidth="1" min="18" max="18"/>
    <col width="8" customWidth="1" min="19" max="19"/>
    <col width="8" customWidth="1" min="20" max="20"/>
    <col width="10" customWidth="1" min="21" max="21"/>
    <col width="3" customWidth="1" min="22" max="22"/>
    <col width="12" customWidth="1" min="23" max="23"/>
    <col width="10" customWidth="1" min="24" max="24"/>
    <col width="10" customWidth="1" min="25" max="25"/>
    <col width="16" customWidth="1" min="26" max="26"/>
    <col width="10" customWidth="1" min="27" max="27"/>
  </cols>
  <sheetData>
    <row r="1">
      <c r="A1" s="1" t="inlineStr">
        <is>
          <t>진단 (1회차, 12문항) — 팀 편성 참고 + 수준 파악에만 씀. 점수(기준점수)에는 쓰지 않음</t>
        </is>
      </c>
      <c r="R1" s="4" t="inlineStr">
        <is>
          <t>붙여넣기 영역 (노란 칸, 3행부터)</t>
        </is>
      </c>
    </row>
    <row r="2">
      <c r="A2" s="5" t="inlineStr">
        <is>
          <t>참가자 코드</t>
        </is>
      </c>
      <c r="B2" s="5" t="inlineStr">
        <is>
          <t>팀</t>
        </is>
      </c>
      <c r="C2" s="5" t="inlineStr">
        <is>
          <t>맞힌 수</t>
        </is>
      </c>
      <c r="D2" s="5" t="inlineStr">
        <is>
          <t>정답률(%)</t>
        </is>
      </c>
      <c r="E2" s="5" t="inlineStr">
        <is>
          <t>상태</t>
        </is>
      </c>
      <c r="F2" s="5" t="inlineStr">
        <is>
          <t>중복 점검</t>
        </is>
      </c>
      <c r="R2" s="6" t="inlineStr">
        <is>
          <t>참가자 코드</t>
        </is>
      </c>
      <c r="S2" s="6" t="inlineStr">
        <is>
          <t>맞힌 수</t>
        </is>
      </c>
      <c r="T2" s="6" t="inlineStr">
        <is>
          <t>문항 수</t>
        </is>
      </c>
      <c r="U2" s="6" t="inlineStr">
        <is>
          <t>정답률(%)</t>
        </is>
      </c>
      <c r="W2" s="2" t="inlineStr">
        <is>
          <t>정리된 코드(자동)</t>
        </is>
      </c>
      <c r="X2" s="2" t="inlineStr">
        <is>
          <t>계산 정답률(자동)</t>
        </is>
      </c>
      <c r="Y2" s="2" t="inlineStr">
        <is>
          <t>비경쟁(자동)</t>
        </is>
      </c>
      <c r="Z2" s="2" t="inlineStr">
        <is>
          <t>명단 점검(자동)</t>
        </is>
      </c>
      <c r="AA2" s="2" t="inlineStr">
        <is>
          <t>맞힌 수(자동)</t>
        </is>
      </c>
    </row>
    <row r="3">
      <c r="A3">
        <f>IF(참가자!A3="","",UPPER(TRIM(참가자!A3)))</f>
        <v/>
      </c>
      <c r="B3">
        <f>IF(A3="","",IF(참가자!B3="","(팀 없음)",TRIM(참가자!B3)))</f>
        <v/>
      </c>
      <c r="C3">
        <f>IF(A3="","",IFERROR(INDEX($AA$3:$AA$102,MATCH(A3,$W$3:$W$102,0)),""))</f>
        <v/>
      </c>
      <c r="D3">
        <f>IF(A3="","",IFERROR(INDEX($X$3:$X$102,MATCH(A3,$W$3:$W$102,0)),""))</f>
        <v/>
      </c>
      <c r="E3">
        <f>IF(A3="","",IF(D3="","결석",IF(IFERROR(INDEX($Y$3:$Y$102,MATCH(A3,$W$3:$W$102,0)),"")="비경쟁","비경쟁 응시","응시")))</f>
        <v/>
      </c>
      <c r="F3">
        <f>IF(A3="","",IF(COUNTIF($W$3:$W$102,A3)&gt;1,"중복! 확인",""))</f>
        <v/>
      </c>
      <c r="R3" s="3" t="inlineStr">
        <is>
          <t>K7M2QX</t>
        </is>
      </c>
      <c r="S3" s="3" t="n"/>
      <c r="T3" s="3" t="n"/>
      <c r="U3" s="3" t="n">
        <v>80</v>
      </c>
      <c r="W3">
        <f>IF(UPPER(TRIM(R3&amp;""))="","",IF(RIGHT(UPPER(TRIM(R3&amp;"")),2)="-N",TRIM(LEFT(UPPER(TRIM(R3&amp;"")),LEN(UPPER(TRIM(R3&amp;"")))-2)),UPPER(TRIM(R3&amp;""))))</f>
        <v/>
      </c>
      <c r="X3">
        <f>IF(W3="","",IF(ISNUMBER(U3),ROUND(U3,1),IF(AND(ISNUMBER(S3),ISNUMBER(T3)),IF(T3&gt;0,ROUND(S3/T3*100,1),""),"")))</f>
        <v/>
      </c>
      <c r="Y3">
        <f>IF(W3="","",IF(RIGHT(UPPER(TRIM(R3&amp;"")),2)="-N","비경쟁",""))</f>
        <v/>
      </c>
      <c r="Z3">
        <f>IF(W3="","",IF(COUNTIF(참가자!$A$3:$A$52,W3)=0,"명단에 없는 코드",""))</f>
        <v/>
      </c>
      <c r="AA3">
        <f>IF(W3="","",IF(ISNUMBER(U3),ROUND(U3*DIAG_ITEMS/100,1),IF(AND(ISNUMBER(S3),ISNUMBER(T3)),IF(T3&gt;0,S3,""),"")))</f>
        <v/>
      </c>
    </row>
    <row r="4">
      <c r="A4">
        <f>IF(참가자!A4="","",UPPER(TRIM(참가자!A4)))</f>
        <v/>
      </c>
      <c r="B4">
        <f>IF(A4="","",IF(참가자!B4="","(팀 없음)",TRIM(참가자!B4)))</f>
        <v/>
      </c>
      <c r="C4">
        <f>IF(A4="","",IFERROR(INDEX($AA$3:$AA$102,MATCH(A4,$W$3:$W$102,0)),""))</f>
        <v/>
      </c>
      <c r="D4">
        <f>IF(A4="","",IFERROR(INDEX($X$3:$X$102,MATCH(A4,$W$3:$W$102,0)),""))</f>
        <v/>
      </c>
      <c r="E4">
        <f>IF(A4="","",IF(D4="","결석",IF(IFERROR(INDEX($Y$3:$Y$102,MATCH(A4,$W$3:$W$102,0)),"")="비경쟁","비경쟁 응시","응시")))</f>
        <v/>
      </c>
      <c r="F4">
        <f>IF(A4="","",IF(COUNTIF($W$3:$W$102,A4)&gt;1,"중복! 확인",""))</f>
        <v/>
      </c>
      <c r="R4" s="3" t="inlineStr">
        <is>
          <t>R4XT9H</t>
        </is>
      </c>
      <c r="S4" s="3" t="n">
        <v>4</v>
      </c>
      <c r="T4" s="3" t="n">
        <v>12</v>
      </c>
      <c r="U4" s="3" t="n"/>
      <c r="W4">
        <f>IF(UPPER(TRIM(R4&amp;""))="","",IF(RIGHT(UPPER(TRIM(R4&amp;"")),2)="-N",TRIM(LEFT(UPPER(TRIM(R4&amp;"")),LEN(UPPER(TRIM(R4&amp;"")))-2)),UPPER(TRIM(R4&amp;""))))</f>
        <v/>
      </c>
      <c r="X4">
        <f>IF(W4="","",IF(ISNUMBER(U4),ROUND(U4,1),IF(AND(ISNUMBER(S4),ISNUMBER(T4)),IF(T4&gt;0,ROUND(S4/T4*100,1),""),"")))</f>
        <v/>
      </c>
      <c r="Y4">
        <f>IF(W4="","",IF(RIGHT(UPPER(TRIM(R4&amp;"")),2)="-N","비경쟁",""))</f>
        <v/>
      </c>
      <c r="Z4">
        <f>IF(W4="","",IF(COUNTIF(참가자!$A$3:$A$52,W4)=0,"명단에 없는 코드",""))</f>
        <v/>
      </c>
      <c r="AA4">
        <f>IF(W4="","",IF(ISNUMBER(U4),ROUND(U4*DIAG_ITEMS/100,1),IF(AND(ISNUMBER(S4),ISNUMBER(T4)),IF(T4&gt;0,S4,""),"")))</f>
        <v/>
      </c>
    </row>
    <row r="5">
      <c r="A5">
        <f>IF(참가자!A5="","",UPPER(TRIM(참가자!A5)))</f>
        <v/>
      </c>
      <c r="B5">
        <f>IF(A5="","",IF(참가자!B5="","(팀 없음)",TRIM(참가자!B5)))</f>
        <v/>
      </c>
      <c r="C5">
        <f>IF(A5="","",IFERROR(INDEX($AA$3:$AA$102,MATCH(A5,$W$3:$W$102,0)),""))</f>
        <v/>
      </c>
      <c r="D5">
        <f>IF(A5="","",IFERROR(INDEX($X$3:$X$102,MATCH(A5,$W$3:$W$102,0)),""))</f>
        <v/>
      </c>
      <c r="E5">
        <f>IF(A5="","",IF(D5="","결석",IF(IFERROR(INDEX($Y$3:$Y$102,MATCH(A5,$W$3:$W$102,0)),"")="비경쟁","비경쟁 응시","응시")))</f>
        <v/>
      </c>
      <c r="F5">
        <f>IF(A5="","",IF(COUNTIF($W$3:$W$102,A5)&gt;1,"중복! 확인",""))</f>
        <v/>
      </c>
      <c r="R5" s="3" t="inlineStr">
        <is>
          <t>H9WC3P</t>
        </is>
      </c>
      <c r="S5" s="3" t="n">
        <v>5</v>
      </c>
      <c r="T5" s="3" t="n">
        <v>12</v>
      </c>
      <c r="U5" s="3" t="n"/>
      <c r="W5">
        <f>IF(UPPER(TRIM(R5&amp;""))="","",IF(RIGHT(UPPER(TRIM(R5&amp;"")),2)="-N",TRIM(LEFT(UPPER(TRIM(R5&amp;"")),LEN(UPPER(TRIM(R5&amp;"")))-2)),UPPER(TRIM(R5&amp;""))))</f>
        <v/>
      </c>
      <c r="X5">
        <f>IF(W5="","",IF(ISNUMBER(U5),ROUND(U5,1),IF(AND(ISNUMBER(S5),ISNUMBER(T5)),IF(T5&gt;0,ROUND(S5/T5*100,1),""),"")))</f>
        <v/>
      </c>
      <c r="Y5">
        <f>IF(W5="","",IF(RIGHT(UPPER(TRIM(R5&amp;"")),2)="-N","비경쟁",""))</f>
        <v/>
      </c>
      <c r="Z5">
        <f>IF(W5="","",IF(COUNTIF(참가자!$A$3:$A$52,W5)=0,"명단에 없는 코드",""))</f>
        <v/>
      </c>
      <c r="AA5">
        <f>IF(W5="","",IF(ISNUMBER(U5),ROUND(U5*DIAG_ITEMS/100,1),IF(AND(ISNUMBER(S5),ISNUMBER(T5)),IF(T5&gt;0,S5,""),"")))</f>
        <v/>
      </c>
    </row>
    <row r="6">
      <c r="A6">
        <f>IF(참가자!A6="","",UPPER(TRIM(참가자!A6)))</f>
        <v/>
      </c>
      <c r="B6">
        <f>IF(A6="","",IF(참가자!B6="","(팀 없음)",TRIM(참가자!B6)))</f>
        <v/>
      </c>
      <c r="C6">
        <f>IF(A6="","",IFERROR(INDEX($AA$3:$AA$102,MATCH(A6,$W$3:$W$102,0)),""))</f>
        <v/>
      </c>
      <c r="D6">
        <f>IF(A6="","",IFERROR(INDEX($X$3:$X$102,MATCH(A6,$W$3:$W$102,0)),""))</f>
        <v/>
      </c>
      <c r="E6">
        <f>IF(A6="","",IF(D6="","결석",IF(IFERROR(INDEX($Y$3:$Y$102,MATCH(A6,$W$3:$W$102,0)),"")="비경쟁","비경쟁 응시","응시")))</f>
        <v/>
      </c>
      <c r="F6">
        <f>IF(A6="","",IF(COUNTIF($W$3:$W$102,A6)&gt;1,"중복! 확인",""))</f>
        <v/>
      </c>
      <c r="R6" s="3" t="inlineStr">
        <is>
          <t>B3NV7K</t>
        </is>
      </c>
      <c r="S6" s="3" t="n">
        <v>4</v>
      </c>
      <c r="T6" s="3" t="n">
        <v>12</v>
      </c>
      <c r="U6" s="3" t="n"/>
      <c r="W6">
        <f>IF(UPPER(TRIM(R6&amp;""))="","",IF(RIGHT(UPPER(TRIM(R6&amp;"")),2)="-N",TRIM(LEFT(UPPER(TRIM(R6&amp;"")),LEN(UPPER(TRIM(R6&amp;"")))-2)),UPPER(TRIM(R6&amp;""))))</f>
        <v/>
      </c>
      <c r="X6">
        <f>IF(W6="","",IF(ISNUMBER(U6),ROUND(U6,1),IF(AND(ISNUMBER(S6),ISNUMBER(T6)),IF(T6&gt;0,ROUND(S6/T6*100,1),""),"")))</f>
        <v/>
      </c>
      <c r="Y6">
        <f>IF(W6="","",IF(RIGHT(UPPER(TRIM(R6&amp;"")),2)="-N","비경쟁",""))</f>
        <v/>
      </c>
      <c r="Z6">
        <f>IF(W6="","",IF(COUNTIF(참가자!$A$3:$A$52,W6)=0,"명단에 없는 코드",""))</f>
        <v/>
      </c>
      <c r="AA6">
        <f>IF(W6="","",IF(ISNUMBER(U6),ROUND(U6*DIAG_ITEMS/100,1),IF(AND(ISNUMBER(S6),ISNUMBER(T6)),IF(T6&gt;0,S6,""),"")))</f>
        <v/>
      </c>
    </row>
    <row r="7">
      <c r="A7">
        <f>IF(참가자!A7="","",UPPER(TRIM(참가자!A7)))</f>
        <v/>
      </c>
      <c r="B7">
        <f>IF(A7="","",IF(참가자!B7="","(팀 없음)",TRIM(참가자!B7)))</f>
        <v/>
      </c>
      <c r="C7">
        <f>IF(A7="","",IFERROR(INDEX($AA$3:$AA$102,MATCH(A7,$W$3:$W$102,0)),""))</f>
        <v/>
      </c>
      <c r="D7">
        <f>IF(A7="","",IFERROR(INDEX($X$3:$X$102,MATCH(A7,$W$3:$W$102,0)),""))</f>
        <v/>
      </c>
      <c r="E7">
        <f>IF(A7="","",IF(D7="","결석",IF(IFERROR(INDEX($Y$3:$Y$102,MATCH(A7,$W$3:$W$102,0)),"")="비경쟁","비경쟁 응시","응시")))</f>
        <v/>
      </c>
      <c r="F7">
        <f>IF(A7="","",IF(COUNTIF($W$3:$W$102,A7)&gt;1,"중복! 확인",""))</f>
        <v/>
      </c>
      <c r="R7" s="3" t="inlineStr">
        <is>
          <t>Z8DQ4T</t>
        </is>
      </c>
      <c r="S7" s="3" t="n">
        <v>9</v>
      </c>
      <c r="T7" s="3" t="n">
        <v>12</v>
      </c>
      <c r="U7" s="3" t="n"/>
      <c r="W7">
        <f>IF(UPPER(TRIM(R7&amp;""))="","",IF(RIGHT(UPPER(TRIM(R7&amp;"")),2)="-N",TRIM(LEFT(UPPER(TRIM(R7&amp;"")),LEN(UPPER(TRIM(R7&amp;"")))-2)),UPPER(TRIM(R7&amp;""))))</f>
        <v/>
      </c>
      <c r="X7">
        <f>IF(W7="","",IF(ISNUMBER(U7),ROUND(U7,1),IF(AND(ISNUMBER(S7),ISNUMBER(T7)),IF(T7&gt;0,ROUND(S7/T7*100,1),""),"")))</f>
        <v/>
      </c>
      <c r="Y7">
        <f>IF(W7="","",IF(RIGHT(UPPER(TRIM(R7&amp;"")),2)="-N","비경쟁",""))</f>
        <v/>
      </c>
      <c r="Z7">
        <f>IF(W7="","",IF(COUNTIF(참가자!$A$3:$A$52,W7)=0,"명단에 없는 코드",""))</f>
        <v/>
      </c>
      <c r="AA7">
        <f>IF(W7="","",IF(ISNUMBER(U7),ROUND(U7*DIAG_ITEMS/100,1),IF(AND(ISNUMBER(S7),ISNUMBER(T7)),IF(T7&gt;0,S7,""),"")))</f>
        <v/>
      </c>
    </row>
    <row r="8">
      <c r="A8">
        <f>IF(참가자!A8="","",UPPER(TRIM(참가자!A8)))</f>
        <v/>
      </c>
      <c r="B8">
        <f>IF(A8="","",IF(참가자!B8="","(팀 없음)",TRIM(참가자!B8)))</f>
        <v/>
      </c>
      <c r="C8">
        <f>IF(A8="","",IFERROR(INDEX($AA$3:$AA$102,MATCH(A8,$W$3:$W$102,0)),""))</f>
        <v/>
      </c>
      <c r="D8">
        <f>IF(A8="","",IFERROR(INDEX($X$3:$X$102,MATCH(A8,$W$3:$W$102,0)),""))</f>
        <v/>
      </c>
      <c r="E8">
        <f>IF(A8="","",IF(D8="","결석",IF(IFERROR(INDEX($Y$3:$Y$102,MATCH(A8,$W$3:$W$102,0)),"")="비경쟁","비경쟁 응시","응시")))</f>
        <v/>
      </c>
      <c r="F8">
        <f>IF(A8="","",IF(COUNTIF($W$3:$W$102,A8)&gt;1,"중복! 확인",""))</f>
        <v/>
      </c>
      <c r="R8" s="3" t="inlineStr">
        <is>
          <t>M2PF6Y</t>
        </is>
      </c>
      <c r="S8" s="3" t="n">
        <v>8</v>
      </c>
      <c r="T8" s="3" t="n">
        <v>12</v>
      </c>
      <c r="U8" s="3" t="n"/>
      <c r="W8">
        <f>IF(UPPER(TRIM(R8&amp;""))="","",IF(RIGHT(UPPER(TRIM(R8&amp;"")),2)="-N",TRIM(LEFT(UPPER(TRIM(R8&amp;"")),LEN(UPPER(TRIM(R8&amp;"")))-2)),UPPER(TRIM(R8&amp;""))))</f>
        <v/>
      </c>
      <c r="X8">
        <f>IF(W8="","",IF(ISNUMBER(U8),ROUND(U8,1),IF(AND(ISNUMBER(S8),ISNUMBER(T8)),IF(T8&gt;0,ROUND(S8/T8*100,1),""),"")))</f>
        <v/>
      </c>
      <c r="Y8">
        <f>IF(W8="","",IF(RIGHT(UPPER(TRIM(R8&amp;"")),2)="-N","비경쟁",""))</f>
        <v/>
      </c>
      <c r="Z8">
        <f>IF(W8="","",IF(COUNTIF(참가자!$A$3:$A$52,W8)=0,"명단에 없는 코드",""))</f>
        <v/>
      </c>
      <c r="AA8">
        <f>IF(W8="","",IF(ISNUMBER(U8),ROUND(U8*DIAG_ITEMS/100,1),IF(AND(ISNUMBER(S8),ISNUMBER(T8)),IF(T8&gt;0,S8,""),"")))</f>
        <v/>
      </c>
    </row>
    <row r="9">
      <c r="A9">
        <f>IF(참가자!A9="","",UPPER(TRIM(참가자!A9)))</f>
        <v/>
      </c>
      <c r="B9">
        <f>IF(A9="","",IF(참가자!B9="","(팀 없음)",TRIM(참가자!B9)))</f>
        <v/>
      </c>
      <c r="C9">
        <f>IF(A9="","",IFERROR(INDEX($AA$3:$AA$102,MATCH(A9,$W$3:$W$102,0)),""))</f>
        <v/>
      </c>
      <c r="D9">
        <f>IF(A9="","",IFERROR(INDEX($X$3:$X$102,MATCH(A9,$W$3:$W$102,0)),""))</f>
        <v/>
      </c>
      <c r="E9">
        <f>IF(A9="","",IF(D9="","결석",IF(IFERROR(INDEX($Y$3:$Y$102,MATCH(A9,$W$3:$W$102,0)),"")="비경쟁","비경쟁 응시","응시")))</f>
        <v/>
      </c>
      <c r="F9">
        <f>IF(A9="","",IF(COUNTIF($W$3:$W$102,A9)&gt;1,"중복! 확인",""))</f>
        <v/>
      </c>
      <c r="R9" s="3" t="inlineStr">
        <is>
          <t>T6YH8R</t>
        </is>
      </c>
      <c r="S9" s="3" t="n">
        <v>12</v>
      </c>
      <c r="T9" s="3" t="n">
        <v>12</v>
      </c>
      <c r="U9" s="3" t="n"/>
      <c r="W9">
        <f>IF(UPPER(TRIM(R9&amp;""))="","",IF(RIGHT(UPPER(TRIM(R9&amp;"")),2)="-N",TRIM(LEFT(UPPER(TRIM(R9&amp;"")),LEN(UPPER(TRIM(R9&amp;"")))-2)),UPPER(TRIM(R9&amp;""))))</f>
        <v/>
      </c>
      <c r="X9">
        <f>IF(W9="","",IF(ISNUMBER(U9),ROUND(U9,1),IF(AND(ISNUMBER(S9),ISNUMBER(T9)),IF(T9&gt;0,ROUND(S9/T9*100,1),""),"")))</f>
        <v/>
      </c>
      <c r="Y9">
        <f>IF(W9="","",IF(RIGHT(UPPER(TRIM(R9&amp;"")),2)="-N","비경쟁",""))</f>
        <v/>
      </c>
      <c r="Z9">
        <f>IF(W9="","",IF(COUNTIF(참가자!$A$3:$A$52,W9)=0,"명단에 없는 코드",""))</f>
        <v/>
      </c>
      <c r="AA9">
        <f>IF(W9="","",IF(ISNUMBER(U9),ROUND(U9*DIAG_ITEMS/100,1),IF(AND(ISNUMBER(S9),ISNUMBER(T9)),IF(T9&gt;0,S9,""),"")))</f>
        <v/>
      </c>
    </row>
    <row r="10">
      <c r="A10">
        <f>IF(참가자!A10="","",UPPER(TRIM(참가자!A10)))</f>
        <v/>
      </c>
      <c r="B10">
        <f>IF(A10="","",IF(참가자!B10="","(팀 없음)",TRIM(참가자!B10)))</f>
        <v/>
      </c>
      <c r="C10">
        <f>IF(A10="","",IFERROR(INDEX($AA$3:$AA$102,MATCH(A10,$W$3:$W$102,0)),""))</f>
        <v/>
      </c>
      <c r="D10">
        <f>IF(A10="","",IFERROR(INDEX($X$3:$X$102,MATCH(A10,$W$3:$W$102,0)),""))</f>
        <v/>
      </c>
      <c r="E10">
        <f>IF(A10="","",IF(D10="","결석",IF(IFERROR(INDEX($Y$3:$Y$102,MATCH(A10,$W$3:$W$102,0)),"")="비경쟁","비경쟁 응시","응시")))</f>
        <v/>
      </c>
      <c r="F10">
        <f>IF(A10="","",IF(COUNTIF($W$3:$W$102,A10)&gt;1,"중복! 확인",""))</f>
        <v/>
      </c>
      <c r="R10" s="3" t="inlineStr">
        <is>
          <t>C5JR2W</t>
        </is>
      </c>
      <c r="S10" s="3" t="n">
        <v>7</v>
      </c>
      <c r="T10" s="3" t="n">
        <v>12</v>
      </c>
      <c r="U10" s="3" t="n"/>
      <c r="W10">
        <f>IF(UPPER(TRIM(R10&amp;""))="","",IF(RIGHT(UPPER(TRIM(R10&amp;"")),2)="-N",TRIM(LEFT(UPPER(TRIM(R10&amp;"")),LEN(UPPER(TRIM(R10&amp;"")))-2)),UPPER(TRIM(R10&amp;""))))</f>
        <v/>
      </c>
      <c r="X10">
        <f>IF(W10="","",IF(ISNUMBER(U10),ROUND(U10,1),IF(AND(ISNUMBER(S10),ISNUMBER(T10)),IF(T10&gt;0,ROUND(S10/T10*100,1),""),"")))</f>
        <v/>
      </c>
      <c r="Y10">
        <f>IF(W10="","",IF(RIGHT(UPPER(TRIM(R10&amp;"")),2)="-N","비경쟁",""))</f>
        <v/>
      </c>
      <c r="Z10">
        <f>IF(W10="","",IF(COUNTIF(참가자!$A$3:$A$52,W10)=0,"명단에 없는 코드",""))</f>
        <v/>
      </c>
      <c r="AA10">
        <f>IF(W10="","",IF(ISNUMBER(U10),ROUND(U10*DIAG_ITEMS/100,1),IF(AND(ISNUMBER(S10),ISNUMBER(T10)),IF(T10&gt;0,S10,""),"")))</f>
        <v/>
      </c>
    </row>
    <row r="11">
      <c r="A11">
        <f>IF(참가자!A11="","",UPPER(TRIM(참가자!A11)))</f>
        <v/>
      </c>
      <c r="B11">
        <f>IF(A11="","",IF(참가자!B11="","(팀 없음)",TRIM(참가자!B11)))</f>
        <v/>
      </c>
      <c r="C11">
        <f>IF(A11="","",IFERROR(INDEX($AA$3:$AA$102,MATCH(A11,$W$3:$W$102,0)),""))</f>
        <v/>
      </c>
      <c r="D11">
        <f>IF(A11="","",IFERROR(INDEX($X$3:$X$102,MATCH(A11,$W$3:$W$102,0)),""))</f>
        <v/>
      </c>
      <c r="E11">
        <f>IF(A11="","",IF(D11="","결석",IF(IFERROR(INDEX($Y$3:$Y$102,MATCH(A11,$W$3:$W$102,0)),"")="비경쟁","비경쟁 응시","응시")))</f>
        <v/>
      </c>
      <c r="F11">
        <f>IF(A11="","",IF(COUNTIF($W$3:$W$102,A11)&gt;1,"중복! 확인",""))</f>
        <v/>
      </c>
      <c r="R11" s="3" t="inlineStr">
        <is>
          <t>F8UA7G</t>
        </is>
      </c>
      <c r="S11" s="3" t="n">
        <v>3</v>
      </c>
      <c r="T11" s="3" t="n">
        <v>12</v>
      </c>
      <c r="U11" s="3" t="n"/>
      <c r="W11">
        <f>IF(UPPER(TRIM(R11&amp;""))="","",IF(RIGHT(UPPER(TRIM(R11&amp;"")),2)="-N",TRIM(LEFT(UPPER(TRIM(R11&amp;"")),LEN(UPPER(TRIM(R11&amp;"")))-2)),UPPER(TRIM(R11&amp;""))))</f>
        <v/>
      </c>
      <c r="X11">
        <f>IF(W11="","",IF(ISNUMBER(U11),ROUND(U11,1),IF(AND(ISNUMBER(S11),ISNUMBER(T11)),IF(T11&gt;0,ROUND(S11/T11*100,1),""),"")))</f>
        <v/>
      </c>
      <c r="Y11">
        <f>IF(W11="","",IF(RIGHT(UPPER(TRIM(R11&amp;"")),2)="-N","비경쟁",""))</f>
        <v/>
      </c>
      <c r="Z11">
        <f>IF(W11="","",IF(COUNTIF(참가자!$A$3:$A$52,W11)=0,"명단에 없는 코드",""))</f>
        <v/>
      </c>
      <c r="AA11">
        <f>IF(W11="","",IF(ISNUMBER(U11),ROUND(U11*DIAG_ITEMS/100,1),IF(AND(ISNUMBER(S11),ISNUMBER(T11)),IF(T11&gt;0,S11,""),"")))</f>
        <v/>
      </c>
    </row>
    <row r="12">
      <c r="A12">
        <f>IF(참가자!A12="","",UPPER(TRIM(참가자!A12)))</f>
        <v/>
      </c>
      <c r="B12">
        <f>IF(A12="","",IF(참가자!B12="","(팀 없음)",TRIM(참가자!B12)))</f>
        <v/>
      </c>
      <c r="C12">
        <f>IF(A12="","",IFERROR(INDEX($AA$3:$AA$102,MATCH(A12,$W$3:$W$102,0)),""))</f>
        <v/>
      </c>
      <c r="D12">
        <f>IF(A12="","",IFERROR(INDEX($X$3:$X$102,MATCH(A12,$W$3:$W$102,0)),""))</f>
        <v/>
      </c>
      <c r="E12">
        <f>IF(A12="","",IF(D12="","결석",IF(IFERROR(INDEX($Y$3:$Y$102,MATCH(A12,$W$3:$W$102,0)),"")="비경쟁","비경쟁 응시","응시")))</f>
        <v/>
      </c>
      <c r="F12">
        <f>IF(A12="","",IF(COUNTIF($W$3:$W$102,A12)&gt;1,"중복! 확인",""))</f>
        <v/>
      </c>
      <c r="R12" s="3" t="inlineStr">
        <is>
          <t>N4GS9B</t>
        </is>
      </c>
      <c r="S12" s="3" t="n">
        <v>11</v>
      </c>
      <c r="T12" s="3" t="n">
        <v>12</v>
      </c>
      <c r="U12" s="3" t="n"/>
      <c r="W12">
        <f>IF(UPPER(TRIM(R12&amp;""))="","",IF(RIGHT(UPPER(TRIM(R12&amp;"")),2)="-N",TRIM(LEFT(UPPER(TRIM(R12&amp;"")),LEN(UPPER(TRIM(R12&amp;"")))-2)),UPPER(TRIM(R12&amp;""))))</f>
        <v/>
      </c>
      <c r="X12">
        <f>IF(W12="","",IF(ISNUMBER(U12),ROUND(U12,1),IF(AND(ISNUMBER(S12),ISNUMBER(T12)),IF(T12&gt;0,ROUND(S12/T12*100,1),""),"")))</f>
        <v/>
      </c>
      <c r="Y12">
        <f>IF(W12="","",IF(RIGHT(UPPER(TRIM(R12&amp;"")),2)="-N","비경쟁",""))</f>
        <v/>
      </c>
      <c r="Z12">
        <f>IF(W12="","",IF(COUNTIF(참가자!$A$3:$A$52,W12)=0,"명단에 없는 코드",""))</f>
        <v/>
      </c>
      <c r="AA12">
        <f>IF(W12="","",IF(ISNUMBER(U12),ROUND(U12*DIAG_ITEMS/100,1),IF(AND(ISNUMBER(S12),ISNUMBER(T12)),IF(T12&gt;0,S12,""),"")))</f>
        <v/>
      </c>
    </row>
    <row r="13">
      <c r="A13">
        <f>IF(참가자!A13="","",UPPER(TRIM(참가자!A13)))</f>
        <v/>
      </c>
      <c r="B13">
        <f>IF(A13="","",IF(참가자!B13="","(팀 없음)",TRIM(참가자!B13)))</f>
        <v/>
      </c>
      <c r="C13">
        <f>IF(A13="","",IFERROR(INDEX($AA$3:$AA$102,MATCH(A13,$W$3:$W$102,0)),""))</f>
        <v/>
      </c>
      <c r="D13">
        <f>IF(A13="","",IFERROR(INDEX($X$3:$X$102,MATCH(A13,$W$3:$W$102,0)),""))</f>
        <v/>
      </c>
      <c r="E13">
        <f>IF(A13="","",IF(D13="","결석",IF(IFERROR(INDEX($Y$3:$Y$102,MATCH(A13,$W$3:$W$102,0)),"")="비경쟁","비경쟁 응시","응시")))</f>
        <v/>
      </c>
      <c r="F13">
        <f>IF(A13="","",IF(COUNTIF($W$3:$W$102,A13)&gt;1,"중복! 확인",""))</f>
        <v/>
      </c>
      <c r="R13" s="3" t="inlineStr">
        <is>
          <t>D7VB3M</t>
        </is>
      </c>
      <c r="S13" s="3" t="n">
        <v>2</v>
      </c>
      <c r="T13" s="3" t="n">
        <v>12</v>
      </c>
      <c r="U13" s="3" t="n"/>
      <c r="W13">
        <f>IF(UPPER(TRIM(R13&amp;""))="","",IF(RIGHT(UPPER(TRIM(R13&amp;"")),2)="-N",TRIM(LEFT(UPPER(TRIM(R13&amp;"")),LEN(UPPER(TRIM(R13&amp;"")))-2)),UPPER(TRIM(R13&amp;""))))</f>
        <v/>
      </c>
      <c r="X13">
        <f>IF(W13="","",IF(ISNUMBER(U13),ROUND(U13,1),IF(AND(ISNUMBER(S13),ISNUMBER(T13)),IF(T13&gt;0,ROUND(S13/T13*100,1),""),"")))</f>
        <v/>
      </c>
      <c r="Y13">
        <f>IF(W13="","",IF(RIGHT(UPPER(TRIM(R13&amp;"")),2)="-N","비경쟁",""))</f>
        <v/>
      </c>
      <c r="Z13">
        <f>IF(W13="","",IF(COUNTIF(참가자!$A$3:$A$52,W13)=0,"명단에 없는 코드",""))</f>
        <v/>
      </c>
      <c r="AA13">
        <f>IF(W13="","",IF(ISNUMBER(U13),ROUND(U13*DIAG_ITEMS/100,1),IF(AND(ISNUMBER(S13),ISNUMBER(T13)),IF(T13&gt;0,S13,""),"")))</f>
        <v/>
      </c>
    </row>
    <row r="14">
      <c r="A14">
        <f>IF(참가자!A14="","",UPPER(TRIM(참가자!A14)))</f>
        <v/>
      </c>
      <c r="B14">
        <f>IF(A14="","",IF(참가자!B14="","(팀 없음)",TRIM(참가자!B14)))</f>
        <v/>
      </c>
      <c r="C14">
        <f>IF(A14="","",IFERROR(INDEX($AA$3:$AA$102,MATCH(A14,$W$3:$W$102,0)),""))</f>
        <v/>
      </c>
      <c r="D14">
        <f>IF(A14="","",IFERROR(INDEX($X$3:$X$102,MATCH(A14,$W$3:$W$102,0)),""))</f>
        <v/>
      </c>
      <c r="E14">
        <f>IF(A14="","",IF(D14="","결석",IF(IFERROR(INDEX($Y$3:$Y$102,MATCH(A14,$W$3:$W$102,0)),"")="비경쟁","비경쟁 응시","응시")))</f>
        <v/>
      </c>
      <c r="F14">
        <f>IF(A14="","",IF(COUNTIF($W$3:$W$102,A14)&gt;1,"중복! 확인",""))</f>
        <v/>
      </c>
      <c r="R14" s="3" t="n"/>
      <c r="S14" s="3" t="n"/>
      <c r="T14" s="3" t="n"/>
      <c r="U14" s="3" t="n"/>
      <c r="W14">
        <f>IF(UPPER(TRIM(R14&amp;""))="","",IF(RIGHT(UPPER(TRIM(R14&amp;"")),2)="-N",TRIM(LEFT(UPPER(TRIM(R14&amp;"")),LEN(UPPER(TRIM(R14&amp;"")))-2)),UPPER(TRIM(R14&amp;""))))</f>
        <v/>
      </c>
      <c r="X14">
        <f>IF(W14="","",IF(ISNUMBER(U14),ROUND(U14,1),IF(AND(ISNUMBER(S14),ISNUMBER(T14)),IF(T14&gt;0,ROUND(S14/T14*100,1),""),"")))</f>
        <v/>
      </c>
      <c r="Y14">
        <f>IF(W14="","",IF(RIGHT(UPPER(TRIM(R14&amp;"")),2)="-N","비경쟁",""))</f>
        <v/>
      </c>
      <c r="Z14">
        <f>IF(W14="","",IF(COUNTIF(참가자!$A$3:$A$52,W14)=0,"명단에 없는 코드",""))</f>
        <v/>
      </c>
      <c r="AA14">
        <f>IF(W14="","",IF(ISNUMBER(U14),ROUND(U14*DIAG_ITEMS/100,1),IF(AND(ISNUMBER(S14),ISNUMBER(T14)),IF(T14&gt;0,S14,""),"")))</f>
        <v/>
      </c>
    </row>
    <row r="15">
      <c r="A15">
        <f>IF(참가자!A15="","",UPPER(TRIM(참가자!A15)))</f>
        <v/>
      </c>
      <c r="B15">
        <f>IF(A15="","",IF(참가자!B15="","(팀 없음)",TRIM(참가자!B15)))</f>
        <v/>
      </c>
      <c r="C15">
        <f>IF(A15="","",IFERROR(INDEX($AA$3:$AA$102,MATCH(A15,$W$3:$W$102,0)),""))</f>
        <v/>
      </c>
      <c r="D15">
        <f>IF(A15="","",IFERROR(INDEX($X$3:$X$102,MATCH(A15,$W$3:$W$102,0)),""))</f>
        <v/>
      </c>
      <c r="E15">
        <f>IF(A15="","",IF(D15="","결석",IF(IFERROR(INDEX($Y$3:$Y$102,MATCH(A15,$W$3:$W$102,0)),"")="비경쟁","비경쟁 응시","응시")))</f>
        <v/>
      </c>
      <c r="F15">
        <f>IF(A15="","",IF(COUNTIF($W$3:$W$102,A15)&gt;1,"중복! 확인",""))</f>
        <v/>
      </c>
      <c r="R15" s="3" t="n"/>
      <c r="S15" s="3" t="n"/>
      <c r="T15" s="3" t="n"/>
      <c r="U15" s="3" t="n"/>
      <c r="W15">
        <f>IF(UPPER(TRIM(R15&amp;""))="","",IF(RIGHT(UPPER(TRIM(R15&amp;"")),2)="-N",TRIM(LEFT(UPPER(TRIM(R15&amp;"")),LEN(UPPER(TRIM(R15&amp;"")))-2)),UPPER(TRIM(R15&amp;""))))</f>
        <v/>
      </c>
      <c r="X15">
        <f>IF(W15="","",IF(ISNUMBER(U15),ROUND(U15,1),IF(AND(ISNUMBER(S15),ISNUMBER(T15)),IF(T15&gt;0,ROUND(S15/T15*100,1),""),"")))</f>
        <v/>
      </c>
      <c r="Y15">
        <f>IF(W15="","",IF(RIGHT(UPPER(TRIM(R15&amp;"")),2)="-N","비경쟁",""))</f>
        <v/>
      </c>
      <c r="Z15">
        <f>IF(W15="","",IF(COUNTIF(참가자!$A$3:$A$52,W15)=0,"명단에 없는 코드",""))</f>
        <v/>
      </c>
      <c r="AA15">
        <f>IF(W15="","",IF(ISNUMBER(U15),ROUND(U15*DIAG_ITEMS/100,1),IF(AND(ISNUMBER(S15),ISNUMBER(T15)),IF(T15&gt;0,S15,""),"")))</f>
        <v/>
      </c>
    </row>
    <row r="16">
      <c r="A16">
        <f>IF(참가자!A16="","",UPPER(TRIM(참가자!A16)))</f>
        <v/>
      </c>
      <c r="B16">
        <f>IF(A16="","",IF(참가자!B16="","(팀 없음)",TRIM(참가자!B16)))</f>
        <v/>
      </c>
      <c r="C16">
        <f>IF(A16="","",IFERROR(INDEX($AA$3:$AA$102,MATCH(A16,$W$3:$W$102,0)),""))</f>
        <v/>
      </c>
      <c r="D16">
        <f>IF(A16="","",IFERROR(INDEX($X$3:$X$102,MATCH(A16,$W$3:$W$102,0)),""))</f>
        <v/>
      </c>
      <c r="E16">
        <f>IF(A16="","",IF(D16="","결석",IF(IFERROR(INDEX($Y$3:$Y$102,MATCH(A16,$W$3:$W$102,0)),"")="비경쟁","비경쟁 응시","응시")))</f>
        <v/>
      </c>
      <c r="F16">
        <f>IF(A16="","",IF(COUNTIF($W$3:$W$102,A16)&gt;1,"중복! 확인",""))</f>
        <v/>
      </c>
      <c r="R16" s="3" t="n"/>
      <c r="S16" s="3" t="n"/>
      <c r="T16" s="3" t="n"/>
      <c r="U16" s="3" t="n"/>
      <c r="W16">
        <f>IF(UPPER(TRIM(R16&amp;""))="","",IF(RIGHT(UPPER(TRIM(R16&amp;"")),2)="-N",TRIM(LEFT(UPPER(TRIM(R16&amp;"")),LEN(UPPER(TRIM(R16&amp;"")))-2)),UPPER(TRIM(R16&amp;""))))</f>
        <v/>
      </c>
      <c r="X16">
        <f>IF(W16="","",IF(ISNUMBER(U16),ROUND(U16,1),IF(AND(ISNUMBER(S16),ISNUMBER(T16)),IF(T16&gt;0,ROUND(S16/T16*100,1),""),"")))</f>
        <v/>
      </c>
      <c r="Y16">
        <f>IF(W16="","",IF(RIGHT(UPPER(TRIM(R16&amp;"")),2)="-N","비경쟁",""))</f>
        <v/>
      </c>
      <c r="Z16">
        <f>IF(W16="","",IF(COUNTIF(참가자!$A$3:$A$52,W16)=0,"명단에 없는 코드",""))</f>
        <v/>
      </c>
      <c r="AA16">
        <f>IF(W16="","",IF(ISNUMBER(U16),ROUND(U16*DIAG_ITEMS/100,1),IF(AND(ISNUMBER(S16),ISNUMBER(T16)),IF(T16&gt;0,S16,""),"")))</f>
        <v/>
      </c>
    </row>
    <row r="17">
      <c r="A17">
        <f>IF(참가자!A17="","",UPPER(TRIM(참가자!A17)))</f>
        <v/>
      </c>
      <c r="B17">
        <f>IF(A17="","",IF(참가자!B17="","(팀 없음)",TRIM(참가자!B17)))</f>
        <v/>
      </c>
      <c r="C17">
        <f>IF(A17="","",IFERROR(INDEX($AA$3:$AA$102,MATCH(A17,$W$3:$W$102,0)),""))</f>
        <v/>
      </c>
      <c r="D17">
        <f>IF(A17="","",IFERROR(INDEX($X$3:$X$102,MATCH(A17,$W$3:$W$102,0)),""))</f>
        <v/>
      </c>
      <c r="E17">
        <f>IF(A17="","",IF(D17="","결석",IF(IFERROR(INDEX($Y$3:$Y$102,MATCH(A17,$W$3:$W$102,0)),"")="비경쟁","비경쟁 응시","응시")))</f>
        <v/>
      </c>
      <c r="F17">
        <f>IF(A17="","",IF(COUNTIF($W$3:$W$102,A17)&gt;1,"중복! 확인",""))</f>
        <v/>
      </c>
      <c r="R17" s="3" t="n"/>
      <c r="S17" s="3" t="n"/>
      <c r="T17" s="3" t="n"/>
      <c r="U17" s="3" t="n"/>
      <c r="W17">
        <f>IF(UPPER(TRIM(R17&amp;""))="","",IF(RIGHT(UPPER(TRIM(R17&amp;"")),2)="-N",TRIM(LEFT(UPPER(TRIM(R17&amp;"")),LEN(UPPER(TRIM(R17&amp;"")))-2)),UPPER(TRIM(R17&amp;""))))</f>
        <v/>
      </c>
      <c r="X17">
        <f>IF(W17="","",IF(ISNUMBER(U17),ROUND(U17,1),IF(AND(ISNUMBER(S17),ISNUMBER(T17)),IF(T17&gt;0,ROUND(S17/T17*100,1),""),"")))</f>
        <v/>
      </c>
      <c r="Y17">
        <f>IF(W17="","",IF(RIGHT(UPPER(TRIM(R17&amp;"")),2)="-N","비경쟁",""))</f>
        <v/>
      </c>
      <c r="Z17">
        <f>IF(W17="","",IF(COUNTIF(참가자!$A$3:$A$52,W17)=0,"명단에 없는 코드",""))</f>
        <v/>
      </c>
      <c r="AA17">
        <f>IF(W17="","",IF(ISNUMBER(U17),ROUND(U17*DIAG_ITEMS/100,1),IF(AND(ISNUMBER(S17),ISNUMBER(T17)),IF(T17&gt;0,S17,""),"")))</f>
        <v/>
      </c>
    </row>
    <row r="18">
      <c r="A18">
        <f>IF(참가자!A18="","",UPPER(TRIM(참가자!A18)))</f>
        <v/>
      </c>
      <c r="B18">
        <f>IF(A18="","",IF(참가자!B18="","(팀 없음)",TRIM(참가자!B18)))</f>
        <v/>
      </c>
      <c r="C18">
        <f>IF(A18="","",IFERROR(INDEX($AA$3:$AA$102,MATCH(A18,$W$3:$W$102,0)),""))</f>
        <v/>
      </c>
      <c r="D18">
        <f>IF(A18="","",IFERROR(INDEX($X$3:$X$102,MATCH(A18,$W$3:$W$102,0)),""))</f>
        <v/>
      </c>
      <c r="E18">
        <f>IF(A18="","",IF(D18="","결석",IF(IFERROR(INDEX($Y$3:$Y$102,MATCH(A18,$W$3:$W$102,0)),"")="비경쟁","비경쟁 응시","응시")))</f>
        <v/>
      </c>
      <c r="F18">
        <f>IF(A18="","",IF(COUNTIF($W$3:$W$102,A18)&gt;1,"중복! 확인",""))</f>
        <v/>
      </c>
      <c r="R18" s="3" t="n"/>
      <c r="S18" s="3" t="n"/>
      <c r="T18" s="3" t="n"/>
      <c r="U18" s="3" t="n"/>
      <c r="W18">
        <f>IF(UPPER(TRIM(R18&amp;""))="","",IF(RIGHT(UPPER(TRIM(R18&amp;"")),2)="-N",TRIM(LEFT(UPPER(TRIM(R18&amp;"")),LEN(UPPER(TRIM(R18&amp;"")))-2)),UPPER(TRIM(R18&amp;""))))</f>
        <v/>
      </c>
      <c r="X18">
        <f>IF(W18="","",IF(ISNUMBER(U18),ROUND(U18,1),IF(AND(ISNUMBER(S18),ISNUMBER(T18)),IF(T18&gt;0,ROUND(S18/T18*100,1),""),"")))</f>
        <v/>
      </c>
      <c r="Y18">
        <f>IF(W18="","",IF(RIGHT(UPPER(TRIM(R18&amp;"")),2)="-N","비경쟁",""))</f>
        <v/>
      </c>
      <c r="Z18">
        <f>IF(W18="","",IF(COUNTIF(참가자!$A$3:$A$52,W18)=0,"명단에 없는 코드",""))</f>
        <v/>
      </c>
      <c r="AA18">
        <f>IF(W18="","",IF(ISNUMBER(U18),ROUND(U18*DIAG_ITEMS/100,1),IF(AND(ISNUMBER(S18),ISNUMBER(T18)),IF(T18&gt;0,S18,""),"")))</f>
        <v/>
      </c>
    </row>
    <row r="19">
      <c r="A19">
        <f>IF(참가자!A19="","",UPPER(TRIM(참가자!A19)))</f>
        <v/>
      </c>
      <c r="B19">
        <f>IF(A19="","",IF(참가자!B19="","(팀 없음)",TRIM(참가자!B19)))</f>
        <v/>
      </c>
      <c r="C19">
        <f>IF(A19="","",IFERROR(INDEX($AA$3:$AA$102,MATCH(A19,$W$3:$W$102,0)),""))</f>
        <v/>
      </c>
      <c r="D19">
        <f>IF(A19="","",IFERROR(INDEX($X$3:$X$102,MATCH(A19,$W$3:$W$102,0)),""))</f>
        <v/>
      </c>
      <c r="E19">
        <f>IF(A19="","",IF(D19="","결석",IF(IFERROR(INDEX($Y$3:$Y$102,MATCH(A19,$W$3:$W$102,0)),"")="비경쟁","비경쟁 응시","응시")))</f>
        <v/>
      </c>
      <c r="F19">
        <f>IF(A19="","",IF(COUNTIF($W$3:$W$102,A19)&gt;1,"중복! 확인",""))</f>
        <v/>
      </c>
      <c r="R19" s="3" t="n"/>
      <c r="S19" s="3" t="n"/>
      <c r="T19" s="3" t="n"/>
      <c r="U19" s="3" t="n"/>
      <c r="W19">
        <f>IF(UPPER(TRIM(R19&amp;""))="","",IF(RIGHT(UPPER(TRIM(R19&amp;"")),2)="-N",TRIM(LEFT(UPPER(TRIM(R19&amp;"")),LEN(UPPER(TRIM(R19&amp;"")))-2)),UPPER(TRIM(R19&amp;""))))</f>
        <v/>
      </c>
      <c r="X19">
        <f>IF(W19="","",IF(ISNUMBER(U19),ROUND(U19,1),IF(AND(ISNUMBER(S19),ISNUMBER(T19)),IF(T19&gt;0,ROUND(S19/T19*100,1),""),"")))</f>
        <v/>
      </c>
      <c r="Y19">
        <f>IF(W19="","",IF(RIGHT(UPPER(TRIM(R19&amp;"")),2)="-N","비경쟁",""))</f>
        <v/>
      </c>
      <c r="Z19">
        <f>IF(W19="","",IF(COUNTIF(참가자!$A$3:$A$52,W19)=0,"명단에 없는 코드",""))</f>
        <v/>
      </c>
      <c r="AA19">
        <f>IF(W19="","",IF(ISNUMBER(U19),ROUND(U19*DIAG_ITEMS/100,1),IF(AND(ISNUMBER(S19),ISNUMBER(T19)),IF(T19&gt;0,S19,""),"")))</f>
        <v/>
      </c>
    </row>
    <row r="20">
      <c r="A20">
        <f>IF(참가자!A20="","",UPPER(TRIM(참가자!A20)))</f>
        <v/>
      </c>
      <c r="B20">
        <f>IF(A20="","",IF(참가자!B20="","(팀 없음)",TRIM(참가자!B20)))</f>
        <v/>
      </c>
      <c r="C20">
        <f>IF(A20="","",IFERROR(INDEX($AA$3:$AA$102,MATCH(A20,$W$3:$W$102,0)),""))</f>
        <v/>
      </c>
      <c r="D20">
        <f>IF(A20="","",IFERROR(INDEX($X$3:$X$102,MATCH(A20,$W$3:$W$102,0)),""))</f>
        <v/>
      </c>
      <c r="E20">
        <f>IF(A20="","",IF(D20="","결석",IF(IFERROR(INDEX($Y$3:$Y$102,MATCH(A20,$W$3:$W$102,0)),"")="비경쟁","비경쟁 응시","응시")))</f>
        <v/>
      </c>
      <c r="F20">
        <f>IF(A20="","",IF(COUNTIF($W$3:$W$102,A20)&gt;1,"중복! 확인",""))</f>
        <v/>
      </c>
      <c r="R20" s="3" t="n"/>
      <c r="S20" s="3" t="n"/>
      <c r="T20" s="3" t="n"/>
      <c r="U20" s="3" t="n"/>
      <c r="W20">
        <f>IF(UPPER(TRIM(R20&amp;""))="","",IF(RIGHT(UPPER(TRIM(R20&amp;"")),2)="-N",TRIM(LEFT(UPPER(TRIM(R20&amp;"")),LEN(UPPER(TRIM(R20&amp;"")))-2)),UPPER(TRIM(R20&amp;""))))</f>
        <v/>
      </c>
      <c r="X20">
        <f>IF(W20="","",IF(ISNUMBER(U20),ROUND(U20,1),IF(AND(ISNUMBER(S20),ISNUMBER(T20)),IF(T20&gt;0,ROUND(S20/T20*100,1),""),"")))</f>
        <v/>
      </c>
      <c r="Y20">
        <f>IF(W20="","",IF(RIGHT(UPPER(TRIM(R20&amp;"")),2)="-N","비경쟁",""))</f>
        <v/>
      </c>
      <c r="Z20">
        <f>IF(W20="","",IF(COUNTIF(참가자!$A$3:$A$52,W20)=0,"명단에 없는 코드",""))</f>
        <v/>
      </c>
      <c r="AA20">
        <f>IF(W20="","",IF(ISNUMBER(U20),ROUND(U20*DIAG_ITEMS/100,1),IF(AND(ISNUMBER(S20),ISNUMBER(T20)),IF(T20&gt;0,S20,""),"")))</f>
        <v/>
      </c>
    </row>
    <row r="21">
      <c r="A21">
        <f>IF(참가자!A21="","",UPPER(TRIM(참가자!A21)))</f>
        <v/>
      </c>
      <c r="B21">
        <f>IF(A21="","",IF(참가자!B21="","(팀 없음)",TRIM(참가자!B21)))</f>
        <v/>
      </c>
      <c r="C21">
        <f>IF(A21="","",IFERROR(INDEX($AA$3:$AA$102,MATCH(A21,$W$3:$W$102,0)),""))</f>
        <v/>
      </c>
      <c r="D21">
        <f>IF(A21="","",IFERROR(INDEX($X$3:$X$102,MATCH(A21,$W$3:$W$102,0)),""))</f>
        <v/>
      </c>
      <c r="E21">
        <f>IF(A21="","",IF(D21="","결석",IF(IFERROR(INDEX($Y$3:$Y$102,MATCH(A21,$W$3:$W$102,0)),"")="비경쟁","비경쟁 응시","응시")))</f>
        <v/>
      </c>
      <c r="F21">
        <f>IF(A21="","",IF(COUNTIF($W$3:$W$102,A21)&gt;1,"중복! 확인",""))</f>
        <v/>
      </c>
      <c r="R21" s="3" t="n"/>
      <c r="S21" s="3" t="n"/>
      <c r="T21" s="3" t="n"/>
      <c r="U21" s="3" t="n"/>
      <c r="W21">
        <f>IF(UPPER(TRIM(R21&amp;""))="","",IF(RIGHT(UPPER(TRIM(R21&amp;"")),2)="-N",TRIM(LEFT(UPPER(TRIM(R21&amp;"")),LEN(UPPER(TRIM(R21&amp;"")))-2)),UPPER(TRIM(R21&amp;""))))</f>
        <v/>
      </c>
      <c r="X21">
        <f>IF(W21="","",IF(ISNUMBER(U21),ROUND(U21,1),IF(AND(ISNUMBER(S21),ISNUMBER(T21)),IF(T21&gt;0,ROUND(S21/T21*100,1),""),"")))</f>
        <v/>
      </c>
      <c r="Y21">
        <f>IF(W21="","",IF(RIGHT(UPPER(TRIM(R21&amp;"")),2)="-N","비경쟁",""))</f>
        <v/>
      </c>
      <c r="Z21">
        <f>IF(W21="","",IF(COUNTIF(참가자!$A$3:$A$52,W21)=0,"명단에 없는 코드",""))</f>
        <v/>
      </c>
      <c r="AA21">
        <f>IF(W21="","",IF(ISNUMBER(U21),ROUND(U21*DIAG_ITEMS/100,1),IF(AND(ISNUMBER(S21),ISNUMBER(T21)),IF(T21&gt;0,S21,""),"")))</f>
        <v/>
      </c>
    </row>
    <row r="22">
      <c r="A22">
        <f>IF(참가자!A22="","",UPPER(TRIM(참가자!A22)))</f>
        <v/>
      </c>
      <c r="B22">
        <f>IF(A22="","",IF(참가자!B22="","(팀 없음)",TRIM(참가자!B22)))</f>
        <v/>
      </c>
      <c r="C22">
        <f>IF(A22="","",IFERROR(INDEX($AA$3:$AA$102,MATCH(A22,$W$3:$W$102,0)),""))</f>
        <v/>
      </c>
      <c r="D22">
        <f>IF(A22="","",IFERROR(INDEX($X$3:$X$102,MATCH(A22,$W$3:$W$102,0)),""))</f>
        <v/>
      </c>
      <c r="E22">
        <f>IF(A22="","",IF(D22="","결석",IF(IFERROR(INDEX($Y$3:$Y$102,MATCH(A22,$W$3:$W$102,0)),"")="비경쟁","비경쟁 응시","응시")))</f>
        <v/>
      </c>
      <c r="F22">
        <f>IF(A22="","",IF(COUNTIF($W$3:$W$102,A22)&gt;1,"중복! 확인",""))</f>
        <v/>
      </c>
      <c r="R22" s="3" t="n"/>
      <c r="S22" s="3" t="n"/>
      <c r="T22" s="3" t="n"/>
      <c r="U22" s="3" t="n"/>
      <c r="W22">
        <f>IF(UPPER(TRIM(R22&amp;""))="","",IF(RIGHT(UPPER(TRIM(R22&amp;"")),2)="-N",TRIM(LEFT(UPPER(TRIM(R22&amp;"")),LEN(UPPER(TRIM(R22&amp;"")))-2)),UPPER(TRIM(R22&amp;""))))</f>
        <v/>
      </c>
      <c r="X22">
        <f>IF(W22="","",IF(ISNUMBER(U22),ROUND(U22,1),IF(AND(ISNUMBER(S22),ISNUMBER(T22)),IF(T22&gt;0,ROUND(S22/T22*100,1),""),"")))</f>
        <v/>
      </c>
      <c r="Y22">
        <f>IF(W22="","",IF(RIGHT(UPPER(TRIM(R22&amp;"")),2)="-N","비경쟁",""))</f>
        <v/>
      </c>
      <c r="Z22">
        <f>IF(W22="","",IF(COUNTIF(참가자!$A$3:$A$52,W22)=0,"명단에 없는 코드",""))</f>
        <v/>
      </c>
      <c r="AA22">
        <f>IF(W22="","",IF(ISNUMBER(U22),ROUND(U22*DIAG_ITEMS/100,1),IF(AND(ISNUMBER(S22),ISNUMBER(T22)),IF(T22&gt;0,S22,""),"")))</f>
        <v/>
      </c>
    </row>
    <row r="23">
      <c r="A23">
        <f>IF(참가자!A23="","",UPPER(TRIM(참가자!A23)))</f>
        <v/>
      </c>
      <c r="B23">
        <f>IF(A23="","",IF(참가자!B23="","(팀 없음)",TRIM(참가자!B23)))</f>
        <v/>
      </c>
      <c r="C23">
        <f>IF(A23="","",IFERROR(INDEX($AA$3:$AA$102,MATCH(A23,$W$3:$W$102,0)),""))</f>
        <v/>
      </c>
      <c r="D23">
        <f>IF(A23="","",IFERROR(INDEX($X$3:$X$102,MATCH(A23,$W$3:$W$102,0)),""))</f>
        <v/>
      </c>
      <c r="E23">
        <f>IF(A23="","",IF(D23="","결석",IF(IFERROR(INDEX($Y$3:$Y$102,MATCH(A23,$W$3:$W$102,0)),"")="비경쟁","비경쟁 응시","응시")))</f>
        <v/>
      </c>
      <c r="F23">
        <f>IF(A23="","",IF(COUNTIF($W$3:$W$102,A23)&gt;1,"중복! 확인",""))</f>
        <v/>
      </c>
      <c r="R23" s="3" t="n"/>
      <c r="S23" s="3" t="n"/>
      <c r="T23" s="3" t="n"/>
      <c r="U23" s="3" t="n"/>
      <c r="W23">
        <f>IF(UPPER(TRIM(R23&amp;""))="","",IF(RIGHT(UPPER(TRIM(R23&amp;"")),2)="-N",TRIM(LEFT(UPPER(TRIM(R23&amp;"")),LEN(UPPER(TRIM(R23&amp;"")))-2)),UPPER(TRIM(R23&amp;""))))</f>
        <v/>
      </c>
      <c r="X23">
        <f>IF(W23="","",IF(ISNUMBER(U23),ROUND(U23,1),IF(AND(ISNUMBER(S23),ISNUMBER(T23)),IF(T23&gt;0,ROUND(S23/T23*100,1),""),"")))</f>
        <v/>
      </c>
      <c r="Y23">
        <f>IF(W23="","",IF(RIGHT(UPPER(TRIM(R23&amp;"")),2)="-N","비경쟁",""))</f>
        <v/>
      </c>
      <c r="Z23">
        <f>IF(W23="","",IF(COUNTIF(참가자!$A$3:$A$52,W23)=0,"명단에 없는 코드",""))</f>
        <v/>
      </c>
      <c r="AA23">
        <f>IF(W23="","",IF(ISNUMBER(U23),ROUND(U23*DIAG_ITEMS/100,1),IF(AND(ISNUMBER(S23),ISNUMBER(T23)),IF(T23&gt;0,S23,""),"")))</f>
        <v/>
      </c>
    </row>
    <row r="24">
      <c r="A24">
        <f>IF(참가자!A24="","",UPPER(TRIM(참가자!A24)))</f>
        <v/>
      </c>
      <c r="B24">
        <f>IF(A24="","",IF(참가자!B24="","(팀 없음)",TRIM(참가자!B24)))</f>
        <v/>
      </c>
      <c r="C24">
        <f>IF(A24="","",IFERROR(INDEX($AA$3:$AA$102,MATCH(A24,$W$3:$W$102,0)),""))</f>
        <v/>
      </c>
      <c r="D24">
        <f>IF(A24="","",IFERROR(INDEX($X$3:$X$102,MATCH(A24,$W$3:$W$102,0)),""))</f>
        <v/>
      </c>
      <c r="E24">
        <f>IF(A24="","",IF(D24="","결석",IF(IFERROR(INDEX($Y$3:$Y$102,MATCH(A24,$W$3:$W$102,0)),"")="비경쟁","비경쟁 응시","응시")))</f>
        <v/>
      </c>
      <c r="F24">
        <f>IF(A24="","",IF(COUNTIF($W$3:$W$102,A24)&gt;1,"중복! 확인",""))</f>
        <v/>
      </c>
      <c r="R24" s="3" t="n"/>
      <c r="S24" s="3" t="n"/>
      <c r="T24" s="3" t="n"/>
      <c r="U24" s="3" t="n"/>
      <c r="W24">
        <f>IF(UPPER(TRIM(R24&amp;""))="","",IF(RIGHT(UPPER(TRIM(R24&amp;"")),2)="-N",TRIM(LEFT(UPPER(TRIM(R24&amp;"")),LEN(UPPER(TRIM(R24&amp;"")))-2)),UPPER(TRIM(R24&amp;""))))</f>
        <v/>
      </c>
      <c r="X24">
        <f>IF(W24="","",IF(ISNUMBER(U24),ROUND(U24,1),IF(AND(ISNUMBER(S24),ISNUMBER(T24)),IF(T24&gt;0,ROUND(S24/T24*100,1),""),"")))</f>
        <v/>
      </c>
      <c r="Y24">
        <f>IF(W24="","",IF(RIGHT(UPPER(TRIM(R24&amp;"")),2)="-N","비경쟁",""))</f>
        <v/>
      </c>
      <c r="Z24">
        <f>IF(W24="","",IF(COUNTIF(참가자!$A$3:$A$52,W24)=0,"명단에 없는 코드",""))</f>
        <v/>
      </c>
      <c r="AA24">
        <f>IF(W24="","",IF(ISNUMBER(U24),ROUND(U24*DIAG_ITEMS/100,1),IF(AND(ISNUMBER(S24),ISNUMBER(T24)),IF(T24&gt;0,S24,""),"")))</f>
        <v/>
      </c>
    </row>
    <row r="25">
      <c r="A25">
        <f>IF(참가자!A25="","",UPPER(TRIM(참가자!A25)))</f>
        <v/>
      </c>
      <c r="B25">
        <f>IF(A25="","",IF(참가자!B25="","(팀 없음)",TRIM(참가자!B25)))</f>
        <v/>
      </c>
      <c r="C25">
        <f>IF(A25="","",IFERROR(INDEX($AA$3:$AA$102,MATCH(A25,$W$3:$W$102,0)),""))</f>
        <v/>
      </c>
      <c r="D25">
        <f>IF(A25="","",IFERROR(INDEX($X$3:$X$102,MATCH(A25,$W$3:$W$102,0)),""))</f>
        <v/>
      </c>
      <c r="E25">
        <f>IF(A25="","",IF(D25="","결석",IF(IFERROR(INDEX($Y$3:$Y$102,MATCH(A25,$W$3:$W$102,0)),"")="비경쟁","비경쟁 응시","응시")))</f>
        <v/>
      </c>
      <c r="F25">
        <f>IF(A25="","",IF(COUNTIF($W$3:$W$102,A25)&gt;1,"중복! 확인",""))</f>
        <v/>
      </c>
      <c r="R25" s="3" t="n"/>
      <c r="S25" s="3" t="n"/>
      <c r="T25" s="3" t="n"/>
      <c r="U25" s="3" t="n"/>
      <c r="W25">
        <f>IF(UPPER(TRIM(R25&amp;""))="","",IF(RIGHT(UPPER(TRIM(R25&amp;"")),2)="-N",TRIM(LEFT(UPPER(TRIM(R25&amp;"")),LEN(UPPER(TRIM(R25&amp;"")))-2)),UPPER(TRIM(R25&amp;""))))</f>
        <v/>
      </c>
      <c r="X25">
        <f>IF(W25="","",IF(ISNUMBER(U25),ROUND(U25,1),IF(AND(ISNUMBER(S25),ISNUMBER(T25)),IF(T25&gt;0,ROUND(S25/T25*100,1),""),"")))</f>
        <v/>
      </c>
      <c r="Y25">
        <f>IF(W25="","",IF(RIGHT(UPPER(TRIM(R25&amp;"")),2)="-N","비경쟁",""))</f>
        <v/>
      </c>
      <c r="Z25">
        <f>IF(W25="","",IF(COUNTIF(참가자!$A$3:$A$52,W25)=0,"명단에 없는 코드",""))</f>
        <v/>
      </c>
      <c r="AA25">
        <f>IF(W25="","",IF(ISNUMBER(U25),ROUND(U25*DIAG_ITEMS/100,1),IF(AND(ISNUMBER(S25),ISNUMBER(T25)),IF(T25&gt;0,S25,""),"")))</f>
        <v/>
      </c>
    </row>
    <row r="26">
      <c r="A26">
        <f>IF(참가자!A26="","",UPPER(TRIM(참가자!A26)))</f>
        <v/>
      </c>
      <c r="B26">
        <f>IF(A26="","",IF(참가자!B26="","(팀 없음)",TRIM(참가자!B26)))</f>
        <v/>
      </c>
      <c r="C26">
        <f>IF(A26="","",IFERROR(INDEX($AA$3:$AA$102,MATCH(A26,$W$3:$W$102,0)),""))</f>
        <v/>
      </c>
      <c r="D26">
        <f>IF(A26="","",IFERROR(INDEX($X$3:$X$102,MATCH(A26,$W$3:$W$102,0)),""))</f>
        <v/>
      </c>
      <c r="E26">
        <f>IF(A26="","",IF(D26="","결석",IF(IFERROR(INDEX($Y$3:$Y$102,MATCH(A26,$W$3:$W$102,0)),"")="비경쟁","비경쟁 응시","응시")))</f>
        <v/>
      </c>
      <c r="F26">
        <f>IF(A26="","",IF(COUNTIF($W$3:$W$102,A26)&gt;1,"중복! 확인",""))</f>
        <v/>
      </c>
      <c r="R26" s="3" t="n"/>
      <c r="S26" s="3" t="n"/>
      <c r="T26" s="3" t="n"/>
      <c r="U26" s="3" t="n"/>
      <c r="W26">
        <f>IF(UPPER(TRIM(R26&amp;""))="","",IF(RIGHT(UPPER(TRIM(R26&amp;"")),2)="-N",TRIM(LEFT(UPPER(TRIM(R26&amp;"")),LEN(UPPER(TRIM(R26&amp;"")))-2)),UPPER(TRIM(R26&amp;""))))</f>
        <v/>
      </c>
      <c r="X26">
        <f>IF(W26="","",IF(ISNUMBER(U26),ROUND(U26,1),IF(AND(ISNUMBER(S26),ISNUMBER(T26)),IF(T26&gt;0,ROUND(S26/T26*100,1),""),"")))</f>
        <v/>
      </c>
      <c r="Y26">
        <f>IF(W26="","",IF(RIGHT(UPPER(TRIM(R26&amp;"")),2)="-N","비경쟁",""))</f>
        <v/>
      </c>
      <c r="Z26">
        <f>IF(W26="","",IF(COUNTIF(참가자!$A$3:$A$52,W26)=0,"명단에 없는 코드",""))</f>
        <v/>
      </c>
      <c r="AA26">
        <f>IF(W26="","",IF(ISNUMBER(U26),ROUND(U26*DIAG_ITEMS/100,1),IF(AND(ISNUMBER(S26),ISNUMBER(T26)),IF(T26&gt;0,S26,""),"")))</f>
        <v/>
      </c>
    </row>
    <row r="27">
      <c r="A27">
        <f>IF(참가자!A27="","",UPPER(TRIM(참가자!A27)))</f>
        <v/>
      </c>
      <c r="B27">
        <f>IF(A27="","",IF(참가자!B27="","(팀 없음)",TRIM(참가자!B27)))</f>
        <v/>
      </c>
      <c r="C27">
        <f>IF(A27="","",IFERROR(INDEX($AA$3:$AA$102,MATCH(A27,$W$3:$W$102,0)),""))</f>
        <v/>
      </c>
      <c r="D27">
        <f>IF(A27="","",IFERROR(INDEX($X$3:$X$102,MATCH(A27,$W$3:$W$102,0)),""))</f>
        <v/>
      </c>
      <c r="E27">
        <f>IF(A27="","",IF(D27="","결석",IF(IFERROR(INDEX($Y$3:$Y$102,MATCH(A27,$W$3:$W$102,0)),"")="비경쟁","비경쟁 응시","응시")))</f>
        <v/>
      </c>
      <c r="F27">
        <f>IF(A27="","",IF(COUNTIF($W$3:$W$102,A27)&gt;1,"중복! 확인",""))</f>
        <v/>
      </c>
      <c r="R27" s="3" t="n"/>
      <c r="S27" s="3" t="n"/>
      <c r="T27" s="3" t="n"/>
      <c r="U27" s="3" t="n"/>
      <c r="W27">
        <f>IF(UPPER(TRIM(R27&amp;""))="","",IF(RIGHT(UPPER(TRIM(R27&amp;"")),2)="-N",TRIM(LEFT(UPPER(TRIM(R27&amp;"")),LEN(UPPER(TRIM(R27&amp;"")))-2)),UPPER(TRIM(R27&amp;""))))</f>
        <v/>
      </c>
      <c r="X27">
        <f>IF(W27="","",IF(ISNUMBER(U27),ROUND(U27,1),IF(AND(ISNUMBER(S27),ISNUMBER(T27)),IF(T27&gt;0,ROUND(S27/T27*100,1),""),"")))</f>
        <v/>
      </c>
      <c r="Y27">
        <f>IF(W27="","",IF(RIGHT(UPPER(TRIM(R27&amp;"")),2)="-N","비경쟁",""))</f>
        <v/>
      </c>
      <c r="Z27">
        <f>IF(W27="","",IF(COUNTIF(참가자!$A$3:$A$52,W27)=0,"명단에 없는 코드",""))</f>
        <v/>
      </c>
      <c r="AA27">
        <f>IF(W27="","",IF(ISNUMBER(U27),ROUND(U27*DIAG_ITEMS/100,1),IF(AND(ISNUMBER(S27),ISNUMBER(T27)),IF(T27&gt;0,S27,""),"")))</f>
        <v/>
      </c>
    </row>
    <row r="28">
      <c r="A28">
        <f>IF(참가자!A28="","",UPPER(TRIM(참가자!A28)))</f>
        <v/>
      </c>
      <c r="B28">
        <f>IF(A28="","",IF(참가자!B28="","(팀 없음)",TRIM(참가자!B28)))</f>
        <v/>
      </c>
      <c r="C28">
        <f>IF(A28="","",IFERROR(INDEX($AA$3:$AA$102,MATCH(A28,$W$3:$W$102,0)),""))</f>
        <v/>
      </c>
      <c r="D28">
        <f>IF(A28="","",IFERROR(INDEX($X$3:$X$102,MATCH(A28,$W$3:$W$102,0)),""))</f>
        <v/>
      </c>
      <c r="E28">
        <f>IF(A28="","",IF(D28="","결석",IF(IFERROR(INDEX($Y$3:$Y$102,MATCH(A28,$W$3:$W$102,0)),"")="비경쟁","비경쟁 응시","응시")))</f>
        <v/>
      </c>
      <c r="F28">
        <f>IF(A28="","",IF(COUNTIF($W$3:$W$102,A28)&gt;1,"중복! 확인",""))</f>
        <v/>
      </c>
      <c r="R28" s="3" t="n"/>
      <c r="S28" s="3" t="n"/>
      <c r="T28" s="3" t="n"/>
      <c r="U28" s="3" t="n"/>
      <c r="W28">
        <f>IF(UPPER(TRIM(R28&amp;""))="","",IF(RIGHT(UPPER(TRIM(R28&amp;"")),2)="-N",TRIM(LEFT(UPPER(TRIM(R28&amp;"")),LEN(UPPER(TRIM(R28&amp;"")))-2)),UPPER(TRIM(R28&amp;""))))</f>
        <v/>
      </c>
      <c r="X28">
        <f>IF(W28="","",IF(ISNUMBER(U28),ROUND(U28,1),IF(AND(ISNUMBER(S28),ISNUMBER(T28)),IF(T28&gt;0,ROUND(S28/T28*100,1),""),"")))</f>
        <v/>
      </c>
      <c r="Y28">
        <f>IF(W28="","",IF(RIGHT(UPPER(TRIM(R28&amp;"")),2)="-N","비경쟁",""))</f>
        <v/>
      </c>
      <c r="Z28">
        <f>IF(W28="","",IF(COUNTIF(참가자!$A$3:$A$52,W28)=0,"명단에 없는 코드",""))</f>
        <v/>
      </c>
      <c r="AA28">
        <f>IF(W28="","",IF(ISNUMBER(U28),ROUND(U28*DIAG_ITEMS/100,1),IF(AND(ISNUMBER(S28),ISNUMBER(T28)),IF(T28&gt;0,S28,""),"")))</f>
        <v/>
      </c>
    </row>
    <row r="29">
      <c r="A29">
        <f>IF(참가자!A29="","",UPPER(TRIM(참가자!A29)))</f>
        <v/>
      </c>
      <c r="B29">
        <f>IF(A29="","",IF(참가자!B29="","(팀 없음)",TRIM(참가자!B29)))</f>
        <v/>
      </c>
      <c r="C29">
        <f>IF(A29="","",IFERROR(INDEX($AA$3:$AA$102,MATCH(A29,$W$3:$W$102,0)),""))</f>
        <v/>
      </c>
      <c r="D29">
        <f>IF(A29="","",IFERROR(INDEX($X$3:$X$102,MATCH(A29,$W$3:$W$102,0)),""))</f>
        <v/>
      </c>
      <c r="E29">
        <f>IF(A29="","",IF(D29="","결석",IF(IFERROR(INDEX($Y$3:$Y$102,MATCH(A29,$W$3:$W$102,0)),"")="비경쟁","비경쟁 응시","응시")))</f>
        <v/>
      </c>
      <c r="F29">
        <f>IF(A29="","",IF(COUNTIF($W$3:$W$102,A29)&gt;1,"중복! 확인",""))</f>
        <v/>
      </c>
      <c r="R29" s="3" t="n"/>
      <c r="S29" s="3" t="n"/>
      <c r="T29" s="3" t="n"/>
      <c r="U29" s="3" t="n"/>
      <c r="W29">
        <f>IF(UPPER(TRIM(R29&amp;""))="","",IF(RIGHT(UPPER(TRIM(R29&amp;"")),2)="-N",TRIM(LEFT(UPPER(TRIM(R29&amp;"")),LEN(UPPER(TRIM(R29&amp;"")))-2)),UPPER(TRIM(R29&amp;""))))</f>
        <v/>
      </c>
      <c r="X29">
        <f>IF(W29="","",IF(ISNUMBER(U29),ROUND(U29,1),IF(AND(ISNUMBER(S29),ISNUMBER(T29)),IF(T29&gt;0,ROUND(S29/T29*100,1),""),"")))</f>
        <v/>
      </c>
      <c r="Y29">
        <f>IF(W29="","",IF(RIGHT(UPPER(TRIM(R29&amp;"")),2)="-N","비경쟁",""))</f>
        <v/>
      </c>
      <c r="Z29">
        <f>IF(W29="","",IF(COUNTIF(참가자!$A$3:$A$52,W29)=0,"명단에 없는 코드",""))</f>
        <v/>
      </c>
      <c r="AA29">
        <f>IF(W29="","",IF(ISNUMBER(U29),ROUND(U29*DIAG_ITEMS/100,1),IF(AND(ISNUMBER(S29),ISNUMBER(T29)),IF(T29&gt;0,S29,""),"")))</f>
        <v/>
      </c>
    </row>
    <row r="30">
      <c r="A30">
        <f>IF(참가자!A30="","",UPPER(TRIM(참가자!A30)))</f>
        <v/>
      </c>
      <c r="B30">
        <f>IF(A30="","",IF(참가자!B30="","(팀 없음)",TRIM(참가자!B30)))</f>
        <v/>
      </c>
      <c r="C30">
        <f>IF(A30="","",IFERROR(INDEX($AA$3:$AA$102,MATCH(A30,$W$3:$W$102,0)),""))</f>
        <v/>
      </c>
      <c r="D30">
        <f>IF(A30="","",IFERROR(INDEX($X$3:$X$102,MATCH(A30,$W$3:$W$102,0)),""))</f>
        <v/>
      </c>
      <c r="E30">
        <f>IF(A30="","",IF(D30="","결석",IF(IFERROR(INDEX($Y$3:$Y$102,MATCH(A30,$W$3:$W$102,0)),"")="비경쟁","비경쟁 응시","응시")))</f>
        <v/>
      </c>
      <c r="F30">
        <f>IF(A30="","",IF(COUNTIF($W$3:$W$102,A30)&gt;1,"중복! 확인",""))</f>
        <v/>
      </c>
      <c r="R30" s="3" t="n"/>
      <c r="S30" s="3" t="n"/>
      <c r="T30" s="3" t="n"/>
      <c r="U30" s="3" t="n"/>
      <c r="W30">
        <f>IF(UPPER(TRIM(R30&amp;""))="","",IF(RIGHT(UPPER(TRIM(R30&amp;"")),2)="-N",TRIM(LEFT(UPPER(TRIM(R30&amp;"")),LEN(UPPER(TRIM(R30&amp;"")))-2)),UPPER(TRIM(R30&amp;""))))</f>
        <v/>
      </c>
      <c r="X30">
        <f>IF(W30="","",IF(ISNUMBER(U30),ROUND(U30,1),IF(AND(ISNUMBER(S30),ISNUMBER(T30)),IF(T30&gt;0,ROUND(S30/T30*100,1),""),"")))</f>
        <v/>
      </c>
      <c r="Y30">
        <f>IF(W30="","",IF(RIGHT(UPPER(TRIM(R30&amp;"")),2)="-N","비경쟁",""))</f>
        <v/>
      </c>
      <c r="Z30">
        <f>IF(W30="","",IF(COUNTIF(참가자!$A$3:$A$52,W30)=0,"명단에 없는 코드",""))</f>
        <v/>
      </c>
      <c r="AA30">
        <f>IF(W30="","",IF(ISNUMBER(U30),ROUND(U30*DIAG_ITEMS/100,1),IF(AND(ISNUMBER(S30),ISNUMBER(T30)),IF(T30&gt;0,S30,""),"")))</f>
        <v/>
      </c>
    </row>
    <row r="31">
      <c r="A31">
        <f>IF(참가자!A31="","",UPPER(TRIM(참가자!A31)))</f>
        <v/>
      </c>
      <c r="B31">
        <f>IF(A31="","",IF(참가자!B31="","(팀 없음)",TRIM(참가자!B31)))</f>
        <v/>
      </c>
      <c r="C31">
        <f>IF(A31="","",IFERROR(INDEX($AA$3:$AA$102,MATCH(A31,$W$3:$W$102,0)),""))</f>
        <v/>
      </c>
      <c r="D31">
        <f>IF(A31="","",IFERROR(INDEX($X$3:$X$102,MATCH(A31,$W$3:$W$102,0)),""))</f>
        <v/>
      </c>
      <c r="E31">
        <f>IF(A31="","",IF(D31="","결석",IF(IFERROR(INDEX($Y$3:$Y$102,MATCH(A31,$W$3:$W$102,0)),"")="비경쟁","비경쟁 응시","응시")))</f>
        <v/>
      </c>
      <c r="F31">
        <f>IF(A31="","",IF(COUNTIF($W$3:$W$102,A31)&gt;1,"중복! 확인",""))</f>
        <v/>
      </c>
      <c r="R31" s="3" t="n"/>
      <c r="S31" s="3" t="n"/>
      <c r="T31" s="3" t="n"/>
      <c r="U31" s="3" t="n"/>
      <c r="W31">
        <f>IF(UPPER(TRIM(R31&amp;""))="","",IF(RIGHT(UPPER(TRIM(R31&amp;"")),2)="-N",TRIM(LEFT(UPPER(TRIM(R31&amp;"")),LEN(UPPER(TRIM(R31&amp;"")))-2)),UPPER(TRIM(R31&amp;""))))</f>
        <v/>
      </c>
      <c r="X31">
        <f>IF(W31="","",IF(ISNUMBER(U31),ROUND(U31,1),IF(AND(ISNUMBER(S31),ISNUMBER(T31)),IF(T31&gt;0,ROUND(S31/T31*100,1),""),"")))</f>
        <v/>
      </c>
      <c r="Y31">
        <f>IF(W31="","",IF(RIGHT(UPPER(TRIM(R31&amp;"")),2)="-N","비경쟁",""))</f>
        <v/>
      </c>
      <c r="Z31">
        <f>IF(W31="","",IF(COUNTIF(참가자!$A$3:$A$52,W31)=0,"명단에 없는 코드",""))</f>
        <v/>
      </c>
      <c r="AA31">
        <f>IF(W31="","",IF(ISNUMBER(U31),ROUND(U31*DIAG_ITEMS/100,1),IF(AND(ISNUMBER(S31),ISNUMBER(T31)),IF(T31&gt;0,S31,""),"")))</f>
        <v/>
      </c>
    </row>
    <row r="32">
      <c r="A32">
        <f>IF(참가자!A32="","",UPPER(TRIM(참가자!A32)))</f>
        <v/>
      </c>
      <c r="B32">
        <f>IF(A32="","",IF(참가자!B32="","(팀 없음)",TRIM(참가자!B32)))</f>
        <v/>
      </c>
      <c r="C32">
        <f>IF(A32="","",IFERROR(INDEX($AA$3:$AA$102,MATCH(A32,$W$3:$W$102,0)),""))</f>
        <v/>
      </c>
      <c r="D32">
        <f>IF(A32="","",IFERROR(INDEX($X$3:$X$102,MATCH(A32,$W$3:$W$102,0)),""))</f>
        <v/>
      </c>
      <c r="E32">
        <f>IF(A32="","",IF(D32="","결석",IF(IFERROR(INDEX($Y$3:$Y$102,MATCH(A32,$W$3:$W$102,0)),"")="비경쟁","비경쟁 응시","응시")))</f>
        <v/>
      </c>
      <c r="F32">
        <f>IF(A32="","",IF(COUNTIF($W$3:$W$102,A32)&gt;1,"중복! 확인",""))</f>
        <v/>
      </c>
      <c r="R32" s="3" t="n"/>
      <c r="S32" s="3" t="n"/>
      <c r="T32" s="3" t="n"/>
      <c r="U32" s="3" t="n"/>
      <c r="W32">
        <f>IF(UPPER(TRIM(R32&amp;""))="","",IF(RIGHT(UPPER(TRIM(R32&amp;"")),2)="-N",TRIM(LEFT(UPPER(TRIM(R32&amp;"")),LEN(UPPER(TRIM(R32&amp;"")))-2)),UPPER(TRIM(R32&amp;""))))</f>
        <v/>
      </c>
      <c r="X32">
        <f>IF(W32="","",IF(ISNUMBER(U32),ROUND(U32,1),IF(AND(ISNUMBER(S32),ISNUMBER(T32)),IF(T32&gt;0,ROUND(S32/T32*100,1),""),"")))</f>
        <v/>
      </c>
      <c r="Y32">
        <f>IF(W32="","",IF(RIGHT(UPPER(TRIM(R32&amp;"")),2)="-N","비경쟁",""))</f>
        <v/>
      </c>
      <c r="Z32">
        <f>IF(W32="","",IF(COUNTIF(참가자!$A$3:$A$52,W32)=0,"명단에 없는 코드",""))</f>
        <v/>
      </c>
      <c r="AA32">
        <f>IF(W32="","",IF(ISNUMBER(U32),ROUND(U32*DIAG_ITEMS/100,1),IF(AND(ISNUMBER(S32),ISNUMBER(T32)),IF(T32&gt;0,S32,""),"")))</f>
        <v/>
      </c>
    </row>
    <row r="33">
      <c r="A33">
        <f>IF(참가자!A33="","",UPPER(TRIM(참가자!A33)))</f>
        <v/>
      </c>
      <c r="B33">
        <f>IF(A33="","",IF(참가자!B33="","(팀 없음)",TRIM(참가자!B33)))</f>
        <v/>
      </c>
      <c r="C33">
        <f>IF(A33="","",IFERROR(INDEX($AA$3:$AA$102,MATCH(A33,$W$3:$W$102,0)),""))</f>
        <v/>
      </c>
      <c r="D33">
        <f>IF(A33="","",IFERROR(INDEX($X$3:$X$102,MATCH(A33,$W$3:$W$102,0)),""))</f>
        <v/>
      </c>
      <c r="E33">
        <f>IF(A33="","",IF(D33="","결석",IF(IFERROR(INDEX($Y$3:$Y$102,MATCH(A33,$W$3:$W$102,0)),"")="비경쟁","비경쟁 응시","응시")))</f>
        <v/>
      </c>
      <c r="F33">
        <f>IF(A33="","",IF(COUNTIF($W$3:$W$102,A33)&gt;1,"중복! 확인",""))</f>
        <v/>
      </c>
      <c r="R33" s="3" t="n"/>
      <c r="S33" s="3" t="n"/>
      <c r="T33" s="3" t="n"/>
      <c r="U33" s="3" t="n"/>
      <c r="W33">
        <f>IF(UPPER(TRIM(R33&amp;""))="","",IF(RIGHT(UPPER(TRIM(R33&amp;"")),2)="-N",TRIM(LEFT(UPPER(TRIM(R33&amp;"")),LEN(UPPER(TRIM(R33&amp;"")))-2)),UPPER(TRIM(R33&amp;""))))</f>
        <v/>
      </c>
      <c r="X33">
        <f>IF(W33="","",IF(ISNUMBER(U33),ROUND(U33,1),IF(AND(ISNUMBER(S33),ISNUMBER(T33)),IF(T33&gt;0,ROUND(S33/T33*100,1),""),"")))</f>
        <v/>
      </c>
      <c r="Y33">
        <f>IF(W33="","",IF(RIGHT(UPPER(TRIM(R33&amp;"")),2)="-N","비경쟁",""))</f>
        <v/>
      </c>
      <c r="Z33">
        <f>IF(W33="","",IF(COUNTIF(참가자!$A$3:$A$52,W33)=0,"명단에 없는 코드",""))</f>
        <v/>
      </c>
      <c r="AA33">
        <f>IF(W33="","",IF(ISNUMBER(U33),ROUND(U33*DIAG_ITEMS/100,1),IF(AND(ISNUMBER(S33),ISNUMBER(T33)),IF(T33&gt;0,S33,""),"")))</f>
        <v/>
      </c>
    </row>
    <row r="34">
      <c r="A34">
        <f>IF(참가자!A34="","",UPPER(TRIM(참가자!A34)))</f>
        <v/>
      </c>
      <c r="B34">
        <f>IF(A34="","",IF(참가자!B34="","(팀 없음)",TRIM(참가자!B34)))</f>
        <v/>
      </c>
      <c r="C34">
        <f>IF(A34="","",IFERROR(INDEX($AA$3:$AA$102,MATCH(A34,$W$3:$W$102,0)),""))</f>
        <v/>
      </c>
      <c r="D34">
        <f>IF(A34="","",IFERROR(INDEX($X$3:$X$102,MATCH(A34,$W$3:$W$102,0)),""))</f>
        <v/>
      </c>
      <c r="E34">
        <f>IF(A34="","",IF(D34="","결석",IF(IFERROR(INDEX($Y$3:$Y$102,MATCH(A34,$W$3:$W$102,0)),"")="비경쟁","비경쟁 응시","응시")))</f>
        <v/>
      </c>
      <c r="F34">
        <f>IF(A34="","",IF(COUNTIF($W$3:$W$102,A34)&gt;1,"중복! 확인",""))</f>
        <v/>
      </c>
      <c r="R34" s="3" t="n"/>
      <c r="S34" s="3" t="n"/>
      <c r="T34" s="3" t="n"/>
      <c r="U34" s="3" t="n"/>
      <c r="W34">
        <f>IF(UPPER(TRIM(R34&amp;""))="","",IF(RIGHT(UPPER(TRIM(R34&amp;"")),2)="-N",TRIM(LEFT(UPPER(TRIM(R34&amp;"")),LEN(UPPER(TRIM(R34&amp;"")))-2)),UPPER(TRIM(R34&amp;""))))</f>
        <v/>
      </c>
      <c r="X34">
        <f>IF(W34="","",IF(ISNUMBER(U34),ROUND(U34,1),IF(AND(ISNUMBER(S34),ISNUMBER(T34)),IF(T34&gt;0,ROUND(S34/T34*100,1),""),"")))</f>
        <v/>
      </c>
      <c r="Y34">
        <f>IF(W34="","",IF(RIGHT(UPPER(TRIM(R34&amp;"")),2)="-N","비경쟁",""))</f>
        <v/>
      </c>
      <c r="Z34">
        <f>IF(W34="","",IF(COUNTIF(참가자!$A$3:$A$52,W34)=0,"명단에 없는 코드",""))</f>
        <v/>
      </c>
      <c r="AA34">
        <f>IF(W34="","",IF(ISNUMBER(U34),ROUND(U34*DIAG_ITEMS/100,1),IF(AND(ISNUMBER(S34),ISNUMBER(T34)),IF(T34&gt;0,S34,""),"")))</f>
        <v/>
      </c>
    </row>
    <row r="35">
      <c r="A35">
        <f>IF(참가자!A35="","",UPPER(TRIM(참가자!A35)))</f>
        <v/>
      </c>
      <c r="B35">
        <f>IF(A35="","",IF(참가자!B35="","(팀 없음)",TRIM(참가자!B35)))</f>
        <v/>
      </c>
      <c r="C35">
        <f>IF(A35="","",IFERROR(INDEX($AA$3:$AA$102,MATCH(A35,$W$3:$W$102,0)),""))</f>
        <v/>
      </c>
      <c r="D35">
        <f>IF(A35="","",IFERROR(INDEX($X$3:$X$102,MATCH(A35,$W$3:$W$102,0)),""))</f>
        <v/>
      </c>
      <c r="E35">
        <f>IF(A35="","",IF(D35="","결석",IF(IFERROR(INDEX($Y$3:$Y$102,MATCH(A35,$W$3:$W$102,0)),"")="비경쟁","비경쟁 응시","응시")))</f>
        <v/>
      </c>
      <c r="F35">
        <f>IF(A35="","",IF(COUNTIF($W$3:$W$102,A35)&gt;1,"중복! 확인",""))</f>
        <v/>
      </c>
      <c r="R35" s="3" t="n"/>
      <c r="S35" s="3" t="n"/>
      <c r="T35" s="3" t="n"/>
      <c r="U35" s="3" t="n"/>
      <c r="W35">
        <f>IF(UPPER(TRIM(R35&amp;""))="","",IF(RIGHT(UPPER(TRIM(R35&amp;"")),2)="-N",TRIM(LEFT(UPPER(TRIM(R35&amp;"")),LEN(UPPER(TRIM(R35&amp;"")))-2)),UPPER(TRIM(R35&amp;""))))</f>
        <v/>
      </c>
      <c r="X35">
        <f>IF(W35="","",IF(ISNUMBER(U35),ROUND(U35,1),IF(AND(ISNUMBER(S35),ISNUMBER(T35)),IF(T35&gt;0,ROUND(S35/T35*100,1),""),"")))</f>
        <v/>
      </c>
      <c r="Y35">
        <f>IF(W35="","",IF(RIGHT(UPPER(TRIM(R35&amp;"")),2)="-N","비경쟁",""))</f>
        <v/>
      </c>
      <c r="Z35">
        <f>IF(W35="","",IF(COUNTIF(참가자!$A$3:$A$52,W35)=0,"명단에 없는 코드",""))</f>
        <v/>
      </c>
      <c r="AA35">
        <f>IF(W35="","",IF(ISNUMBER(U35),ROUND(U35*DIAG_ITEMS/100,1),IF(AND(ISNUMBER(S35),ISNUMBER(T35)),IF(T35&gt;0,S35,""),"")))</f>
        <v/>
      </c>
    </row>
    <row r="36">
      <c r="A36">
        <f>IF(참가자!A36="","",UPPER(TRIM(참가자!A36)))</f>
        <v/>
      </c>
      <c r="B36">
        <f>IF(A36="","",IF(참가자!B36="","(팀 없음)",TRIM(참가자!B36)))</f>
        <v/>
      </c>
      <c r="C36">
        <f>IF(A36="","",IFERROR(INDEX($AA$3:$AA$102,MATCH(A36,$W$3:$W$102,0)),""))</f>
        <v/>
      </c>
      <c r="D36">
        <f>IF(A36="","",IFERROR(INDEX($X$3:$X$102,MATCH(A36,$W$3:$W$102,0)),""))</f>
        <v/>
      </c>
      <c r="E36">
        <f>IF(A36="","",IF(D36="","결석",IF(IFERROR(INDEX($Y$3:$Y$102,MATCH(A36,$W$3:$W$102,0)),"")="비경쟁","비경쟁 응시","응시")))</f>
        <v/>
      </c>
      <c r="F36">
        <f>IF(A36="","",IF(COUNTIF($W$3:$W$102,A36)&gt;1,"중복! 확인",""))</f>
        <v/>
      </c>
      <c r="R36" s="3" t="n"/>
      <c r="S36" s="3" t="n"/>
      <c r="T36" s="3" t="n"/>
      <c r="U36" s="3" t="n"/>
      <c r="W36">
        <f>IF(UPPER(TRIM(R36&amp;""))="","",IF(RIGHT(UPPER(TRIM(R36&amp;"")),2)="-N",TRIM(LEFT(UPPER(TRIM(R36&amp;"")),LEN(UPPER(TRIM(R36&amp;"")))-2)),UPPER(TRIM(R36&amp;""))))</f>
        <v/>
      </c>
      <c r="X36">
        <f>IF(W36="","",IF(ISNUMBER(U36),ROUND(U36,1),IF(AND(ISNUMBER(S36),ISNUMBER(T36)),IF(T36&gt;0,ROUND(S36/T36*100,1),""),"")))</f>
        <v/>
      </c>
      <c r="Y36">
        <f>IF(W36="","",IF(RIGHT(UPPER(TRIM(R36&amp;"")),2)="-N","비경쟁",""))</f>
        <v/>
      </c>
      <c r="Z36">
        <f>IF(W36="","",IF(COUNTIF(참가자!$A$3:$A$52,W36)=0,"명단에 없는 코드",""))</f>
        <v/>
      </c>
      <c r="AA36">
        <f>IF(W36="","",IF(ISNUMBER(U36),ROUND(U36*DIAG_ITEMS/100,1),IF(AND(ISNUMBER(S36),ISNUMBER(T36)),IF(T36&gt;0,S36,""),"")))</f>
        <v/>
      </c>
    </row>
    <row r="37">
      <c r="A37">
        <f>IF(참가자!A37="","",UPPER(TRIM(참가자!A37)))</f>
        <v/>
      </c>
      <c r="B37">
        <f>IF(A37="","",IF(참가자!B37="","(팀 없음)",TRIM(참가자!B37)))</f>
        <v/>
      </c>
      <c r="C37">
        <f>IF(A37="","",IFERROR(INDEX($AA$3:$AA$102,MATCH(A37,$W$3:$W$102,0)),""))</f>
        <v/>
      </c>
      <c r="D37">
        <f>IF(A37="","",IFERROR(INDEX($X$3:$X$102,MATCH(A37,$W$3:$W$102,0)),""))</f>
        <v/>
      </c>
      <c r="E37">
        <f>IF(A37="","",IF(D37="","결석",IF(IFERROR(INDEX($Y$3:$Y$102,MATCH(A37,$W$3:$W$102,0)),"")="비경쟁","비경쟁 응시","응시")))</f>
        <v/>
      </c>
      <c r="F37">
        <f>IF(A37="","",IF(COUNTIF($W$3:$W$102,A37)&gt;1,"중복! 확인",""))</f>
        <v/>
      </c>
      <c r="R37" s="3" t="n"/>
      <c r="S37" s="3" t="n"/>
      <c r="T37" s="3" t="n"/>
      <c r="U37" s="3" t="n"/>
      <c r="W37">
        <f>IF(UPPER(TRIM(R37&amp;""))="","",IF(RIGHT(UPPER(TRIM(R37&amp;"")),2)="-N",TRIM(LEFT(UPPER(TRIM(R37&amp;"")),LEN(UPPER(TRIM(R37&amp;"")))-2)),UPPER(TRIM(R37&amp;""))))</f>
        <v/>
      </c>
      <c r="X37">
        <f>IF(W37="","",IF(ISNUMBER(U37),ROUND(U37,1),IF(AND(ISNUMBER(S37),ISNUMBER(T37)),IF(T37&gt;0,ROUND(S37/T37*100,1),""),"")))</f>
        <v/>
      </c>
      <c r="Y37">
        <f>IF(W37="","",IF(RIGHT(UPPER(TRIM(R37&amp;"")),2)="-N","비경쟁",""))</f>
        <v/>
      </c>
      <c r="Z37">
        <f>IF(W37="","",IF(COUNTIF(참가자!$A$3:$A$52,W37)=0,"명단에 없는 코드",""))</f>
        <v/>
      </c>
      <c r="AA37">
        <f>IF(W37="","",IF(ISNUMBER(U37),ROUND(U37*DIAG_ITEMS/100,1),IF(AND(ISNUMBER(S37),ISNUMBER(T37)),IF(T37&gt;0,S37,""),"")))</f>
        <v/>
      </c>
    </row>
    <row r="38">
      <c r="A38">
        <f>IF(참가자!A38="","",UPPER(TRIM(참가자!A38)))</f>
        <v/>
      </c>
      <c r="B38">
        <f>IF(A38="","",IF(참가자!B38="","(팀 없음)",TRIM(참가자!B38)))</f>
        <v/>
      </c>
      <c r="C38">
        <f>IF(A38="","",IFERROR(INDEX($AA$3:$AA$102,MATCH(A38,$W$3:$W$102,0)),""))</f>
        <v/>
      </c>
      <c r="D38">
        <f>IF(A38="","",IFERROR(INDEX($X$3:$X$102,MATCH(A38,$W$3:$W$102,0)),""))</f>
        <v/>
      </c>
      <c r="E38">
        <f>IF(A38="","",IF(D38="","결석",IF(IFERROR(INDEX($Y$3:$Y$102,MATCH(A38,$W$3:$W$102,0)),"")="비경쟁","비경쟁 응시","응시")))</f>
        <v/>
      </c>
      <c r="F38">
        <f>IF(A38="","",IF(COUNTIF($W$3:$W$102,A38)&gt;1,"중복! 확인",""))</f>
        <v/>
      </c>
      <c r="R38" s="3" t="n"/>
      <c r="S38" s="3" t="n"/>
      <c r="T38" s="3" t="n"/>
      <c r="U38" s="3" t="n"/>
      <c r="W38">
        <f>IF(UPPER(TRIM(R38&amp;""))="","",IF(RIGHT(UPPER(TRIM(R38&amp;"")),2)="-N",TRIM(LEFT(UPPER(TRIM(R38&amp;"")),LEN(UPPER(TRIM(R38&amp;"")))-2)),UPPER(TRIM(R38&amp;""))))</f>
        <v/>
      </c>
      <c r="X38">
        <f>IF(W38="","",IF(ISNUMBER(U38),ROUND(U38,1),IF(AND(ISNUMBER(S38),ISNUMBER(T38)),IF(T38&gt;0,ROUND(S38/T38*100,1),""),"")))</f>
        <v/>
      </c>
      <c r="Y38">
        <f>IF(W38="","",IF(RIGHT(UPPER(TRIM(R38&amp;"")),2)="-N","비경쟁",""))</f>
        <v/>
      </c>
      <c r="Z38">
        <f>IF(W38="","",IF(COUNTIF(참가자!$A$3:$A$52,W38)=0,"명단에 없는 코드",""))</f>
        <v/>
      </c>
      <c r="AA38">
        <f>IF(W38="","",IF(ISNUMBER(U38),ROUND(U38*DIAG_ITEMS/100,1),IF(AND(ISNUMBER(S38),ISNUMBER(T38)),IF(T38&gt;0,S38,""),"")))</f>
        <v/>
      </c>
    </row>
    <row r="39">
      <c r="A39">
        <f>IF(참가자!A39="","",UPPER(TRIM(참가자!A39)))</f>
        <v/>
      </c>
      <c r="B39">
        <f>IF(A39="","",IF(참가자!B39="","(팀 없음)",TRIM(참가자!B39)))</f>
        <v/>
      </c>
      <c r="C39">
        <f>IF(A39="","",IFERROR(INDEX($AA$3:$AA$102,MATCH(A39,$W$3:$W$102,0)),""))</f>
        <v/>
      </c>
      <c r="D39">
        <f>IF(A39="","",IFERROR(INDEX($X$3:$X$102,MATCH(A39,$W$3:$W$102,0)),""))</f>
        <v/>
      </c>
      <c r="E39">
        <f>IF(A39="","",IF(D39="","결석",IF(IFERROR(INDEX($Y$3:$Y$102,MATCH(A39,$W$3:$W$102,0)),"")="비경쟁","비경쟁 응시","응시")))</f>
        <v/>
      </c>
      <c r="F39">
        <f>IF(A39="","",IF(COUNTIF($W$3:$W$102,A39)&gt;1,"중복! 확인",""))</f>
        <v/>
      </c>
      <c r="R39" s="3" t="n"/>
      <c r="S39" s="3" t="n"/>
      <c r="T39" s="3" t="n"/>
      <c r="U39" s="3" t="n"/>
      <c r="W39">
        <f>IF(UPPER(TRIM(R39&amp;""))="","",IF(RIGHT(UPPER(TRIM(R39&amp;"")),2)="-N",TRIM(LEFT(UPPER(TRIM(R39&amp;"")),LEN(UPPER(TRIM(R39&amp;"")))-2)),UPPER(TRIM(R39&amp;""))))</f>
        <v/>
      </c>
      <c r="X39">
        <f>IF(W39="","",IF(ISNUMBER(U39),ROUND(U39,1),IF(AND(ISNUMBER(S39),ISNUMBER(T39)),IF(T39&gt;0,ROUND(S39/T39*100,1),""),"")))</f>
        <v/>
      </c>
      <c r="Y39">
        <f>IF(W39="","",IF(RIGHT(UPPER(TRIM(R39&amp;"")),2)="-N","비경쟁",""))</f>
        <v/>
      </c>
      <c r="Z39">
        <f>IF(W39="","",IF(COUNTIF(참가자!$A$3:$A$52,W39)=0,"명단에 없는 코드",""))</f>
        <v/>
      </c>
      <c r="AA39">
        <f>IF(W39="","",IF(ISNUMBER(U39),ROUND(U39*DIAG_ITEMS/100,1),IF(AND(ISNUMBER(S39),ISNUMBER(T39)),IF(T39&gt;0,S39,""),"")))</f>
        <v/>
      </c>
    </row>
    <row r="40">
      <c r="A40">
        <f>IF(참가자!A40="","",UPPER(TRIM(참가자!A40)))</f>
        <v/>
      </c>
      <c r="B40">
        <f>IF(A40="","",IF(참가자!B40="","(팀 없음)",TRIM(참가자!B40)))</f>
        <v/>
      </c>
      <c r="C40">
        <f>IF(A40="","",IFERROR(INDEX($AA$3:$AA$102,MATCH(A40,$W$3:$W$102,0)),""))</f>
        <v/>
      </c>
      <c r="D40">
        <f>IF(A40="","",IFERROR(INDEX($X$3:$X$102,MATCH(A40,$W$3:$W$102,0)),""))</f>
        <v/>
      </c>
      <c r="E40">
        <f>IF(A40="","",IF(D40="","결석",IF(IFERROR(INDEX($Y$3:$Y$102,MATCH(A40,$W$3:$W$102,0)),"")="비경쟁","비경쟁 응시","응시")))</f>
        <v/>
      </c>
      <c r="F40">
        <f>IF(A40="","",IF(COUNTIF($W$3:$W$102,A40)&gt;1,"중복! 확인",""))</f>
        <v/>
      </c>
      <c r="R40" s="3" t="n"/>
      <c r="S40" s="3" t="n"/>
      <c r="T40" s="3" t="n"/>
      <c r="U40" s="3" t="n"/>
      <c r="W40">
        <f>IF(UPPER(TRIM(R40&amp;""))="","",IF(RIGHT(UPPER(TRIM(R40&amp;"")),2)="-N",TRIM(LEFT(UPPER(TRIM(R40&amp;"")),LEN(UPPER(TRIM(R40&amp;"")))-2)),UPPER(TRIM(R40&amp;""))))</f>
        <v/>
      </c>
      <c r="X40">
        <f>IF(W40="","",IF(ISNUMBER(U40),ROUND(U40,1),IF(AND(ISNUMBER(S40),ISNUMBER(T40)),IF(T40&gt;0,ROUND(S40/T40*100,1),""),"")))</f>
        <v/>
      </c>
      <c r="Y40">
        <f>IF(W40="","",IF(RIGHT(UPPER(TRIM(R40&amp;"")),2)="-N","비경쟁",""))</f>
        <v/>
      </c>
      <c r="Z40">
        <f>IF(W40="","",IF(COUNTIF(참가자!$A$3:$A$52,W40)=0,"명단에 없는 코드",""))</f>
        <v/>
      </c>
      <c r="AA40">
        <f>IF(W40="","",IF(ISNUMBER(U40),ROUND(U40*DIAG_ITEMS/100,1),IF(AND(ISNUMBER(S40),ISNUMBER(T40)),IF(T40&gt;0,S40,""),"")))</f>
        <v/>
      </c>
    </row>
    <row r="41">
      <c r="A41">
        <f>IF(참가자!A41="","",UPPER(TRIM(참가자!A41)))</f>
        <v/>
      </c>
      <c r="B41">
        <f>IF(A41="","",IF(참가자!B41="","(팀 없음)",TRIM(참가자!B41)))</f>
        <v/>
      </c>
      <c r="C41">
        <f>IF(A41="","",IFERROR(INDEX($AA$3:$AA$102,MATCH(A41,$W$3:$W$102,0)),""))</f>
        <v/>
      </c>
      <c r="D41">
        <f>IF(A41="","",IFERROR(INDEX($X$3:$X$102,MATCH(A41,$W$3:$W$102,0)),""))</f>
        <v/>
      </c>
      <c r="E41">
        <f>IF(A41="","",IF(D41="","결석",IF(IFERROR(INDEX($Y$3:$Y$102,MATCH(A41,$W$3:$W$102,0)),"")="비경쟁","비경쟁 응시","응시")))</f>
        <v/>
      </c>
      <c r="F41">
        <f>IF(A41="","",IF(COUNTIF($W$3:$W$102,A41)&gt;1,"중복! 확인",""))</f>
        <v/>
      </c>
      <c r="R41" s="3" t="n"/>
      <c r="S41" s="3" t="n"/>
      <c r="T41" s="3" t="n"/>
      <c r="U41" s="3" t="n"/>
      <c r="W41">
        <f>IF(UPPER(TRIM(R41&amp;""))="","",IF(RIGHT(UPPER(TRIM(R41&amp;"")),2)="-N",TRIM(LEFT(UPPER(TRIM(R41&amp;"")),LEN(UPPER(TRIM(R41&amp;"")))-2)),UPPER(TRIM(R41&amp;""))))</f>
        <v/>
      </c>
      <c r="X41">
        <f>IF(W41="","",IF(ISNUMBER(U41),ROUND(U41,1),IF(AND(ISNUMBER(S41),ISNUMBER(T41)),IF(T41&gt;0,ROUND(S41/T41*100,1),""),"")))</f>
        <v/>
      </c>
      <c r="Y41">
        <f>IF(W41="","",IF(RIGHT(UPPER(TRIM(R41&amp;"")),2)="-N","비경쟁",""))</f>
        <v/>
      </c>
      <c r="Z41">
        <f>IF(W41="","",IF(COUNTIF(참가자!$A$3:$A$52,W41)=0,"명단에 없는 코드",""))</f>
        <v/>
      </c>
      <c r="AA41">
        <f>IF(W41="","",IF(ISNUMBER(U41),ROUND(U41*DIAG_ITEMS/100,1),IF(AND(ISNUMBER(S41),ISNUMBER(T41)),IF(T41&gt;0,S41,""),"")))</f>
        <v/>
      </c>
    </row>
    <row r="42">
      <c r="A42">
        <f>IF(참가자!A42="","",UPPER(TRIM(참가자!A42)))</f>
        <v/>
      </c>
      <c r="B42">
        <f>IF(A42="","",IF(참가자!B42="","(팀 없음)",TRIM(참가자!B42)))</f>
        <v/>
      </c>
      <c r="C42">
        <f>IF(A42="","",IFERROR(INDEX($AA$3:$AA$102,MATCH(A42,$W$3:$W$102,0)),""))</f>
        <v/>
      </c>
      <c r="D42">
        <f>IF(A42="","",IFERROR(INDEX($X$3:$X$102,MATCH(A42,$W$3:$W$102,0)),""))</f>
        <v/>
      </c>
      <c r="E42">
        <f>IF(A42="","",IF(D42="","결석",IF(IFERROR(INDEX($Y$3:$Y$102,MATCH(A42,$W$3:$W$102,0)),"")="비경쟁","비경쟁 응시","응시")))</f>
        <v/>
      </c>
      <c r="F42">
        <f>IF(A42="","",IF(COUNTIF($W$3:$W$102,A42)&gt;1,"중복! 확인",""))</f>
        <v/>
      </c>
      <c r="R42" s="3" t="n"/>
      <c r="S42" s="3" t="n"/>
      <c r="T42" s="3" t="n"/>
      <c r="U42" s="3" t="n"/>
      <c r="W42">
        <f>IF(UPPER(TRIM(R42&amp;""))="","",IF(RIGHT(UPPER(TRIM(R42&amp;"")),2)="-N",TRIM(LEFT(UPPER(TRIM(R42&amp;"")),LEN(UPPER(TRIM(R42&amp;"")))-2)),UPPER(TRIM(R42&amp;""))))</f>
        <v/>
      </c>
      <c r="X42">
        <f>IF(W42="","",IF(ISNUMBER(U42),ROUND(U42,1),IF(AND(ISNUMBER(S42),ISNUMBER(T42)),IF(T42&gt;0,ROUND(S42/T42*100,1),""),"")))</f>
        <v/>
      </c>
      <c r="Y42">
        <f>IF(W42="","",IF(RIGHT(UPPER(TRIM(R42&amp;"")),2)="-N","비경쟁",""))</f>
        <v/>
      </c>
      <c r="Z42">
        <f>IF(W42="","",IF(COUNTIF(참가자!$A$3:$A$52,W42)=0,"명단에 없는 코드",""))</f>
        <v/>
      </c>
      <c r="AA42">
        <f>IF(W42="","",IF(ISNUMBER(U42),ROUND(U42*DIAG_ITEMS/100,1),IF(AND(ISNUMBER(S42),ISNUMBER(T42)),IF(T42&gt;0,S42,""),"")))</f>
        <v/>
      </c>
    </row>
    <row r="43">
      <c r="A43">
        <f>IF(참가자!A43="","",UPPER(TRIM(참가자!A43)))</f>
        <v/>
      </c>
      <c r="B43">
        <f>IF(A43="","",IF(참가자!B43="","(팀 없음)",TRIM(참가자!B43)))</f>
        <v/>
      </c>
      <c r="C43">
        <f>IF(A43="","",IFERROR(INDEX($AA$3:$AA$102,MATCH(A43,$W$3:$W$102,0)),""))</f>
        <v/>
      </c>
      <c r="D43">
        <f>IF(A43="","",IFERROR(INDEX($X$3:$X$102,MATCH(A43,$W$3:$W$102,0)),""))</f>
        <v/>
      </c>
      <c r="E43">
        <f>IF(A43="","",IF(D43="","결석",IF(IFERROR(INDEX($Y$3:$Y$102,MATCH(A43,$W$3:$W$102,0)),"")="비경쟁","비경쟁 응시","응시")))</f>
        <v/>
      </c>
      <c r="F43">
        <f>IF(A43="","",IF(COUNTIF($W$3:$W$102,A43)&gt;1,"중복! 확인",""))</f>
        <v/>
      </c>
      <c r="R43" s="3" t="n"/>
      <c r="S43" s="3" t="n"/>
      <c r="T43" s="3" t="n"/>
      <c r="U43" s="3" t="n"/>
      <c r="W43">
        <f>IF(UPPER(TRIM(R43&amp;""))="","",IF(RIGHT(UPPER(TRIM(R43&amp;"")),2)="-N",TRIM(LEFT(UPPER(TRIM(R43&amp;"")),LEN(UPPER(TRIM(R43&amp;"")))-2)),UPPER(TRIM(R43&amp;""))))</f>
        <v/>
      </c>
      <c r="X43">
        <f>IF(W43="","",IF(ISNUMBER(U43),ROUND(U43,1),IF(AND(ISNUMBER(S43),ISNUMBER(T43)),IF(T43&gt;0,ROUND(S43/T43*100,1),""),"")))</f>
        <v/>
      </c>
      <c r="Y43">
        <f>IF(W43="","",IF(RIGHT(UPPER(TRIM(R43&amp;"")),2)="-N","비경쟁",""))</f>
        <v/>
      </c>
      <c r="Z43">
        <f>IF(W43="","",IF(COUNTIF(참가자!$A$3:$A$52,W43)=0,"명단에 없는 코드",""))</f>
        <v/>
      </c>
      <c r="AA43">
        <f>IF(W43="","",IF(ISNUMBER(U43),ROUND(U43*DIAG_ITEMS/100,1),IF(AND(ISNUMBER(S43),ISNUMBER(T43)),IF(T43&gt;0,S43,""),"")))</f>
        <v/>
      </c>
    </row>
    <row r="44">
      <c r="A44">
        <f>IF(참가자!A44="","",UPPER(TRIM(참가자!A44)))</f>
        <v/>
      </c>
      <c r="B44">
        <f>IF(A44="","",IF(참가자!B44="","(팀 없음)",TRIM(참가자!B44)))</f>
        <v/>
      </c>
      <c r="C44">
        <f>IF(A44="","",IFERROR(INDEX($AA$3:$AA$102,MATCH(A44,$W$3:$W$102,0)),""))</f>
        <v/>
      </c>
      <c r="D44">
        <f>IF(A44="","",IFERROR(INDEX($X$3:$X$102,MATCH(A44,$W$3:$W$102,0)),""))</f>
        <v/>
      </c>
      <c r="E44">
        <f>IF(A44="","",IF(D44="","결석",IF(IFERROR(INDEX($Y$3:$Y$102,MATCH(A44,$W$3:$W$102,0)),"")="비경쟁","비경쟁 응시","응시")))</f>
        <v/>
      </c>
      <c r="F44">
        <f>IF(A44="","",IF(COUNTIF($W$3:$W$102,A44)&gt;1,"중복! 확인",""))</f>
        <v/>
      </c>
      <c r="R44" s="3" t="n"/>
      <c r="S44" s="3" t="n"/>
      <c r="T44" s="3" t="n"/>
      <c r="U44" s="3" t="n"/>
      <c r="W44">
        <f>IF(UPPER(TRIM(R44&amp;""))="","",IF(RIGHT(UPPER(TRIM(R44&amp;"")),2)="-N",TRIM(LEFT(UPPER(TRIM(R44&amp;"")),LEN(UPPER(TRIM(R44&amp;"")))-2)),UPPER(TRIM(R44&amp;""))))</f>
        <v/>
      </c>
      <c r="X44">
        <f>IF(W44="","",IF(ISNUMBER(U44),ROUND(U44,1),IF(AND(ISNUMBER(S44),ISNUMBER(T44)),IF(T44&gt;0,ROUND(S44/T44*100,1),""),"")))</f>
        <v/>
      </c>
      <c r="Y44">
        <f>IF(W44="","",IF(RIGHT(UPPER(TRIM(R44&amp;"")),2)="-N","비경쟁",""))</f>
        <v/>
      </c>
      <c r="Z44">
        <f>IF(W44="","",IF(COUNTIF(참가자!$A$3:$A$52,W44)=0,"명단에 없는 코드",""))</f>
        <v/>
      </c>
      <c r="AA44">
        <f>IF(W44="","",IF(ISNUMBER(U44),ROUND(U44*DIAG_ITEMS/100,1),IF(AND(ISNUMBER(S44),ISNUMBER(T44)),IF(T44&gt;0,S44,""),"")))</f>
        <v/>
      </c>
    </row>
    <row r="45">
      <c r="A45">
        <f>IF(참가자!A45="","",UPPER(TRIM(참가자!A45)))</f>
        <v/>
      </c>
      <c r="B45">
        <f>IF(A45="","",IF(참가자!B45="","(팀 없음)",TRIM(참가자!B45)))</f>
        <v/>
      </c>
      <c r="C45">
        <f>IF(A45="","",IFERROR(INDEX($AA$3:$AA$102,MATCH(A45,$W$3:$W$102,0)),""))</f>
        <v/>
      </c>
      <c r="D45">
        <f>IF(A45="","",IFERROR(INDEX($X$3:$X$102,MATCH(A45,$W$3:$W$102,0)),""))</f>
        <v/>
      </c>
      <c r="E45">
        <f>IF(A45="","",IF(D45="","결석",IF(IFERROR(INDEX($Y$3:$Y$102,MATCH(A45,$W$3:$W$102,0)),"")="비경쟁","비경쟁 응시","응시")))</f>
        <v/>
      </c>
      <c r="F45">
        <f>IF(A45="","",IF(COUNTIF($W$3:$W$102,A45)&gt;1,"중복! 확인",""))</f>
        <v/>
      </c>
      <c r="R45" s="3" t="n"/>
      <c r="S45" s="3" t="n"/>
      <c r="T45" s="3" t="n"/>
      <c r="U45" s="3" t="n"/>
      <c r="W45">
        <f>IF(UPPER(TRIM(R45&amp;""))="","",IF(RIGHT(UPPER(TRIM(R45&amp;"")),2)="-N",TRIM(LEFT(UPPER(TRIM(R45&amp;"")),LEN(UPPER(TRIM(R45&amp;"")))-2)),UPPER(TRIM(R45&amp;""))))</f>
        <v/>
      </c>
      <c r="X45">
        <f>IF(W45="","",IF(ISNUMBER(U45),ROUND(U45,1),IF(AND(ISNUMBER(S45),ISNUMBER(T45)),IF(T45&gt;0,ROUND(S45/T45*100,1),""),"")))</f>
        <v/>
      </c>
      <c r="Y45">
        <f>IF(W45="","",IF(RIGHT(UPPER(TRIM(R45&amp;"")),2)="-N","비경쟁",""))</f>
        <v/>
      </c>
      <c r="Z45">
        <f>IF(W45="","",IF(COUNTIF(참가자!$A$3:$A$52,W45)=0,"명단에 없는 코드",""))</f>
        <v/>
      </c>
      <c r="AA45">
        <f>IF(W45="","",IF(ISNUMBER(U45),ROUND(U45*DIAG_ITEMS/100,1),IF(AND(ISNUMBER(S45),ISNUMBER(T45)),IF(T45&gt;0,S45,""),"")))</f>
        <v/>
      </c>
    </row>
    <row r="46">
      <c r="A46">
        <f>IF(참가자!A46="","",UPPER(TRIM(참가자!A46)))</f>
        <v/>
      </c>
      <c r="B46">
        <f>IF(A46="","",IF(참가자!B46="","(팀 없음)",TRIM(참가자!B46)))</f>
        <v/>
      </c>
      <c r="C46">
        <f>IF(A46="","",IFERROR(INDEX($AA$3:$AA$102,MATCH(A46,$W$3:$W$102,0)),""))</f>
        <v/>
      </c>
      <c r="D46">
        <f>IF(A46="","",IFERROR(INDEX($X$3:$X$102,MATCH(A46,$W$3:$W$102,0)),""))</f>
        <v/>
      </c>
      <c r="E46">
        <f>IF(A46="","",IF(D46="","결석",IF(IFERROR(INDEX($Y$3:$Y$102,MATCH(A46,$W$3:$W$102,0)),"")="비경쟁","비경쟁 응시","응시")))</f>
        <v/>
      </c>
      <c r="F46">
        <f>IF(A46="","",IF(COUNTIF($W$3:$W$102,A46)&gt;1,"중복! 확인",""))</f>
        <v/>
      </c>
      <c r="R46" s="3" t="n"/>
      <c r="S46" s="3" t="n"/>
      <c r="T46" s="3" t="n"/>
      <c r="U46" s="3" t="n"/>
      <c r="W46">
        <f>IF(UPPER(TRIM(R46&amp;""))="","",IF(RIGHT(UPPER(TRIM(R46&amp;"")),2)="-N",TRIM(LEFT(UPPER(TRIM(R46&amp;"")),LEN(UPPER(TRIM(R46&amp;"")))-2)),UPPER(TRIM(R46&amp;""))))</f>
        <v/>
      </c>
      <c r="X46">
        <f>IF(W46="","",IF(ISNUMBER(U46),ROUND(U46,1),IF(AND(ISNUMBER(S46),ISNUMBER(T46)),IF(T46&gt;0,ROUND(S46/T46*100,1),""),"")))</f>
        <v/>
      </c>
      <c r="Y46">
        <f>IF(W46="","",IF(RIGHT(UPPER(TRIM(R46&amp;"")),2)="-N","비경쟁",""))</f>
        <v/>
      </c>
      <c r="Z46">
        <f>IF(W46="","",IF(COUNTIF(참가자!$A$3:$A$52,W46)=0,"명단에 없는 코드",""))</f>
        <v/>
      </c>
      <c r="AA46">
        <f>IF(W46="","",IF(ISNUMBER(U46),ROUND(U46*DIAG_ITEMS/100,1),IF(AND(ISNUMBER(S46),ISNUMBER(T46)),IF(T46&gt;0,S46,""),"")))</f>
        <v/>
      </c>
    </row>
    <row r="47">
      <c r="A47">
        <f>IF(참가자!A47="","",UPPER(TRIM(참가자!A47)))</f>
        <v/>
      </c>
      <c r="B47">
        <f>IF(A47="","",IF(참가자!B47="","(팀 없음)",TRIM(참가자!B47)))</f>
        <v/>
      </c>
      <c r="C47">
        <f>IF(A47="","",IFERROR(INDEX($AA$3:$AA$102,MATCH(A47,$W$3:$W$102,0)),""))</f>
        <v/>
      </c>
      <c r="D47">
        <f>IF(A47="","",IFERROR(INDEX($X$3:$X$102,MATCH(A47,$W$3:$W$102,0)),""))</f>
        <v/>
      </c>
      <c r="E47">
        <f>IF(A47="","",IF(D47="","결석",IF(IFERROR(INDEX($Y$3:$Y$102,MATCH(A47,$W$3:$W$102,0)),"")="비경쟁","비경쟁 응시","응시")))</f>
        <v/>
      </c>
      <c r="F47">
        <f>IF(A47="","",IF(COUNTIF($W$3:$W$102,A47)&gt;1,"중복! 확인",""))</f>
        <v/>
      </c>
      <c r="R47" s="3" t="n"/>
      <c r="S47" s="3" t="n"/>
      <c r="T47" s="3" t="n"/>
      <c r="U47" s="3" t="n"/>
      <c r="W47">
        <f>IF(UPPER(TRIM(R47&amp;""))="","",IF(RIGHT(UPPER(TRIM(R47&amp;"")),2)="-N",TRIM(LEFT(UPPER(TRIM(R47&amp;"")),LEN(UPPER(TRIM(R47&amp;"")))-2)),UPPER(TRIM(R47&amp;""))))</f>
        <v/>
      </c>
      <c r="X47">
        <f>IF(W47="","",IF(ISNUMBER(U47),ROUND(U47,1),IF(AND(ISNUMBER(S47),ISNUMBER(T47)),IF(T47&gt;0,ROUND(S47/T47*100,1),""),"")))</f>
        <v/>
      </c>
      <c r="Y47">
        <f>IF(W47="","",IF(RIGHT(UPPER(TRIM(R47&amp;"")),2)="-N","비경쟁",""))</f>
        <v/>
      </c>
      <c r="Z47">
        <f>IF(W47="","",IF(COUNTIF(참가자!$A$3:$A$52,W47)=0,"명단에 없는 코드",""))</f>
        <v/>
      </c>
      <c r="AA47">
        <f>IF(W47="","",IF(ISNUMBER(U47),ROUND(U47*DIAG_ITEMS/100,1),IF(AND(ISNUMBER(S47),ISNUMBER(T47)),IF(T47&gt;0,S47,""),"")))</f>
        <v/>
      </c>
    </row>
    <row r="48">
      <c r="A48">
        <f>IF(참가자!A48="","",UPPER(TRIM(참가자!A48)))</f>
        <v/>
      </c>
      <c r="B48">
        <f>IF(A48="","",IF(참가자!B48="","(팀 없음)",TRIM(참가자!B48)))</f>
        <v/>
      </c>
      <c r="C48">
        <f>IF(A48="","",IFERROR(INDEX($AA$3:$AA$102,MATCH(A48,$W$3:$W$102,0)),""))</f>
        <v/>
      </c>
      <c r="D48">
        <f>IF(A48="","",IFERROR(INDEX($X$3:$X$102,MATCH(A48,$W$3:$W$102,0)),""))</f>
        <v/>
      </c>
      <c r="E48">
        <f>IF(A48="","",IF(D48="","결석",IF(IFERROR(INDEX($Y$3:$Y$102,MATCH(A48,$W$3:$W$102,0)),"")="비경쟁","비경쟁 응시","응시")))</f>
        <v/>
      </c>
      <c r="F48">
        <f>IF(A48="","",IF(COUNTIF($W$3:$W$102,A48)&gt;1,"중복! 확인",""))</f>
        <v/>
      </c>
      <c r="R48" s="3" t="n"/>
      <c r="S48" s="3" t="n"/>
      <c r="T48" s="3" t="n"/>
      <c r="U48" s="3" t="n"/>
      <c r="W48">
        <f>IF(UPPER(TRIM(R48&amp;""))="","",IF(RIGHT(UPPER(TRIM(R48&amp;"")),2)="-N",TRIM(LEFT(UPPER(TRIM(R48&amp;"")),LEN(UPPER(TRIM(R48&amp;"")))-2)),UPPER(TRIM(R48&amp;""))))</f>
        <v/>
      </c>
      <c r="X48">
        <f>IF(W48="","",IF(ISNUMBER(U48),ROUND(U48,1),IF(AND(ISNUMBER(S48),ISNUMBER(T48)),IF(T48&gt;0,ROUND(S48/T48*100,1),""),"")))</f>
        <v/>
      </c>
      <c r="Y48">
        <f>IF(W48="","",IF(RIGHT(UPPER(TRIM(R48&amp;"")),2)="-N","비경쟁",""))</f>
        <v/>
      </c>
      <c r="Z48">
        <f>IF(W48="","",IF(COUNTIF(참가자!$A$3:$A$52,W48)=0,"명단에 없는 코드",""))</f>
        <v/>
      </c>
      <c r="AA48">
        <f>IF(W48="","",IF(ISNUMBER(U48),ROUND(U48*DIAG_ITEMS/100,1),IF(AND(ISNUMBER(S48),ISNUMBER(T48)),IF(T48&gt;0,S48,""),"")))</f>
        <v/>
      </c>
    </row>
    <row r="49">
      <c r="A49">
        <f>IF(참가자!A49="","",UPPER(TRIM(참가자!A49)))</f>
        <v/>
      </c>
      <c r="B49">
        <f>IF(A49="","",IF(참가자!B49="","(팀 없음)",TRIM(참가자!B49)))</f>
        <v/>
      </c>
      <c r="C49">
        <f>IF(A49="","",IFERROR(INDEX($AA$3:$AA$102,MATCH(A49,$W$3:$W$102,0)),""))</f>
        <v/>
      </c>
      <c r="D49">
        <f>IF(A49="","",IFERROR(INDEX($X$3:$X$102,MATCH(A49,$W$3:$W$102,0)),""))</f>
        <v/>
      </c>
      <c r="E49">
        <f>IF(A49="","",IF(D49="","결석",IF(IFERROR(INDEX($Y$3:$Y$102,MATCH(A49,$W$3:$W$102,0)),"")="비경쟁","비경쟁 응시","응시")))</f>
        <v/>
      </c>
      <c r="F49">
        <f>IF(A49="","",IF(COUNTIF($W$3:$W$102,A49)&gt;1,"중복! 확인",""))</f>
        <v/>
      </c>
      <c r="R49" s="3" t="n"/>
      <c r="S49" s="3" t="n"/>
      <c r="T49" s="3" t="n"/>
      <c r="U49" s="3" t="n"/>
      <c r="W49">
        <f>IF(UPPER(TRIM(R49&amp;""))="","",IF(RIGHT(UPPER(TRIM(R49&amp;"")),2)="-N",TRIM(LEFT(UPPER(TRIM(R49&amp;"")),LEN(UPPER(TRIM(R49&amp;"")))-2)),UPPER(TRIM(R49&amp;""))))</f>
        <v/>
      </c>
      <c r="X49">
        <f>IF(W49="","",IF(ISNUMBER(U49),ROUND(U49,1),IF(AND(ISNUMBER(S49),ISNUMBER(T49)),IF(T49&gt;0,ROUND(S49/T49*100,1),""),"")))</f>
        <v/>
      </c>
      <c r="Y49">
        <f>IF(W49="","",IF(RIGHT(UPPER(TRIM(R49&amp;"")),2)="-N","비경쟁",""))</f>
        <v/>
      </c>
      <c r="Z49">
        <f>IF(W49="","",IF(COUNTIF(참가자!$A$3:$A$52,W49)=0,"명단에 없는 코드",""))</f>
        <v/>
      </c>
      <c r="AA49">
        <f>IF(W49="","",IF(ISNUMBER(U49),ROUND(U49*DIAG_ITEMS/100,1),IF(AND(ISNUMBER(S49),ISNUMBER(T49)),IF(T49&gt;0,S49,""),"")))</f>
        <v/>
      </c>
    </row>
    <row r="50">
      <c r="A50">
        <f>IF(참가자!A50="","",UPPER(TRIM(참가자!A50)))</f>
        <v/>
      </c>
      <c r="B50">
        <f>IF(A50="","",IF(참가자!B50="","(팀 없음)",TRIM(참가자!B50)))</f>
        <v/>
      </c>
      <c r="C50">
        <f>IF(A50="","",IFERROR(INDEX($AA$3:$AA$102,MATCH(A50,$W$3:$W$102,0)),""))</f>
        <v/>
      </c>
      <c r="D50">
        <f>IF(A50="","",IFERROR(INDEX($X$3:$X$102,MATCH(A50,$W$3:$W$102,0)),""))</f>
        <v/>
      </c>
      <c r="E50">
        <f>IF(A50="","",IF(D50="","결석",IF(IFERROR(INDEX($Y$3:$Y$102,MATCH(A50,$W$3:$W$102,0)),"")="비경쟁","비경쟁 응시","응시")))</f>
        <v/>
      </c>
      <c r="F50">
        <f>IF(A50="","",IF(COUNTIF($W$3:$W$102,A50)&gt;1,"중복! 확인",""))</f>
        <v/>
      </c>
      <c r="R50" s="3" t="n"/>
      <c r="S50" s="3" t="n"/>
      <c r="T50" s="3" t="n"/>
      <c r="U50" s="3" t="n"/>
      <c r="W50">
        <f>IF(UPPER(TRIM(R50&amp;""))="","",IF(RIGHT(UPPER(TRIM(R50&amp;"")),2)="-N",TRIM(LEFT(UPPER(TRIM(R50&amp;"")),LEN(UPPER(TRIM(R50&amp;"")))-2)),UPPER(TRIM(R50&amp;""))))</f>
        <v/>
      </c>
      <c r="X50">
        <f>IF(W50="","",IF(ISNUMBER(U50),ROUND(U50,1),IF(AND(ISNUMBER(S50),ISNUMBER(T50)),IF(T50&gt;0,ROUND(S50/T50*100,1),""),"")))</f>
        <v/>
      </c>
      <c r="Y50">
        <f>IF(W50="","",IF(RIGHT(UPPER(TRIM(R50&amp;"")),2)="-N","비경쟁",""))</f>
        <v/>
      </c>
      <c r="Z50">
        <f>IF(W50="","",IF(COUNTIF(참가자!$A$3:$A$52,W50)=0,"명단에 없는 코드",""))</f>
        <v/>
      </c>
      <c r="AA50">
        <f>IF(W50="","",IF(ISNUMBER(U50),ROUND(U50*DIAG_ITEMS/100,1),IF(AND(ISNUMBER(S50),ISNUMBER(T50)),IF(T50&gt;0,S50,""),"")))</f>
        <v/>
      </c>
    </row>
    <row r="51">
      <c r="A51">
        <f>IF(참가자!A51="","",UPPER(TRIM(참가자!A51)))</f>
        <v/>
      </c>
      <c r="B51">
        <f>IF(A51="","",IF(참가자!B51="","(팀 없음)",TRIM(참가자!B51)))</f>
        <v/>
      </c>
      <c r="C51">
        <f>IF(A51="","",IFERROR(INDEX($AA$3:$AA$102,MATCH(A51,$W$3:$W$102,0)),""))</f>
        <v/>
      </c>
      <c r="D51">
        <f>IF(A51="","",IFERROR(INDEX($X$3:$X$102,MATCH(A51,$W$3:$W$102,0)),""))</f>
        <v/>
      </c>
      <c r="E51">
        <f>IF(A51="","",IF(D51="","결석",IF(IFERROR(INDEX($Y$3:$Y$102,MATCH(A51,$W$3:$W$102,0)),"")="비경쟁","비경쟁 응시","응시")))</f>
        <v/>
      </c>
      <c r="F51">
        <f>IF(A51="","",IF(COUNTIF($W$3:$W$102,A51)&gt;1,"중복! 확인",""))</f>
        <v/>
      </c>
      <c r="R51" s="3" t="n"/>
      <c r="S51" s="3" t="n"/>
      <c r="T51" s="3" t="n"/>
      <c r="U51" s="3" t="n"/>
      <c r="W51">
        <f>IF(UPPER(TRIM(R51&amp;""))="","",IF(RIGHT(UPPER(TRIM(R51&amp;"")),2)="-N",TRIM(LEFT(UPPER(TRIM(R51&amp;"")),LEN(UPPER(TRIM(R51&amp;"")))-2)),UPPER(TRIM(R51&amp;""))))</f>
        <v/>
      </c>
      <c r="X51">
        <f>IF(W51="","",IF(ISNUMBER(U51),ROUND(U51,1),IF(AND(ISNUMBER(S51),ISNUMBER(T51)),IF(T51&gt;0,ROUND(S51/T51*100,1),""),"")))</f>
        <v/>
      </c>
      <c r="Y51">
        <f>IF(W51="","",IF(RIGHT(UPPER(TRIM(R51&amp;"")),2)="-N","비경쟁",""))</f>
        <v/>
      </c>
      <c r="Z51">
        <f>IF(W51="","",IF(COUNTIF(참가자!$A$3:$A$52,W51)=0,"명단에 없는 코드",""))</f>
        <v/>
      </c>
      <c r="AA51">
        <f>IF(W51="","",IF(ISNUMBER(U51),ROUND(U51*DIAG_ITEMS/100,1),IF(AND(ISNUMBER(S51),ISNUMBER(T51)),IF(T51&gt;0,S51,""),"")))</f>
        <v/>
      </c>
    </row>
    <row r="52">
      <c r="A52">
        <f>IF(참가자!A52="","",UPPER(TRIM(참가자!A52)))</f>
        <v/>
      </c>
      <c r="B52">
        <f>IF(A52="","",IF(참가자!B52="","(팀 없음)",TRIM(참가자!B52)))</f>
        <v/>
      </c>
      <c r="C52">
        <f>IF(A52="","",IFERROR(INDEX($AA$3:$AA$102,MATCH(A52,$W$3:$W$102,0)),""))</f>
        <v/>
      </c>
      <c r="D52">
        <f>IF(A52="","",IFERROR(INDEX($X$3:$X$102,MATCH(A52,$W$3:$W$102,0)),""))</f>
        <v/>
      </c>
      <c r="E52">
        <f>IF(A52="","",IF(D52="","결석",IF(IFERROR(INDEX($Y$3:$Y$102,MATCH(A52,$W$3:$W$102,0)),"")="비경쟁","비경쟁 응시","응시")))</f>
        <v/>
      </c>
      <c r="F52">
        <f>IF(A52="","",IF(COUNTIF($W$3:$W$102,A52)&gt;1,"중복! 확인",""))</f>
        <v/>
      </c>
      <c r="R52" s="3" t="n"/>
      <c r="S52" s="3" t="n"/>
      <c r="T52" s="3" t="n"/>
      <c r="U52" s="3" t="n"/>
      <c r="W52">
        <f>IF(UPPER(TRIM(R52&amp;""))="","",IF(RIGHT(UPPER(TRIM(R52&amp;"")),2)="-N",TRIM(LEFT(UPPER(TRIM(R52&amp;"")),LEN(UPPER(TRIM(R52&amp;"")))-2)),UPPER(TRIM(R52&amp;""))))</f>
        <v/>
      </c>
      <c r="X52">
        <f>IF(W52="","",IF(ISNUMBER(U52),ROUND(U52,1),IF(AND(ISNUMBER(S52),ISNUMBER(T52)),IF(T52&gt;0,ROUND(S52/T52*100,1),""),"")))</f>
        <v/>
      </c>
      <c r="Y52">
        <f>IF(W52="","",IF(RIGHT(UPPER(TRIM(R52&amp;"")),2)="-N","비경쟁",""))</f>
        <v/>
      </c>
      <c r="Z52">
        <f>IF(W52="","",IF(COUNTIF(참가자!$A$3:$A$52,W52)=0,"명단에 없는 코드",""))</f>
        <v/>
      </c>
      <c r="AA52">
        <f>IF(W52="","",IF(ISNUMBER(U52),ROUND(U52*DIAG_ITEMS/100,1),IF(AND(ISNUMBER(S52),ISNUMBER(T52)),IF(T52&gt;0,S52,""),"")))</f>
        <v/>
      </c>
    </row>
    <row r="53">
      <c r="R53" s="3" t="n"/>
      <c r="S53" s="3" t="n"/>
      <c r="T53" s="3" t="n"/>
      <c r="U53" s="3" t="n"/>
      <c r="W53">
        <f>IF(UPPER(TRIM(R53&amp;""))="","",IF(RIGHT(UPPER(TRIM(R53&amp;"")),2)="-N",TRIM(LEFT(UPPER(TRIM(R53&amp;"")),LEN(UPPER(TRIM(R53&amp;"")))-2)),UPPER(TRIM(R53&amp;""))))</f>
        <v/>
      </c>
      <c r="X53">
        <f>IF(W53="","",IF(ISNUMBER(U53),ROUND(U53,1),IF(AND(ISNUMBER(S53),ISNUMBER(T53)),IF(T53&gt;0,ROUND(S53/T53*100,1),""),"")))</f>
        <v/>
      </c>
      <c r="Y53">
        <f>IF(W53="","",IF(RIGHT(UPPER(TRIM(R53&amp;"")),2)="-N","비경쟁",""))</f>
        <v/>
      </c>
      <c r="Z53">
        <f>IF(W53="","",IF(COUNTIF(참가자!$A$3:$A$52,W53)=0,"명단에 없는 코드",""))</f>
        <v/>
      </c>
      <c r="AA53">
        <f>IF(W53="","",IF(ISNUMBER(U53),ROUND(U53*DIAG_ITEMS/100,1),IF(AND(ISNUMBER(S53),ISNUMBER(T53)),IF(T53&gt;0,S53,""),"")))</f>
        <v/>
      </c>
    </row>
    <row r="54">
      <c r="R54" s="3" t="n"/>
      <c r="S54" s="3" t="n"/>
      <c r="T54" s="3" t="n"/>
      <c r="U54" s="3" t="n"/>
      <c r="W54">
        <f>IF(UPPER(TRIM(R54&amp;""))="","",IF(RIGHT(UPPER(TRIM(R54&amp;"")),2)="-N",TRIM(LEFT(UPPER(TRIM(R54&amp;"")),LEN(UPPER(TRIM(R54&amp;"")))-2)),UPPER(TRIM(R54&amp;""))))</f>
        <v/>
      </c>
      <c r="X54">
        <f>IF(W54="","",IF(ISNUMBER(U54),ROUND(U54,1),IF(AND(ISNUMBER(S54),ISNUMBER(T54)),IF(T54&gt;0,ROUND(S54/T54*100,1),""),"")))</f>
        <v/>
      </c>
      <c r="Y54">
        <f>IF(W54="","",IF(RIGHT(UPPER(TRIM(R54&amp;"")),2)="-N","비경쟁",""))</f>
        <v/>
      </c>
      <c r="Z54">
        <f>IF(W54="","",IF(COUNTIF(참가자!$A$3:$A$52,W54)=0,"명단에 없는 코드",""))</f>
        <v/>
      </c>
      <c r="AA54">
        <f>IF(W54="","",IF(ISNUMBER(U54),ROUND(U54*DIAG_ITEMS/100,1),IF(AND(ISNUMBER(S54),ISNUMBER(T54)),IF(T54&gt;0,S54,""),"")))</f>
        <v/>
      </c>
    </row>
    <row r="55">
      <c r="R55" s="3" t="n"/>
      <c r="S55" s="3" t="n"/>
      <c r="T55" s="3" t="n"/>
      <c r="U55" s="3" t="n"/>
      <c r="W55">
        <f>IF(UPPER(TRIM(R55&amp;""))="","",IF(RIGHT(UPPER(TRIM(R55&amp;"")),2)="-N",TRIM(LEFT(UPPER(TRIM(R55&amp;"")),LEN(UPPER(TRIM(R55&amp;"")))-2)),UPPER(TRIM(R55&amp;""))))</f>
        <v/>
      </c>
      <c r="X55">
        <f>IF(W55="","",IF(ISNUMBER(U55),ROUND(U55,1),IF(AND(ISNUMBER(S55),ISNUMBER(T55)),IF(T55&gt;0,ROUND(S55/T55*100,1),""),"")))</f>
        <v/>
      </c>
      <c r="Y55">
        <f>IF(W55="","",IF(RIGHT(UPPER(TRIM(R55&amp;"")),2)="-N","비경쟁",""))</f>
        <v/>
      </c>
      <c r="Z55">
        <f>IF(W55="","",IF(COUNTIF(참가자!$A$3:$A$52,W55)=0,"명단에 없는 코드",""))</f>
        <v/>
      </c>
      <c r="AA55">
        <f>IF(W55="","",IF(ISNUMBER(U55),ROUND(U55*DIAG_ITEMS/100,1),IF(AND(ISNUMBER(S55),ISNUMBER(T55)),IF(T55&gt;0,S55,""),"")))</f>
        <v/>
      </c>
    </row>
    <row r="56">
      <c r="R56" s="3" t="n"/>
      <c r="S56" s="3" t="n"/>
      <c r="T56" s="3" t="n"/>
      <c r="U56" s="3" t="n"/>
      <c r="W56">
        <f>IF(UPPER(TRIM(R56&amp;""))="","",IF(RIGHT(UPPER(TRIM(R56&amp;"")),2)="-N",TRIM(LEFT(UPPER(TRIM(R56&amp;"")),LEN(UPPER(TRIM(R56&amp;"")))-2)),UPPER(TRIM(R56&amp;""))))</f>
        <v/>
      </c>
      <c r="X56">
        <f>IF(W56="","",IF(ISNUMBER(U56),ROUND(U56,1),IF(AND(ISNUMBER(S56),ISNUMBER(T56)),IF(T56&gt;0,ROUND(S56/T56*100,1),""),"")))</f>
        <v/>
      </c>
      <c r="Y56">
        <f>IF(W56="","",IF(RIGHT(UPPER(TRIM(R56&amp;"")),2)="-N","비경쟁",""))</f>
        <v/>
      </c>
      <c r="Z56">
        <f>IF(W56="","",IF(COUNTIF(참가자!$A$3:$A$52,W56)=0,"명단에 없는 코드",""))</f>
        <v/>
      </c>
      <c r="AA56">
        <f>IF(W56="","",IF(ISNUMBER(U56),ROUND(U56*DIAG_ITEMS/100,1),IF(AND(ISNUMBER(S56),ISNUMBER(T56)),IF(T56&gt;0,S56,""),"")))</f>
        <v/>
      </c>
    </row>
    <row r="57">
      <c r="R57" s="3" t="n"/>
      <c r="S57" s="3" t="n"/>
      <c r="T57" s="3" t="n"/>
      <c r="U57" s="3" t="n"/>
      <c r="W57">
        <f>IF(UPPER(TRIM(R57&amp;""))="","",IF(RIGHT(UPPER(TRIM(R57&amp;"")),2)="-N",TRIM(LEFT(UPPER(TRIM(R57&amp;"")),LEN(UPPER(TRIM(R57&amp;"")))-2)),UPPER(TRIM(R57&amp;""))))</f>
        <v/>
      </c>
      <c r="X57">
        <f>IF(W57="","",IF(ISNUMBER(U57),ROUND(U57,1),IF(AND(ISNUMBER(S57),ISNUMBER(T57)),IF(T57&gt;0,ROUND(S57/T57*100,1),""),"")))</f>
        <v/>
      </c>
      <c r="Y57">
        <f>IF(W57="","",IF(RIGHT(UPPER(TRIM(R57&amp;"")),2)="-N","비경쟁",""))</f>
        <v/>
      </c>
      <c r="Z57">
        <f>IF(W57="","",IF(COUNTIF(참가자!$A$3:$A$52,W57)=0,"명단에 없는 코드",""))</f>
        <v/>
      </c>
      <c r="AA57">
        <f>IF(W57="","",IF(ISNUMBER(U57),ROUND(U57*DIAG_ITEMS/100,1),IF(AND(ISNUMBER(S57),ISNUMBER(T57)),IF(T57&gt;0,S57,""),"")))</f>
        <v/>
      </c>
    </row>
    <row r="58">
      <c r="R58" s="3" t="n"/>
      <c r="S58" s="3" t="n"/>
      <c r="T58" s="3" t="n"/>
      <c r="U58" s="3" t="n"/>
      <c r="W58">
        <f>IF(UPPER(TRIM(R58&amp;""))="","",IF(RIGHT(UPPER(TRIM(R58&amp;"")),2)="-N",TRIM(LEFT(UPPER(TRIM(R58&amp;"")),LEN(UPPER(TRIM(R58&amp;"")))-2)),UPPER(TRIM(R58&amp;""))))</f>
        <v/>
      </c>
      <c r="X58">
        <f>IF(W58="","",IF(ISNUMBER(U58),ROUND(U58,1),IF(AND(ISNUMBER(S58),ISNUMBER(T58)),IF(T58&gt;0,ROUND(S58/T58*100,1),""),"")))</f>
        <v/>
      </c>
      <c r="Y58">
        <f>IF(W58="","",IF(RIGHT(UPPER(TRIM(R58&amp;"")),2)="-N","비경쟁",""))</f>
        <v/>
      </c>
      <c r="Z58">
        <f>IF(W58="","",IF(COUNTIF(참가자!$A$3:$A$52,W58)=0,"명단에 없는 코드",""))</f>
        <v/>
      </c>
      <c r="AA58">
        <f>IF(W58="","",IF(ISNUMBER(U58),ROUND(U58*DIAG_ITEMS/100,1),IF(AND(ISNUMBER(S58),ISNUMBER(T58)),IF(T58&gt;0,S58,""),"")))</f>
        <v/>
      </c>
    </row>
    <row r="59">
      <c r="R59" s="3" t="n"/>
      <c r="S59" s="3" t="n"/>
      <c r="T59" s="3" t="n"/>
      <c r="U59" s="3" t="n"/>
      <c r="W59">
        <f>IF(UPPER(TRIM(R59&amp;""))="","",IF(RIGHT(UPPER(TRIM(R59&amp;"")),2)="-N",TRIM(LEFT(UPPER(TRIM(R59&amp;"")),LEN(UPPER(TRIM(R59&amp;"")))-2)),UPPER(TRIM(R59&amp;""))))</f>
        <v/>
      </c>
      <c r="X59">
        <f>IF(W59="","",IF(ISNUMBER(U59),ROUND(U59,1),IF(AND(ISNUMBER(S59),ISNUMBER(T59)),IF(T59&gt;0,ROUND(S59/T59*100,1),""),"")))</f>
        <v/>
      </c>
      <c r="Y59">
        <f>IF(W59="","",IF(RIGHT(UPPER(TRIM(R59&amp;"")),2)="-N","비경쟁",""))</f>
        <v/>
      </c>
      <c r="Z59">
        <f>IF(W59="","",IF(COUNTIF(참가자!$A$3:$A$52,W59)=0,"명단에 없는 코드",""))</f>
        <v/>
      </c>
      <c r="AA59">
        <f>IF(W59="","",IF(ISNUMBER(U59),ROUND(U59*DIAG_ITEMS/100,1),IF(AND(ISNUMBER(S59),ISNUMBER(T59)),IF(T59&gt;0,S59,""),"")))</f>
        <v/>
      </c>
    </row>
    <row r="60">
      <c r="R60" s="3" t="n"/>
      <c r="S60" s="3" t="n"/>
      <c r="T60" s="3" t="n"/>
      <c r="U60" s="3" t="n"/>
      <c r="W60">
        <f>IF(UPPER(TRIM(R60&amp;""))="","",IF(RIGHT(UPPER(TRIM(R60&amp;"")),2)="-N",TRIM(LEFT(UPPER(TRIM(R60&amp;"")),LEN(UPPER(TRIM(R60&amp;"")))-2)),UPPER(TRIM(R60&amp;""))))</f>
        <v/>
      </c>
      <c r="X60">
        <f>IF(W60="","",IF(ISNUMBER(U60),ROUND(U60,1),IF(AND(ISNUMBER(S60),ISNUMBER(T60)),IF(T60&gt;0,ROUND(S60/T60*100,1),""),"")))</f>
        <v/>
      </c>
      <c r="Y60">
        <f>IF(W60="","",IF(RIGHT(UPPER(TRIM(R60&amp;"")),2)="-N","비경쟁",""))</f>
        <v/>
      </c>
      <c r="Z60">
        <f>IF(W60="","",IF(COUNTIF(참가자!$A$3:$A$52,W60)=0,"명단에 없는 코드",""))</f>
        <v/>
      </c>
      <c r="AA60">
        <f>IF(W60="","",IF(ISNUMBER(U60),ROUND(U60*DIAG_ITEMS/100,1),IF(AND(ISNUMBER(S60),ISNUMBER(T60)),IF(T60&gt;0,S60,""),"")))</f>
        <v/>
      </c>
    </row>
    <row r="61">
      <c r="R61" s="3" t="n"/>
      <c r="S61" s="3" t="n"/>
      <c r="T61" s="3" t="n"/>
      <c r="U61" s="3" t="n"/>
      <c r="W61">
        <f>IF(UPPER(TRIM(R61&amp;""))="","",IF(RIGHT(UPPER(TRIM(R61&amp;"")),2)="-N",TRIM(LEFT(UPPER(TRIM(R61&amp;"")),LEN(UPPER(TRIM(R61&amp;"")))-2)),UPPER(TRIM(R61&amp;""))))</f>
        <v/>
      </c>
      <c r="X61">
        <f>IF(W61="","",IF(ISNUMBER(U61),ROUND(U61,1),IF(AND(ISNUMBER(S61),ISNUMBER(T61)),IF(T61&gt;0,ROUND(S61/T61*100,1),""),"")))</f>
        <v/>
      </c>
      <c r="Y61">
        <f>IF(W61="","",IF(RIGHT(UPPER(TRIM(R61&amp;"")),2)="-N","비경쟁",""))</f>
        <v/>
      </c>
      <c r="Z61">
        <f>IF(W61="","",IF(COUNTIF(참가자!$A$3:$A$52,W61)=0,"명단에 없는 코드",""))</f>
        <v/>
      </c>
      <c r="AA61">
        <f>IF(W61="","",IF(ISNUMBER(U61),ROUND(U61*DIAG_ITEMS/100,1),IF(AND(ISNUMBER(S61),ISNUMBER(T61)),IF(T61&gt;0,S61,""),"")))</f>
        <v/>
      </c>
    </row>
    <row r="62">
      <c r="R62" s="3" t="n"/>
      <c r="S62" s="3" t="n"/>
      <c r="T62" s="3" t="n"/>
      <c r="U62" s="3" t="n"/>
      <c r="W62">
        <f>IF(UPPER(TRIM(R62&amp;""))="","",IF(RIGHT(UPPER(TRIM(R62&amp;"")),2)="-N",TRIM(LEFT(UPPER(TRIM(R62&amp;"")),LEN(UPPER(TRIM(R62&amp;"")))-2)),UPPER(TRIM(R62&amp;""))))</f>
        <v/>
      </c>
      <c r="X62">
        <f>IF(W62="","",IF(ISNUMBER(U62),ROUND(U62,1),IF(AND(ISNUMBER(S62),ISNUMBER(T62)),IF(T62&gt;0,ROUND(S62/T62*100,1),""),"")))</f>
        <v/>
      </c>
      <c r="Y62">
        <f>IF(W62="","",IF(RIGHT(UPPER(TRIM(R62&amp;"")),2)="-N","비경쟁",""))</f>
        <v/>
      </c>
      <c r="Z62">
        <f>IF(W62="","",IF(COUNTIF(참가자!$A$3:$A$52,W62)=0,"명단에 없는 코드",""))</f>
        <v/>
      </c>
      <c r="AA62">
        <f>IF(W62="","",IF(ISNUMBER(U62),ROUND(U62*DIAG_ITEMS/100,1),IF(AND(ISNUMBER(S62),ISNUMBER(T62)),IF(T62&gt;0,S62,""),"")))</f>
        <v/>
      </c>
    </row>
    <row r="63">
      <c r="R63" s="3" t="n"/>
      <c r="S63" s="3" t="n"/>
      <c r="T63" s="3" t="n"/>
      <c r="U63" s="3" t="n"/>
      <c r="W63">
        <f>IF(UPPER(TRIM(R63&amp;""))="","",IF(RIGHT(UPPER(TRIM(R63&amp;"")),2)="-N",TRIM(LEFT(UPPER(TRIM(R63&amp;"")),LEN(UPPER(TRIM(R63&amp;"")))-2)),UPPER(TRIM(R63&amp;""))))</f>
        <v/>
      </c>
      <c r="X63">
        <f>IF(W63="","",IF(ISNUMBER(U63),ROUND(U63,1),IF(AND(ISNUMBER(S63),ISNUMBER(T63)),IF(T63&gt;0,ROUND(S63/T63*100,1),""),"")))</f>
        <v/>
      </c>
      <c r="Y63">
        <f>IF(W63="","",IF(RIGHT(UPPER(TRIM(R63&amp;"")),2)="-N","비경쟁",""))</f>
        <v/>
      </c>
      <c r="Z63">
        <f>IF(W63="","",IF(COUNTIF(참가자!$A$3:$A$52,W63)=0,"명단에 없는 코드",""))</f>
        <v/>
      </c>
      <c r="AA63">
        <f>IF(W63="","",IF(ISNUMBER(U63),ROUND(U63*DIAG_ITEMS/100,1),IF(AND(ISNUMBER(S63),ISNUMBER(T63)),IF(T63&gt;0,S63,""),"")))</f>
        <v/>
      </c>
    </row>
    <row r="64">
      <c r="R64" s="3" t="n"/>
      <c r="S64" s="3" t="n"/>
      <c r="T64" s="3" t="n"/>
      <c r="U64" s="3" t="n"/>
      <c r="W64">
        <f>IF(UPPER(TRIM(R64&amp;""))="","",IF(RIGHT(UPPER(TRIM(R64&amp;"")),2)="-N",TRIM(LEFT(UPPER(TRIM(R64&amp;"")),LEN(UPPER(TRIM(R64&amp;"")))-2)),UPPER(TRIM(R64&amp;""))))</f>
        <v/>
      </c>
      <c r="X64">
        <f>IF(W64="","",IF(ISNUMBER(U64),ROUND(U64,1),IF(AND(ISNUMBER(S64),ISNUMBER(T64)),IF(T64&gt;0,ROUND(S64/T64*100,1),""),"")))</f>
        <v/>
      </c>
      <c r="Y64">
        <f>IF(W64="","",IF(RIGHT(UPPER(TRIM(R64&amp;"")),2)="-N","비경쟁",""))</f>
        <v/>
      </c>
      <c r="Z64">
        <f>IF(W64="","",IF(COUNTIF(참가자!$A$3:$A$52,W64)=0,"명단에 없는 코드",""))</f>
        <v/>
      </c>
      <c r="AA64">
        <f>IF(W64="","",IF(ISNUMBER(U64),ROUND(U64*DIAG_ITEMS/100,1),IF(AND(ISNUMBER(S64),ISNUMBER(T64)),IF(T64&gt;0,S64,""),"")))</f>
        <v/>
      </c>
    </row>
    <row r="65">
      <c r="R65" s="3" t="n"/>
      <c r="S65" s="3" t="n"/>
      <c r="T65" s="3" t="n"/>
      <c r="U65" s="3" t="n"/>
      <c r="W65">
        <f>IF(UPPER(TRIM(R65&amp;""))="","",IF(RIGHT(UPPER(TRIM(R65&amp;"")),2)="-N",TRIM(LEFT(UPPER(TRIM(R65&amp;"")),LEN(UPPER(TRIM(R65&amp;"")))-2)),UPPER(TRIM(R65&amp;""))))</f>
        <v/>
      </c>
      <c r="X65">
        <f>IF(W65="","",IF(ISNUMBER(U65),ROUND(U65,1),IF(AND(ISNUMBER(S65),ISNUMBER(T65)),IF(T65&gt;0,ROUND(S65/T65*100,1),""),"")))</f>
        <v/>
      </c>
      <c r="Y65">
        <f>IF(W65="","",IF(RIGHT(UPPER(TRIM(R65&amp;"")),2)="-N","비경쟁",""))</f>
        <v/>
      </c>
      <c r="Z65">
        <f>IF(W65="","",IF(COUNTIF(참가자!$A$3:$A$52,W65)=0,"명단에 없는 코드",""))</f>
        <v/>
      </c>
      <c r="AA65">
        <f>IF(W65="","",IF(ISNUMBER(U65),ROUND(U65*DIAG_ITEMS/100,1),IF(AND(ISNUMBER(S65),ISNUMBER(T65)),IF(T65&gt;0,S65,""),"")))</f>
        <v/>
      </c>
    </row>
    <row r="66">
      <c r="R66" s="3" t="n"/>
      <c r="S66" s="3" t="n"/>
      <c r="T66" s="3" t="n"/>
      <c r="U66" s="3" t="n"/>
      <c r="W66">
        <f>IF(UPPER(TRIM(R66&amp;""))="","",IF(RIGHT(UPPER(TRIM(R66&amp;"")),2)="-N",TRIM(LEFT(UPPER(TRIM(R66&amp;"")),LEN(UPPER(TRIM(R66&amp;"")))-2)),UPPER(TRIM(R66&amp;""))))</f>
        <v/>
      </c>
      <c r="X66">
        <f>IF(W66="","",IF(ISNUMBER(U66),ROUND(U66,1),IF(AND(ISNUMBER(S66),ISNUMBER(T66)),IF(T66&gt;0,ROUND(S66/T66*100,1),""),"")))</f>
        <v/>
      </c>
      <c r="Y66">
        <f>IF(W66="","",IF(RIGHT(UPPER(TRIM(R66&amp;"")),2)="-N","비경쟁",""))</f>
        <v/>
      </c>
      <c r="Z66">
        <f>IF(W66="","",IF(COUNTIF(참가자!$A$3:$A$52,W66)=0,"명단에 없는 코드",""))</f>
        <v/>
      </c>
      <c r="AA66">
        <f>IF(W66="","",IF(ISNUMBER(U66),ROUND(U66*DIAG_ITEMS/100,1),IF(AND(ISNUMBER(S66),ISNUMBER(T66)),IF(T66&gt;0,S66,""),"")))</f>
        <v/>
      </c>
    </row>
    <row r="67">
      <c r="R67" s="3" t="n"/>
      <c r="S67" s="3" t="n"/>
      <c r="T67" s="3" t="n"/>
      <c r="U67" s="3" t="n"/>
      <c r="W67">
        <f>IF(UPPER(TRIM(R67&amp;""))="","",IF(RIGHT(UPPER(TRIM(R67&amp;"")),2)="-N",TRIM(LEFT(UPPER(TRIM(R67&amp;"")),LEN(UPPER(TRIM(R67&amp;"")))-2)),UPPER(TRIM(R67&amp;""))))</f>
        <v/>
      </c>
      <c r="X67">
        <f>IF(W67="","",IF(ISNUMBER(U67),ROUND(U67,1),IF(AND(ISNUMBER(S67),ISNUMBER(T67)),IF(T67&gt;0,ROUND(S67/T67*100,1),""),"")))</f>
        <v/>
      </c>
      <c r="Y67">
        <f>IF(W67="","",IF(RIGHT(UPPER(TRIM(R67&amp;"")),2)="-N","비경쟁",""))</f>
        <v/>
      </c>
      <c r="Z67">
        <f>IF(W67="","",IF(COUNTIF(참가자!$A$3:$A$52,W67)=0,"명단에 없는 코드",""))</f>
        <v/>
      </c>
      <c r="AA67">
        <f>IF(W67="","",IF(ISNUMBER(U67),ROUND(U67*DIAG_ITEMS/100,1),IF(AND(ISNUMBER(S67),ISNUMBER(T67)),IF(T67&gt;0,S67,""),"")))</f>
        <v/>
      </c>
    </row>
    <row r="68">
      <c r="R68" s="3" t="n"/>
      <c r="S68" s="3" t="n"/>
      <c r="T68" s="3" t="n"/>
      <c r="U68" s="3" t="n"/>
      <c r="W68">
        <f>IF(UPPER(TRIM(R68&amp;""))="","",IF(RIGHT(UPPER(TRIM(R68&amp;"")),2)="-N",TRIM(LEFT(UPPER(TRIM(R68&amp;"")),LEN(UPPER(TRIM(R68&amp;"")))-2)),UPPER(TRIM(R68&amp;""))))</f>
        <v/>
      </c>
      <c r="X68">
        <f>IF(W68="","",IF(ISNUMBER(U68),ROUND(U68,1),IF(AND(ISNUMBER(S68),ISNUMBER(T68)),IF(T68&gt;0,ROUND(S68/T68*100,1),""),"")))</f>
        <v/>
      </c>
      <c r="Y68">
        <f>IF(W68="","",IF(RIGHT(UPPER(TRIM(R68&amp;"")),2)="-N","비경쟁",""))</f>
        <v/>
      </c>
      <c r="Z68">
        <f>IF(W68="","",IF(COUNTIF(참가자!$A$3:$A$52,W68)=0,"명단에 없는 코드",""))</f>
        <v/>
      </c>
      <c r="AA68">
        <f>IF(W68="","",IF(ISNUMBER(U68),ROUND(U68*DIAG_ITEMS/100,1),IF(AND(ISNUMBER(S68),ISNUMBER(T68)),IF(T68&gt;0,S68,""),"")))</f>
        <v/>
      </c>
    </row>
    <row r="69">
      <c r="R69" s="3" t="n"/>
      <c r="S69" s="3" t="n"/>
      <c r="T69" s="3" t="n"/>
      <c r="U69" s="3" t="n"/>
      <c r="W69">
        <f>IF(UPPER(TRIM(R69&amp;""))="","",IF(RIGHT(UPPER(TRIM(R69&amp;"")),2)="-N",TRIM(LEFT(UPPER(TRIM(R69&amp;"")),LEN(UPPER(TRIM(R69&amp;"")))-2)),UPPER(TRIM(R69&amp;""))))</f>
        <v/>
      </c>
      <c r="X69">
        <f>IF(W69="","",IF(ISNUMBER(U69),ROUND(U69,1),IF(AND(ISNUMBER(S69),ISNUMBER(T69)),IF(T69&gt;0,ROUND(S69/T69*100,1),""),"")))</f>
        <v/>
      </c>
      <c r="Y69">
        <f>IF(W69="","",IF(RIGHT(UPPER(TRIM(R69&amp;"")),2)="-N","비경쟁",""))</f>
        <v/>
      </c>
      <c r="Z69">
        <f>IF(W69="","",IF(COUNTIF(참가자!$A$3:$A$52,W69)=0,"명단에 없는 코드",""))</f>
        <v/>
      </c>
      <c r="AA69">
        <f>IF(W69="","",IF(ISNUMBER(U69),ROUND(U69*DIAG_ITEMS/100,1),IF(AND(ISNUMBER(S69),ISNUMBER(T69)),IF(T69&gt;0,S69,""),"")))</f>
        <v/>
      </c>
    </row>
    <row r="70">
      <c r="R70" s="3" t="n"/>
      <c r="S70" s="3" t="n"/>
      <c r="T70" s="3" t="n"/>
      <c r="U70" s="3" t="n"/>
      <c r="W70">
        <f>IF(UPPER(TRIM(R70&amp;""))="","",IF(RIGHT(UPPER(TRIM(R70&amp;"")),2)="-N",TRIM(LEFT(UPPER(TRIM(R70&amp;"")),LEN(UPPER(TRIM(R70&amp;"")))-2)),UPPER(TRIM(R70&amp;""))))</f>
        <v/>
      </c>
      <c r="X70">
        <f>IF(W70="","",IF(ISNUMBER(U70),ROUND(U70,1),IF(AND(ISNUMBER(S70),ISNUMBER(T70)),IF(T70&gt;0,ROUND(S70/T70*100,1),""),"")))</f>
        <v/>
      </c>
      <c r="Y70">
        <f>IF(W70="","",IF(RIGHT(UPPER(TRIM(R70&amp;"")),2)="-N","비경쟁",""))</f>
        <v/>
      </c>
      <c r="Z70">
        <f>IF(W70="","",IF(COUNTIF(참가자!$A$3:$A$52,W70)=0,"명단에 없는 코드",""))</f>
        <v/>
      </c>
      <c r="AA70">
        <f>IF(W70="","",IF(ISNUMBER(U70),ROUND(U70*DIAG_ITEMS/100,1),IF(AND(ISNUMBER(S70),ISNUMBER(T70)),IF(T70&gt;0,S70,""),"")))</f>
        <v/>
      </c>
    </row>
    <row r="71">
      <c r="R71" s="3" t="n"/>
      <c r="S71" s="3" t="n"/>
      <c r="T71" s="3" t="n"/>
      <c r="U71" s="3" t="n"/>
      <c r="W71">
        <f>IF(UPPER(TRIM(R71&amp;""))="","",IF(RIGHT(UPPER(TRIM(R71&amp;"")),2)="-N",TRIM(LEFT(UPPER(TRIM(R71&amp;"")),LEN(UPPER(TRIM(R71&amp;"")))-2)),UPPER(TRIM(R71&amp;""))))</f>
        <v/>
      </c>
      <c r="X71">
        <f>IF(W71="","",IF(ISNUMBER(U71),ROUND(U71,1),IF(AND(ISNUMBER(S71),ISNUMBER(T71)),IF(T71&gt;0,ROUND(S71/T71*100,1),""),"")))</f>
        <v/>
      </c>
      <c r="Y71">
        <f>IF(W71="","",IF(RIGHT(UPPER(TRIM(R71&amp;"")),2)="-N","비경쟁",""))</f>
        <v/>
      </c>
      <c r="Z71">
        <f>IF(W71="","",IF(COUNTIF(참가자!$A$3:$A$52,W71)=0,"명단에 없는 코드",""))</f>
        <v/>
      </c>
      <c r="AA71">
        <f>IF(W71="","",IF(ISNUMBER(U71),ROUND(U71*DIAG_ITEMS/100,1),IF(AND(ISNUMBER(S71),ISNUMBER(T71)),IF(T71&gt;0,S71,""),"")))</f>
        <v/>
      </c>
    </row>
    <row r="72">
      <c r="R72" s="3" t="n"/>
      <c r="S72" s="3" t="n"/>
      <c r="T72" s="3" t="n"/>
      <c r="U72" s="3" t="n"/>
      <c r="W72">
        <f>IF(UPPER(TRIM(R72&amp;""))="","",IF(RIGHT(UPPER(TRIM(R72&amp;"")),2)="-N",TRIM(LEFT(UPPER(TRIM(R72&amp;"")),LEN(UPPER(TRIM(R72&amp;"")))-2)),UPPER(TRIM(R72&amp;""))))</f>
        <v/>
      </c>
      <c r="X72">
        <f>IF(W72="","",IF(ISNUMBER(U72),ROUND(U72,1),IF(AND(ISNUMBER(S72),ISNUMBER(T72)),IF(T72&gt;0,ROUND(S72/T72*100,1),""),"")))</f>
        <v/>
      </c>
      <c r="Y72">
        <f>IF(W72="","",IF(RIGHT(UPPER(TRIM(R72&amp;"")),2)="-N","비경쟁",""))</f>
        <v/>
      </c>
      <c r="Z72">
        <f>IF(W72="","",IF(COUNTIF(참가자!$A$3:$A$52,W72)=0,"명단에 없는 코드",""))</f>
        <v/>
      </c>
      <c r="AA72">
        <f>IF(W72="","",IF(ISNUMBER(U72),ROUND(U72*DIAG_ITEMS/100,1),IF(AND(ISNUMBER(S72),ISNUMBER(T72)),IF(T72&gt;0,S72,""),"")))</f>
        <v/>
      </c>
    </row>
    <row r="73">
      <c r="R73" s="3" t="n"/>
      <c r="S73" s="3" t="n"/>
      <c r="T73" s="3" t="n"/>
      <c r="U73" s="3" t="n"/>
      <c r="W73">
        <f>IF(UPPER(TRIM(R73&amp;""))="","",IF(RIGHT(UPPER(TRIM(R73&amp;"")),2)="-N",TRIM(LEFT(UPPER(TRIM(R73&amp;"")),LEN(UPPER(TRIM(R73&amp;"")))-2)),UPPER(TRIM(R73&amp;""))))</f>
        <v/>
      </c>
      <c r="X73">
        <f>IF(W73="","",IF(ISNUMBER(U73),ROUND(U73,1),IF(AND(ISNUMBER(S73),ISNUMBER(T73)),IF(T73&gt;0,ROUND(S73/T73*100,1),""),"")))</f>
        <v/>
      </c>
      <c r="Y73">
        <f>IF(W73="","",IF(RIGHT(UPPER(TRIM(R73&amp;"")),2)="-N","비경쟁",""))</f>
        <v/>
      </c>
      <c r="Z73">
        <f>IF(W73="","",IF(COUNTIF(참가자!$A$3:$A$52,W73)=0,"명단에 없는 코드",""))</f>
        <v/>
      </c>
      <c r="AA73">
        <f>IF(W73="","",IF(ISNUMBER(U73),ROUND(U73*DIAG_ITEMS/100,1),IF(AND(ISNUMBER(S73),ISNUMBER(T73)),IF(T73&gt;0,S73,""),"")))</f>
        <v/>
      </c>
    </row>
    <row r="74">
      <c r="R74" s="3" t="n"/>
      <c r="S74" s="3" t="n"/>
      <c r="T74" s="3" t="n"/>
      <c r="U74" s="3" t="n"/>
      <c r="W74">
        <f>IF(UPPER(TRIM(R74&amp;""))="","",IF(RIGHT(UPPER(TRIM(R74&amp;"")),2)="-N",TRIM(LEFT(UPPER(TRIM(R74&amp;"")),LEN(UPPER(TRIM(R74&amp;"")))-2)),UPPER(TRIM(R74&amp;""))))</f>
        <v/>
      </c>
      <c r="X74">
        <f>IF(W74="","",IF(ISNUMBER(U74),ROUND(U74,1),IF(AND(ISNUMBER(S74),ISNUMBER(T74)),IF(T74&gt;0,ROUND(S74/T74*100,1),""),"")))</f>
        <v/>
      </c>
      <c r="Y74">
        <f>IF(W74="","",IF(RIGHT(UPPER(TRIM(R74&amp;"")),2)="-N","비경쟁",""))</f>
        <v/>
      </c>
      <c r="Z74">
        <f>IF(W74="","",IF(COUNTIF(참가자!$A$3:$A$52,W74)=0,"명단에 없는 코드",""))</f>
        <v/>
      </c>
      <c r="AA74">
        <f>IF(W74="","",IF(ISNUMBER(U74),ROUND(U74*DIAG_ITEMS/100,1),IF(AND(ISNUMBER(S74),ISNUMBER(T74)),IF(T74&gt;0,S74,""),"")))</f>
        <v/>
      </c>
    </row>
    <row r="75">
      <c r="R75" s="3" t="n"/>
      <c r="S75" s="3" t="n"/>
      <c r="T75" s="3" t="n"/>
      <c r="U75" s="3" t="n"/>
      <c r="W75">
        <f>IF(UPPER(TRIM(R75&amp;""))="","",IF(RIGHT(UPPER(TRIM(R75&amp;"")),2)="-N",TRIM(LEFT(UPPER(TRIM(R75&amp;"")),LEN(UPPER(TRIM(R75&amp;"")))-2)),UPPER(TRIM(R75&amp;""))))</f>
        <v/>
      </c>
      <c r="X75">
        <f>IF(W75="","",IF(ISNUMBER(U75),ROUND(U75,1),IF(AND(ISNUMBER(S75),ISNUMBER(T75)),IF(T75&gt;0,ROUND(S75/T75*100,1),""),"")))</f>
        <v/>
      </c>
      <c r="Y75">
        <f>IF(W75="","",IF(RIGHT(UPPER(TRIM(R75&amp;"")),2)="-N","비경쟁",""))</f>
        <v/>
      </c>
      <c r="Z75">
        <f>IF(W75="","",IF(COUNTIF(참가자!$A$3:$A$52,W75)=0,"명단에 없는 코드",""))</f>
        <v/>
      </c>
      <c r="AA75">
        <f>IF(W75="","",IF(ISNUMBER(U75),ROUND(U75*DIAG_ITEMS/100,1),IF(AND(ISNUMBER(S75),ISNUMBER(T75)),IF(T75&gt;0,S75,""),"")))</f>
        <v/>
      </c>
    </row>
    <row r="76">
      <c r="R76" s="3" t="n"/>
      <c r="S76" s="3" t="n"/>
      <c r="T76" s="3" t="n"/>
      <c r="U76" s="3" t="n"/>
      <c r="W76">
        <f>IF(UPPER(TRIM(R76&amp;""))="","",IF(RIGHT(UPPER(TRIM(R76&amp;"")),2)="-N",TRIM(LEFT(UPPER(TRIM(R76&amp;"")),LEN(UPPER(TRIM(R76&amp;"")))-2)),UPPER(TRIM(R76&amp;""))))</f>
        <v/>
      </c>
      <c r="X76">
        <f>IF(W76="","",IF(ISNUMBER(U76),ROUND(U76,1),IF(AND(ISNUMBER(S76),ISNUMBER(T76)),IF(T76&gt;0,ROUND(S76/T76*100,1),""),"")))</f>
        <v/>
      </c>
      <c r="Y76">
        <f>IF(W76="","",IF(RIGHT(UPPER(TRIM(R76&amp;"")),2)="-N","비경쟁",""))</f>
        <v/>
      </c>
      <c r="Z76">
        <f>IF(W76="","",IF(COUNTIF(참가자!$A$3:$A$52,W76)=0,"명단에 없는 코드",""))</f>
        <v/>
      </c>
      <c r="AA76">
        <f>IF(W76="","",IF(ISNUMBER(U76),ROUND(U76*DIAG_ITEMS/100,1),IF(AND(ISNUMBER(S76),ISNUMBER(T76)),IF(T76&gt;0,S76,""),"")))</f>
        <v/>
      </c>
    </row>
    <row r="77">
      <c r="R77" s="3" t="n"/>
      <c r="S77" s="3" t="n"/>
      <c r="T77" s="3" t="n"/>
      <c r="U77" s="3" t="n"/>
      <c r="W77">
        <f>IF(UPPER(TRIM(R77&amp;""))="","",IF(RIGHT(UPPER(TRIM(R77&amp;"")),2)="-N",TRIM(LEFT(UPPER(TRIM(R77&amp;"")),LEN(UPPER(TRIM(R77&amp;"")))-2)),UPPER(TRIM(R77&amp;""))))</f>
        <v/>
      </c>
      <c r="X77">
        <f>IF(W77="","",IF(ISNUMBER(U77),ROUND(U77,1),IF(AND(ISNUMBER(S77),ISNUMBER(T77)),IF(T77&gt;0,ROUND(S77/T77*100,1),""),"")))</f>
        <v/>
      </c>
      <c r="Y77">
        <f>IF(W77="","",IF(RIGHT(UPPER(TRIM(R77&amp;"")),2)="-N","비경쟁",""))</f>
        <v/>
      </c>
      <c r="Z77">
        <f>IF(W77="","",IF(COUNTIF(참가자!$A$3:$A$52,W77)=0,"명단에 없는 코드",""))</f>
        <v/>
      </c>
      <c r="AA77">
        <f>IF(W77="","",IF(ISNUMBER(U77),ROUND(U77*DIAG_ITEMS/100,1),IF(AND(ISNUMBER(S77),ISNUMBER(T77)),IF(T77&gt;0,S77,""),"")))</f>
        <v/>
      </c>
    </row>
    <row r="78">
      <c r="R78" s="3" t="n"/>
      <c r="S78" s="3" t="n"/>
      <c r="T78" s="3" t="n"/>
      <c r="U78" s="3" t="n"/>
      <c r="W78">
        <f>IF(UPPER(TRIM(R78&amp;""))="","",IF(RIGHT(UPPER(TRIM(R78&amp;"")),2)="-N",TRIM(LEFT(UPPER(TRIM(R78&amp;"")),LEN(UPPER(TRIM(R78&amp;"")))-2)),UPPER(TRIM(R78&amp;""))))</f>
        <v/>
      </c>
      <c r="X78">
        <f>IF(W78="","",IF(ISNUMBER(U78),ROUND(U78,1),IF(AND(ISNUMBER(S78),ISNUMBER(T78)),IF(T78&gt;0,ROUND(S78/T78*100,1),""),"")))</f>
        <v/>
      </c>
      <c r="Y78">
        <f>IF(W78="","",IF(RIGHT(UPPER(TRIM(R78&amp;"")),2)="-N","비경쟁",""))</f>
        <v/>
      </c>
      <c r="Z78">
        <f>IF(W78="","",IF(COUNTIF(참가자!$A$3:$A$52,W78)=0,"명단에 없는 코드",""))</f>
        <v/>
      </c>
      <c r="AA78">
        <f>IF(W78="","",IF(ISNUMBER(U78),ROUND(U78*DIAG_ITEMS/100,1),IF(AND(ISNUMBER(S78),ISNUMBER(T78)),IF(T78&gt;0,S78,""),"")))</f>
        <v/>
      </c>
    </row>
    <row r="79">
      <c r="R79" s="3" t="n"/>
      <c r="S79" s="3" t="n"/>
      <c r="T79" s="3" t="n"/>
      <c r="U79" s="3" t="n"/>
      <c r="W79">
        <f>IF(UPPER(TRIM(R79&amp;""))="","",IF(RIGHT(UPPER(TRIM(R79&amp;"")),2)="-N",TRIM(LEFT(UPPER(TRIM(R79&amp;"")),LEN(UPPER(TRIM(R79&amp;"")))-2)),UPPER(TRIM(R79&amp;""))))</f>
        <v/>
      </c>
      <c r="X79">
        <f>IF(W79="","",IF(ISNUMBER(U79),ROUND(U79,1),IF(AND(ISNUMBER(S79),ISNUMBER(T79)),IF(T79&gt;0,ROUND(S79/T79*100,1),""),"")))</f>
        <v/>
      </c>
      <c r="Y79">
        <f>IF(W79="","",IF(RIGHT(UPPER(TRIM(R79&amp;"")),2)="-N","비경쟁",""))</f>
        <v/>
      </c>
      <c r="Z79">
        <f>IF(W79="","",IF(COUNTIF(참가자!$A$3:$A$52,W79)=0,"명단에 없는 코드",""))</f>
        <v/>
      </c>
      <c r="AA79">
        <f>IF(W79="","",IF(ISNUMBER(U79),ROUND(U79*DIAG_ITEMS/100,1),IF(AND(ISNUMBER(S79),ISNUMBER(T79)),IF(T79&gt;0,S79,""),"")))</f>
        <v/>
      </c>
    </row>
    <row r="80">
      <c r="R80" s="3" t="n"/>
      <c r="S80" s="3" t="n"/>
      <c r="T80" s="3" t="n"/>
      <c r="U80" s="3" t="n"/>
      <c r="W80">
        <f>IF(UPPER(TRIM(R80&amp;""))="","",IF(RIGHT(UPPER(TRIM(R80&amp;"")),2)="-N",TRIM(LEFT(UPPER(TRIM(R80&amp;"")),LEN(UPPER(TRIM(R80&amp;"")))-2)),UPPER(TRIM(R80&amp;""))))</f>
        <v/>
      </c>
      <c r="X80">
        <f>IF(W80="","",IF(ISNUMBER(U80),ROUND(U80,1),IF(AND(ISNUMBER(S80),ISNUMBER(T80)),IF(T80&gt;0,ROUND(S80/T80*100,1),""),"")))</f>
        <v/>
      </c>
      <c r="Y80">
        <f>IF(W80="","",IF(RIGHT(UPPER(TRIM(R80&amp;"")),2)="-N","비경쟁",""))</f>
        <v/>
      </c>
      <c r="Z80">
        <f>IF(W80="","",IF(COUNTIF(참가자!$A$3:$A$52,W80)=0,"명단에 없는 코드",""))</f>
        <v/>
      </c>
      <c r="AA80">
        <f>IF(W80="","",IF(ISNUMBER(U80),ROUND(U80*DIAG_ITEMS/100,1),IF(AND(ISNUMBER(S80),ISNUMBER(T80)),IF(T80&gt;0,S80,""),"")))</f>
        <v/>
      </c>
    </row>
    <row r="81">
      <c r="R81" s="3" t="n"/>
      <c r="S81" s="3" t="n"/>
      <c r="T81" s="3" t="n"/>
      <c r="U81" s="3" t="n"/>
      <c r="W81">
        <f>IF(UPPER(TRIM(R81&amp;""))="","",IF(RIGHT(UPPER(TRIM(R81&amp;"")),2)="-N",TRIM(LEFT(UPPER(TRIM(R81&amp;"")),LEN(UPPER(TRIM(R81&amp;"")))-2)),UPPER(TRIM(R81&amp;""))))</f>
        <v/>
      </c>
      <c r="X81">
        <f>IF(W81="","",IF(ISNUMBER(U81),ROUND(U81,1),IF(AND(ISNUMBER(S81),ISNUMBER(T81)),IF(T81&gt;0,ROUND(S81/T81*100,1),""),"")))</f>
        <v/>
      </c>
      <c r="Y81">
        <f>IF(W81="","",IF(RIGHT(UPPER(TRIM(R81&amp;"")),2)="-N","비경쟁",""))</f>
        <v/>
      </c>
      <c r="Z81">
        <f>IF(W81="","",IF(COUNTIF(참가자!$A$3:$A$52,W81)=0,"명단에 없는 코드",""))</f>
        <v/>
      </c>
      <c r="AA81">
        <f>IF(W81="","",IF(ISNUMBER(U81),ROUND(U81*DIAG_ITEMS/100,1),IF(AND(ISNUMBER(S81),ISNUMBER(T81)),IF(T81&gt;0,S81,""),"")))</f>
        <v/>
      </c>
    </row>
    <row r="82">
      <c r="R82" s="3" t="n"/>
      <c r="S82" s="3" t="n"/>
      <c r="T82" s="3" t="n"/>
      <c r="U82" s="3" t="n"/>
      <c r="W82">
        <f>IF(UPPER(TRIM(R82&amp;""))="","",IF(RIGHT(UPPER(TRIM(R82&amp;"")),2)="-N",TRIM(LEFT(UPPER(TRIM(R82&amp;"")),LEN(UPPER(TRIM(R82&amp;"")))-2)),UPPER(TRIM(R82&amp;""))))</f>
        <v/>
      </c>
      <c r="X82">
        <f>IF(W82="","",IF(ISNUMBER(U82),ROUND(U82,1),IF(AND(ISNUMBER(S82),ISNUMBER(T82)),IF(T82&gt;0,ROUND(S82/T82*100,1),""),"")))</f>
        <v/>
      </c>
      <c r="Y82">
        <f>IF(W82="","",IF(RIGHT(UPPER(TRIM(R82&amp;"")),2)="-N","비경쟁",""))</f>
        <v/>
      </c>
      <c r="Z82">
        <f>IF(W82="","",IF(COUNTIF(참가자!$A$3:$A$52,W82)=0,"명단에 없는 코드",""))</f>
        <v/>
      </c>
      <c r="AA82">
        <f>IF(W82="","",IF(ISNUMBER(U82),ROUND(U82*DIAG_ITEMS/100,1),IF(AND(ISNUMBER(S82),ISNUMBER(T82)),IF(T82&gt;0,S82,""),"")))</f>
        <v/>
      </c>
    </row>
    <row r="83">
      <c r="R83" s="3" t="n"/>
      <c r="S83" s="3" t="n"/>
      <c r="T83" s="3" t="n"/>
      <c r="U83" s="3" t="n"/>
      <c r="W83">
        <f>IF(UPPER(TRIM(R83&amp;""))="","",IF(RIGHT(UPPER(TRIM(R83&amp;"")),2)="-N",TRIM(LEFT(UPPER(TRIM(R83&amp;"")),LEN(UPPER(TRIM(R83&amp;"")))-2)),UPPER(TRIM(R83&amp;""))))</f>
        <v/>
      </c>
      <c r="X83">
        <f>IF(W83="","",IF(ISNUMBER(U83),ROUND(U83,1),IF(AND(ISNUMBER(S83),ISNUMBER(T83)),IF(T83&gt;0,ROUND(S83/T83*100,1),""),"")))</f>
        <v/>
      </c>
      <c r="Y83">
        <f>IF(W83="","",IF(RIGHT(UPPER(TRIM(R83&amp;"")),2)="-N","비경쟁",""))</f>
        <v/>
      </c>
      <c r="Z83">
        <f>IF(W83="","",IF(COUNTIF(참가자!$A$3:$A$52,W83)=0,"명단에 없는 코드",""))</f>
        <v/>
      </c>
      <c r="AA83">
        <f>IF(W83="","",IF(ISNUMBER(U83),ROUND(U83*DIAG_ITEMS/100,1),IF(AND(ISNUMBER(S83),ISNUMBER(T83)),IF(T83&gt;0,S83,""),"")))</f>
        <v/>
      </c>
    </row>
    <row r="84">
      <c r="R84" s="3" t="n"/>
      <c r="S84" s="3" t="n"/>
      <c r="T84" s="3" t="n"/>
      <c r="U84" s="3" t="n"/>
      <c r="W84">
        <f>IF(UPPER(TRIM(R84&amp;""))="","",IF(RIGHT(UPPER(TRIM(R84&amp;"")),2)="-N",TRIM(LEFT(UPPER(TRIM(R84&amp;"")),LEN(UPPER(TRIM(R84&amp;"")))-2)),UPPER(TRIM(R84&amp;""))))</f>
        <v/>
      </c>
      <c r="X84">
        <f>IF(W84="","",IF(ISNUMBER(U84),ROUND(U84,1),IF(AND(ISNUMBER(S84),ISNUMBER(T84)),IF(T84&gt;0,ROUND(S84/T84*100,1),""),"")))</f>
        <v/>
      </c>
      <c r="Y84">
        <f>IF(W84="","",IF(RIGHT(UPPER(TRIM(R84&amp;"")),2)="-N","비경쟁",""))</f>
        <v/>
      </c>
      <c r="Z84">
        <f>IF(W84="","",IF(COUNTIF(참가자!$A$3:$A$52,W84)=0,"명단에 없는 코드",""))</f>
        <v/>
      </c>
      <c r="AA84">
        <f>IF(W84="","",IF(ISNUMBER(U84),ROUND(U84*DIAG_ITEMS/100,1),IF(AND(ISNUMBER(S84),ISNUMBER(T84)),IF(T84&gt;0,S84,""),"")))</f>
        <v/>
      </c>
    </row>
    <row r="85">
      <c r="R85" s="3" t="n"/>
      <c r="S85" s="3" t="n"/>
      <c r="T85" s="3" t="n"/>
      <c r="U85" s="3" t="n"/>
      <c r="W85">
        <f>IF(UPPER(TRIM(R85&amp;""))="","",IF(RIGHT(UPPER(TRIM(R85&amp;"")),2)="-N",TRIM(LEFT(UPPER(TRIM(R85&amp;"")),LEN(UPPER(TRIM(R85&amp;"")))-2)),UPPER(TRIM(R85&amp;""))))</f>
        <v/>
      </c>
      <c r="X85">
        <f>IF(W85="","",IF(ISNUMBER(U85),ROUND(U85,1),IF(AND(ISNUMBER(S85),ISNUMBER(T85)),IF(T85&gt;0,ROUND(S85/T85*100,1),""),"")))</f>
        <v/>
      </c>
      <c r="Y85">
        <f>IF(W85="","",IF(RIGHT(UPPER(TRIM(R85&amp;"")),2)="-N","비경쟁",""))</f>
        <v/>
      </c>
      <c r="Z85">
        <f>IF(W85="","",IF(COUNTIF(참가자!$A$3:$A$52,W85)=0,"명단에 없는 코드",""))</f>
        <v/>
      </c>
      <c r="AA85">
        <f>IF(W85="","",IF(ISNUMBER(U85),ROUND(U85*DIAG_ITEMS/100,1),IF(AND(ISNUMBER(S85),ISNUMBER(T85)),IF(T85&gt;0,S85,""),"")))</f>
        <v/>
      </c>
    </row>
    <row r="86">
      <c r="R86" s="3" t="n"/>
      <c r="S86" s="3" t="n"/>
      <c r="T86" s="3" t="n"/>
      <c r="U86" s="3" t="n"/>
      <c r="W86">
        <f>IF(UPPER(TRIM(R86&amp;""))="","",IF(RIGHT(UPPER(TRIM(R86&amp;"")),2)="-N",TRIM(LEFT(UPPER(TRIM(R86&amp;"")),LEN(UPPER(TRIM(R86&amp;"")))-2)),UPPER(TRIM(R86&amp;""))))</f>
        <v/>
      </c>
      <c r="X86">
        <f>IF(W86="","",IF(ISNUMBER(U86),ROUND(U86,1),IF(AND(ISNUMBER(S86),ISNUMBER(T86)),IF(T86&gt;0,ROUND(S86/T86*100,1),""),"")))</f>
        <v/>
      </c>
      <c r="Y86">
        <f>IF(W86="","",IF(RIGHT(UPPER(TRIM(R86&amp;"")),2)="-N","비경쟁",""))</f>
        <v/>
      </c>
      <c r="Z86">
        <f>IF(W86="","",IF(COUNTIF(참가자!$A$3:$A$52,W86)=0,"명단에 없는 코드",""))</f>
        <v/>
      </c>
      <c r="AA86">
        <f>IF(W86="","",IF(ISNUMBER(U86),ROUND(U86*DIAG_ITEMS/100,1),IF(AND(ISNUMBER(S86),ISNUMBER(T86)),IF(T86&gt;0,S86,""),"")))</f>
        <v/>
      </c>
    </row>
    <row r="87">
      <c r="R87" s="3" t="n"/>
      <c r="S87" s="3" t="n"/>
      <c r="T87" s="3" t="n"/>
      <c r="U87" s="3" t="n"/>
      <c r="W87">
        <f>IF(UPPER(TRIM(R87&amp;""))="","",IF(RIGHT(UPPER(TRIM(R87&amp;"")),2)="-N",TRIM(LEFT(UPPER(TRIM(R87&amp;"")),LEN(UPPER(TRIM(R87&amp;"")))-2)),UPPER(TRIM(R87&amp;""))))</f>
        <v/>
      </c>
      <c r="X87">
        <f>IF(W87="","",IF(ISNUMBER(U87),ROUND(U87,1),IF(AND(ISNUMBER(S87),ISNUMBER(T87)),IF(T87&gt;0,ROUND(S87/T87*100,1),""),"")))</f>
        <v/>
      </c>
      <c r="Y87">
        <f>IF(W87="","",IF(RIGHT(UPPER(TRIM(R87&amp;"")),2)="-N","비경쟁",""))</f>
        <v/>
      </c>
      <c r="Z87">
        <f>IF(W87="","",IF(COUNTIF(참가자!$A$3:$A$52,W87)=0,"명단에 없는 코드",""))</f>
        <v/>
      </c>
      <c r="AA87">
        <f>IF(W87="","",IF(ISNUMBER(U87),ROUND(U87*DIAG_ITEMS/100,1),IF(AND(ISNUMBER(S87),ISNUMBER(T87)),IF(T87&gt;0,S87,""),"")))</f>
        <v/>
      </c>
    </row>
    <row r="88">
      <c r="R88" s="3" t="n"/>
      <c r="S88" s="3" t="n"/>
      <c r="T88" s="3" t="n"/>
      <c r="U88" s="3" t="n"/>
      <c r="W88">
        <f>IF(UPPER(TRIM(R88&amp;""))="","",IF(RIGHT(UPPER(TRIM(R88&amp;"")),2)="-N",TRIM(LEFT(UPPER(TRIM(R88&amp;"")),LEN(UPPER(TRIM(R88&amp;"")))-2)),UPPER(TRIM(R88&amp;""))))</f>
        <v/>
      </c>
      <c r="X88">
        <f>IF(W88="","",IF(ISNUMBER(U88),ROUND(U88,1),IF(AND(ISNUMBER(S88),ISNUMBER(T88)),IF(T88&gt;0,ROUND(S88/T88*100,1),""),"")))</f>
        <v/>
      </c>
      <c r="Y88">
        <f>IF(W88="","",IF(RIGHT(UPPER(TRIM(R88&amp;"")),2)="-N","비경쟁",""))</f>
        <v/>
      </c>
      <c r="Z88">
        <f>IF(W88="","",IF(COUNTIF(참가자!$A$3:$A$52,W88)=0,"명단에 없는 코드",""))</f>
        <v/>
      </c>
      <c r="AA88">
        <f>IF(W88="","",IF(ISNUMBER(U88),ROUND(U88*DIAG_ITEMS/100,1),IF(AND(ISNUMBER(S88),ISNUMBER(T88)),IF(T88&gt;0,S88,""),"")))</f>
        <v/>
      </c>
    </row>
    <row r="89">
      <c r="R89" s="3" t="n"/>
      <c r="S89" s="3" t="n"/>
      <c r="T89" s="3" t="n"/>
      <c r="U89" s="3" t="n"/>
      <c r="W89">
        <f>IF(UPPER(TRIM(R89&amp;""))="","",IF(RIGHT(UPPER(TRIM(R89&amp;"")),2)="-N",TRIM(LEFT(UPPER(TRIM(R89&amp;"")),LEN(UPPER(TRIM(R89&amp;"")))-2)),UPPER(TRIM(R89&amp;""))))</f>
        <v/>
      </c>
      <c r="X89">
        <f>IF(W89="","",IF(ISNUMBER(U89),ROUND(U89,1),IF(AND(ISNUMBER(S89),ISNUMBER(T89)),IF(T89&gt;0,ROUND(S89/T89*100,1),""),"")))</f>
        <v/>
      </c>
      <c r="Y89">
        <f>IF(W89="","",IF(RIGHT(UPPER(TRIM(R89&amp;"")),2)="-N","비경쟁",""))</f>
        <v/>
      </c>
      <c r="Z89">
        <f>IF(W89="","",IF(COUNTIF(참가자!$A$3:$A$52,W89)=0,"명단에 없는 코드",""))</f>
        <v/>
      </c>
      <c r="AA89">
        <f>IF(W89="","",IF(ISNUMBER(U89),ROUND(U89*DIAG_ITEMS/100,1),IF(AND(ISNUMBER(S89),ISNUMBER(T89)),IF(T89&gt;0,S89,""),"")))</f>
        <v/>
      </c>
    </row>
    <row r="90">
      <c r="R90" s="3" t="n"/>
      <c r="S90" s="3" t="n"/>
      <c r="T90" s="3" t="n"/>
      <c r="U90" s="3" t="n"/>
      <c r="W90">
        <f>IF(UPPER(TRIM(R90&amp;""))="","",IF(RIGHT(UPPER(TRIM(R90&amp;"")),2)="-N",TRIM(LEFT(UPPER(TRIM(R90&amp;"")),LEN(UPPER(TRIM(R90&amp;"")))-2)),UPPER(TRIM(R90&amp;""))))</f>
        <v/>
      </c>
      <c r="X90">
        <f>IF(W90="","",IF(ISNUMBER(U90),ROUND(U90,1),IF(AND(ISNUMBER(S90),ISNUMBER(T90)),IF(T90&gt;0,ROUND(S90/T90*100,1),""),"")))</f>
        <v/>
      </c>
      <c r="Y90">
        <f>IF(W90="","",IF(RIGHT(UPPER(TRIM(R90&amp;"")),2)="-N","비경쟁",""))</f>
        <v/>
      </c>
      <c r="Z90">
        <f>IF(W90="","",IF(COUNTIF(참가자!$A$3:$A$52,W90)=0,"명단에 없는 코드",""))</f>
        <v/>
      </c>
      <c r="AA90">
        <f>IF(W90="","",IF(ISNUMBER(U90),ROUND(U90*DIAG_ITEMS/100,1),IF(AND(ISNUMBER(S90),ISNUMBER(T90)),IF(T90&gt;0,S90,""),"")))</f>
        <v/>
      </c>
    </row>
    <row r="91">
      <c r="R91" s="3" t="n"/>
      <c r="S91" s="3" t="n"/>
      <c r="T91" s="3" t="n"/>
      <c r="U91" s="3" t="n"/>
      <c r="W91">
        <f>IF(UPPER(TRIM(R91&amp;""))="","",IF(RIGHT(UPPER(TRIM(R91&amp;"")),2)="-N",TRIM(LEFT(UPPER(TRIM(R91&amp;"")),LEN(UPPER(TRIM(R91&amp;"")))-2)),UPPER(TRIM(R91&amp;""))))</f>
        <v/>
      </c>
      <c r="X91">
        <f>IF(W91="","",IF(ISNUMBER(U91),ROUND(U91,1),IF(AND(ISNUMBER(S91),ISNUMBER(T91)),IF(T91&gt;0,ROUND(S91/T91*100,1),""),"")))</f>
        <v/>
      </c>
      <c r="Y91">
        <f>IF(W91="","",IF(RIGHT(UPPER(TRIM(R91&amp;"")),2)="-N","비경쟁",""))</f>
        <v/>
      </c>
      <c r="Z91">
        <f>IF(W91="","",IF(COUNTIF(참가자!$A$3:$A$52,W91)=0,"명단에 없는 코드",""))</f>
        <v/>
      </c>
      <c r="AA91">
        <f>IF(W91="","",IF(ISNUMBER(U91),ROUND(U91*DIAG_ITEMS/100,1),IF(AND(ISNUMBER(S91),ISNUMBER(T91)),IF(T91&gt;0,S91,""),"")))</f>
        <v/>
      </c>
    </row>
    <row r="92">
      <c r="R92" s="3" t="n"/>
      <c r="S92" s="3" t="n"/>
      <c r="T92" s="3" t="n"/>
      <c r="U92" s="3" t="n"/>
      <c r="W92">
        <f>IF(UPPER(TRIM(R92&amp;""))="","",IF(RIGHT(UPPER(TRIM(R92&amp;"")),2)="-N",TRIM(LEFT(UPPER(TRIM(R92&amp;"")),LEN(UPPER(TRIM(R92&amp;"")))-2)),UPPER(TRIM(R92&amp;""))))</f>
        <v/>
      </c>
      <c r="X92">
        <f>IF(W92="","",IF(ISNUMBER(U92),ROUND(U92,1),IF(AND(ISNUMBER(S92),ISNUMBER(T92)),IF(T92&gt;0,ROUND(S92/T92*100,1),""),"")))</f>
        <v/>
      </c>
      <c r="Y92">
        <f>IF(W92="","",IF(RIGHT(UPPER(TRIM(R92&amp;"")),2)="-N","비경쟁",""))</f>
        <v/>
      </c>
      <c r="Z92">
        <f>IF(W92="","",IF(COUNTIF(참가자!$A$3:$A$52,W92)=0,"명단에 없는 코드",""))</f>
        <v/>
      </c>
      <c r="AA92">
        <f>IF(W92="","",IF(ISNUMBER(U92),ROUND(U92*DIAG_ITEMS/100,1),IF(AND(ISNUMBER(S92),ISNUMBER(T92)),IF(T92&gt;0,S92,""),"")))</f>
        <v/>
      </c>
    </row>
    <row r="93">
      <c r="R93" s="3" t="n"/>
      <c r="S93" s="3" t="n"/>
      <c r="T93" s="3" t="n"/>
      <c r="U93" s="3" t="n"/>
      <c r="W93">
        <f>IF(UPPER(TRIM(R93&amp;""))="","",IF(RIGHT(UPPER(TRIM(R93&amp;"")),2)="-N",TRIM(LEFT(UPPER(TRIM(R93&amp;"")),LEN(UPPER(TRIM(R93&amp;"")))-2)),UPPER(TRIM(R93&amp;""))))</f>
        <v/>
      </c>
      <c r="X93">
        <f>IF(W93="","",IF(ISNUMBER(U93),ROUND(U93,1),IF(AND(ISNUMBER(S93),ISNUMBER(T93)),IF(T93&gt;0,ROUND(S93/T93*100,1),""),"")))</f>
        <v/>
      </c>
      <c r="Y93">
        <f>IF(W93="","",IF(RIGHT(UPPER(TRIM(R93&amp;"")),2)="-N","비경쟁",""))</f>
        <v/>
      </c>
      <c r="Z93">
        <f>IF(W93="","",IF(COUNTIF(참가자!$A$3:$A$52,W93)=0,"명단에 없는 코드",""))</f>
        <v/>
      </c>
      <c r="AA93">
        <f>IF(W93="","",IF(ISNUMBER(U93),ROUND(U93*DIAG_ITEMS/100,1),IF(AND(ISNUMBER(S93),ISNUMBER(T93)),IF(T93&gt;0,S93,""),"")))</f>
        <v/>
      </c>
    </row>
    <row r="94">
      <c r="R94" s="3" t="n"/>
      <c r="S94" s="3" t="n"/>
      <c r="T94" s="3" t="n"/>
      <c r="U94" s="3" t="n"/>
      <c r="W94">
        <f>IF(UPPER(TRIM(R94&amp;""))="","",IF(RIGHT(UPPER(TRIM(R94&amp;"")),2)="-N",TRIM(LEFT(UPPER(TRIM(R94&amp;"")),LEN(UPPER(TRIM(R94&amp;"")))-2)),UPPER(TRIM(R94&amp;""))))</f>
        <v/>
      </c>
      <c r="X94">
        <f>IF(W94="","",IF(ISNUMBER(U94),ROUND(U94,1),IF(AND(ISNUMBER(S94),ISNUMBER(T94)),IF(T94&gt;0,ROUND(S94/T94*100,1),""),"")))</f>
        <v/>
      </c>
      <c r="Y94">
        <f>IF(W94="","",IF(RIGHT(UPPER(TRIM(R94&amp;"")),2)="-N","비경쟁",""))</f>
        <v/>
      </c>
      <c r="Z94">
        <f>IF(W94="","",IF(COUNTIF(참가자!$A$3:$A$52,W94)=0,"명단에 없는 코드",""))</f>
        <v/>
      </c>
      <c r="AA94">
        <f>IF(W94="","",IF(ISNUMBER(U94),ROUND(U94*DIAG_ITEMS/100,1),IF(AND(ISNUMBER(S94),ISNUMBER(T94)),IF(T94&gt;0,S94,""),"")))</f>
        <v/>
      </c>
    </row>
    <row r="95">
      <c r="R95" s="3" t="n"/>
      <c r="S95" s="3" t="n"/>
      <c r="T95" s="3" t="n"/>
      <c r="U95" s="3" t="n"/>
      <c r="W95">
        <f>IF(UPPER(TRIM(R95&amp;""))="","",IF(RIGHT(UPPER(TRIM(R95&amp;"")),2)="-N",TRIM(LEFT(UPPER(TRIM(R95&amp;"")),LEN(UPPER(TRIM(R95&amp;"")))-2)),UPPER(TRIM(R95&amp;""))))</f>
        <v/>
      </c>
      <c r="X95">
        <f>IF(W95="","",IF(ISNUMBER(U95),ROUND(U95,1),IF(AND(ISNUMBER(S95),ISNUMBER(T95)),IF(T95&gt;0,ROUND(S95/T95*100,1),""),"")))</f>
        <v/>
      </c>
      <c r="Y95">
        <f>IF(W95="","",IF(RIGHT(UPPER(TRIM(R95&amp;"")),2)="-N","비경쟁",""))</f>
        <v/>
      </c>
      <c r="Z95">
        <f>IF(W95="","",IF(COUNTIF(참가자!$A$3:$A$52,W95)=0,"명단에 없는 코드",""))</f>
        <v/>
      </c>
      <c r="AA95">
        <f>IF(W95="","",IF(ISNUMBER(U95),ROUND(U95*DIAG_ITEMS/100,1),IF(AND(ISNUMBER(S95),ISNUMBER(T95)),IF(T95&gt;0,S95,""),"")))</f>
        <v/>
      </c>
    </row>
    <row r="96">
      <c r="R96" s="3" t="n"/>
      <c r="S96" s="3" t="n"/>
      <c r="T96" s="3" t="n"/>
      <c r="U96" s="3" t="n"/>
      <c r="W96">
        <f>IF(UPPER(TRIM(R96&amp;""))="","",IF(RIGHT(UPPER(TRIM(R96&amp;"")),2)="-N",TRIM(LEFT(UPPER(TRIM(R96&amp;"")),LEN(UPPER(TRIM(R96&amp;"")))-2)),UPPER(TRIM(R96&amp;""))))</f>
        <v/>
      </c>
      <c r="X96">
        <f>IF(W96="","",IF(ISNUMBER(U96),ROUND(U96,1),IF(AND(ISNUMBER(S96),ISNUMBER(T96)),IF(T96&gt;0,ROUND(S96/T96*100,1),""),"")))</f>
        <v/>
      </c>
      <c r="Y96">
        <f>IF(W96="","",IF(RIGHT(UPPER(TRIM(R96&amp;"")),2)="-N","비경쟁",""))</f>
        <v/>
      </c>
      <c r="Z96">
        <f>IF(W96="","",IF(COUNTIF(참가자!$A$3:$A$52,W96)=0,"명단에 없는 코드",""))</f>
        <v/>
      </c>
      <c r="AA96">
        <f>IF(W96="","",IF(ISNUMBER(U96),ROUND(U96*DIAG_ITEMS/100,1),IF(AND(ISNUMBER(S96),ISNUMBER(T96)),IF(T96&gt;0,S96,""),"")))</f>
        <v/>
      </c>
    </row>
    <row r="97">
      <c r="R97" s="3" t="n"/>
      <c r="S97" s="3" t="n"/>
      <c r="T97" s="3" t="n"/>
      <c r="U97" s="3" t="n"/>
      <c r="W97">
        <f>IF(UPPER(TRIM(R97&amp;""))="","",IF(RIGHT(UPPER(TRIM(R97&amp;"")),2)="-N",TRIM(LEFT(UPPER(TRIM(R97&amp;"")),LEN(UPPER(TRIM(R97&amp;"")))-2)),UPPER(TRIM(R97&amp;""))))</f>
        <v/>
      </c>
      <c r="X97">
        <f>IF(W97="","",IF(ISNUMBER(U97),ROUND(U97,1),IF(AND(ISNUMBER(S97),ISNUMBER(T97)),IF(T97&gt;0,ROUND(S97/T97*100,1),""),"")))</f>
        <v/>
      </c>
      <c r="Y97">
        <f>IF(W97="","",IF(RIGHT(UPPER(TRIM(R97&amp;"")),2)="-N","비경쟁",""))</f>
        <v/>
      </c>
      <c r="Z97">
        <f>IF(W97="","",IF(COUNTIF(참가자!$A$3:$A$52,W97)=0,"명단에 없는 코드",""))</f>
        <v/>
      </c>
      <c r="AA97">
        <f>IF(W97="","",IF(ISNUMBER(U97),ROUND(U97*DIAG_ITEMS/100,1),IF(AND(ISNUMBER(S97),ISNUMBER(T97)),IF(T97&gt;0,S97,""),"")))</f>
        <v/>
      </c>
    </row>
    <row r="98">
      <c r="R98" s="3" t="n"/>
      <c r="S98" s="3" t="n"/>
      <c r="T98" s="3" t="n"/>
      <c r="U98" s="3" t="n"/>
      <c r="W98">
        <f>IF(UPPER(TRIM(R98&amp;""))="","",IF(RIGHT(UPPER(TRIM(R98&amp;"")),2)="-N",TRIM(LEFT(UPPER(TRIM(R98&amp;"")),LEN(UPPER(TRIM(R98&amp;"")))-2)),UPPER(TRIM(R98&amp;""))))</f>
        <v/>
      </c>
      <c r="X98">
        <f>IF(W98="","",IF(ISNUMBER(U98),ROUND(U98,1),IF(AND(ISNUMBER(S98),ISNUMBER(T98)),IF(T98&gt;0,ROUND(S98/T98*100,1),""),"")))</f>
        <v/>
      </c>
      <c r="Y98">
        <f>IF(W98="","",IF(RIGHT(UPPER(TRIM(R98&amp;"")),2)="-N","비경쟁",""))</f>
        <v/>
      </c>
      <c r="Z98">
        <f>IF(W98="","",IF(COUNTIF(참가자!$A$3:$A$52,W98)=0,"명단에 없는 코드",""))</f>
        <v/>
      </c>
      <c r="AA98">
        <f>IF(W98="","",IF(ISNUMBER(U98),ROUND(U98*DIAG_ITEMS/100,1),IF(AND(ISNUMBER(S98),ISNUMBER(T98)),IF(T98&gt;0,S98,""),"")))</f>
        <v/>
      </c>
    </row>
    <row r="99">
      <c r="R99" s="3" t="n"/>
      <c r="S99" s="3" t="n"/>
      <c r="T99" s="3" t="n"/>
      <c r="U99" s="3" t="n"/>
      <c r="W99">
        <f>IF(UPPER(TRIM(R99&amp;""))="","",IF(RIGHT(UPPER(TRIM(R99&amp;"")),2)="-N",TRIM(LEFT(UPPER(TRIM(R99&amp;"")),LEN(UPPER(TRIM(R99&amp;"")))-2)),UPPER(TRIM(R99&amp;""))))</f>
        <v/>
      </c>
      <c r="X99">
        <f>IF(W99="","",IF(ISNUMBER(U99),ROUND(U99,1),IF(AND(ISNUMBER(S99),ISNUMBER(T99)),IF(T99&gt;0,ROUND(S99/T99*100,1),""),"")))</f>
        <v/>
      </c>
      <c r="Y99">
        <f>IF(W99="","",IF(RIGHT(UPPER(TRIM(R99&amp;"")),2)="-N","비경쟁",""))</f>
        <v/>
      </c>
      <c r="Z99">
        <f>IF(W99="","",IF(COUNTIF(참가자!$A$3:$A$52,W99)=0,"명단에 없는 코드",""))</f>
        <v/>
      </c>
      <c r="AA99">
        <f>IF(W99="","",IF(ISNUMBER(U99),ROUND(U99*DIAG_ITEMS/100,1),IF(AND(ISNUMBER(S99),ISNUMBER(T99)),IF(T99&gt;0,S99,""),"")))</f>
        <v/>
      </c>
    </row>
    <row r="100">
      <c r="R100" s="3" t="n"/>
      <c r="S100" s="3" t="n"/>
      <c r="T100" s="3" t="n"/>
      <c r="U100" s="3" t="n"/>
      <c r="W100">
        <f>IF(UPPER(TRIM(R100&amp;""))="","",IF(RIGHT(UPPER(TRIM(R100&amp;"")),2)="-N",TRIM(LEFT(UPPER(TRIM(R100&amp;"")),LEN(UPPER(TRIM(R100&amp;"")))-2)),UPPER(TRIM(R100&amp;""))))</f>
        <v/>
      </c>
      <c r="X100">
        <f>IF(W100="","",IF(ISNUMBER(U100),ROUND(U100,1),IF(AND(ISNUMBER(S100),ISNUMBER(T100)),IF(T100&gt;0,ROUND(S100/T100*100,1),""),"")))</f>
        <v/>
      </c>
      <c r="Y100">
        <f>IF(W100="","",IF(RIGHT(UPPER(TRIM(R100&amp;"")),2)="-N","비경쟁",""))</f>
        <v/>
      </c>
      <c r="Z100">
        <f>IF(W100="","",IF(COUNTIF(참가자!$A$3:$A$52,W100)=0,"명단에 없는 코드",""))</f>
        <v/>
      </c>
      <c r="AA100">
        <f>IF(W100="","",IF(ISNUMBER(U100),ROUND(U100*DIAG_ITEMS/100,1),IF(AND(ISNUMBER(S100),ISNUMBER(T100)),IF(T100&gt;0,S100,""),"")))</f>
        <v/>
      </c>
    </row>
    <row r="101">
      <c r="R101" s="3" t="n"/>
      <c r="S101" s="3" t="n"/>
      <c r="T101" s="3" t="n"/>
      <c r="U101" s="3" t="n"/>
      <c r="W101">
        <f>IF(UPPER(TRIM(R101&amp;""))="","",IF(RIGHT(UPPER(TRIM(R101&amp;"")),2)="-N",TRIM(LEFT(UPPER(TRIM(R101&amp;"")),LEN(UPPER(TRIM(R101&amp;"")))-2)),UPPER(TRIM(R101&amp;""))))</f>
        <v/>
      </c>
      <c r="X101">
        <f>IF(W101="","",IF(ISNUMBER(U101),ROUND(U101,1),IF(AND(ISNUMBER(S101),ISNUMBER(T101)),IF(T101&gt;0,ROUND(S101/T101*100,1),""),"")))</f>
        <v/>
      </c>
      <c r="Y101">
        <f>IF(W101="","",IF(RIGHT(UPPER(TRIM(R101&amp;"")),2)="-N","비경쟁",""))</f>
        <v/>
      </c>
      <c r="Z101">
        <f>IF(W101="","",IF(COUNTIF(참가자!$A$3:$A$52,W101)=0,"명단에 없는 코드",""))</f>
        <v/>
      </c>
      <c r="AA101">
        <f>IF(W101="","",IF(ISNUMBER(U101),ROUND(U101*DIAG_ITEMS/100,1),IF(AND(ISNUMBER(S101),ISNUMBER(T101)),IF(T101&gt;0,S101,""),"")))</f>
        <v/>
      </c>
    </row>
    <row r="102">
      <c r="R102" s="3" t="n"/>
      <c r="S102" s="3" t="n"/>
      <c r="T102" s="3" t="n"/>
      <c r="U102" s="3" t="n"/>
      <c r="W102">
        <f>IF(UPPER(TRIM(R102&amp;""))="","",IF(RIGHT(UPPER(TRIM(R102&amp;"")),2)="-N",TRIM(LEFT(UPPER(TRIM(R102&amp;"")),LEN(UPPER(TRIM(R102&amp;"")))-2)),UPPER(TRIM(R102&amp;""))))</f>
        <v/>
      </c>
      <c r="X102">
        <f>IF(W102="","",IF(ISNUMBER(U102),ROUND(U102,1),IF(AND(ISNUMBER(S102),ISNUMBER(T102)),IF(T102&gt;0,ROUND(S102/T102*100,1),""),"")))</f>
        <v/>
      </c>
      <c r="Y102">
        <f>IF(W102="","",IF(RIGHT(UPPER(TRIM(R102&amp;"")),2)="-N","비경쟁",""))</f>
        <v/>
      </c>
      <c r="Z102">
        <f>IF(W102="","",IF(COUNTIF(참가자!$A$3:$A$52,W102)=0,"명단에 없는 코드",""))</f>
        <v/>
      </c>
      <c r="AA102">
        <f>IF(W102="","",IF(ISNUMBER(U102),ROUND(U102*DIAG_ITEMS/100,1),IF(AND(ISNUMBER(S102),ISNUMBER(T102)),IF(T102&gt;0,S102,""),"")))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0" customWidth="1" min="4" max="4"/>
    <col width="11" customWidth="1" min="5" max="5"/>
    <col width="11" customWidth="1" min="6" max="6"/>
    <col width="10" customWidth="1" min="7" max="7"/>
    <col width="15" customWidth="1" min="8" max="8"/>
    <col width="9" customWidth="1" min="9" max="9"/>
    <col width="10" customWidth="1" min="10" max="10"/>
    <col width="10" customWidth="1" min="11" max="11"/>
    <col width="10" customWidth="1" min="12" max="12"/>
    <col width="13" customWidth="1" min="13" max="13"/>
    <col width="3" customWidth="1" min="17" max="17"/>
    <col width="12" customWidth="1" min="18" max="18"/>
    <col width="8" customWidth="1" min="19" max="19"/>
    <col width="8" customWidth="1" min="20" max="20"/>
    <col width="10" customWidth="1" min="21" max="21"/>
    <col width="3" customWidth="1" min="22" max="22"/>
    <col width="12" customWidth="1" min="23" max="23"/>
    <col width="10" customWidth="1" min="24" max="24"/>
    <col width="10" customWidth="1" min="25" max="25"/>
    <col width="16" customWidth="1" min="26" max="26"/>
    <col width="10" customWidth="1" min="27" max="27"/>
  </cols>
  <sheetData>
    <row r="1">
      <c r="A1" s="1" t="inlineStr">
        <is>
          <t>평가A (1회차 공통 평가, 8문항) — 기준점수 = 평가A로 고정. 평가A가 없으면 첫 응시(평가B, 없으면 평가C)가 기준이고 그 회차는 판정 보류</t>
        </is>
      </c>
      <c r="R1" s="4" t="inlineStr">
        <is>
          <t>붙여넣기 영역 (노란 칸, 3행부터)</t>
        </is>
      </c>
    </row>
    <row r="2">
      <c r="A2" s="5" t="inlineStr">
        <is>
          <t>참가자 코드</t>
        </is>
      </c>
      <c r="B2" s="5" t="inlineStr">
        <is>
          <t>팀</t>
        </is>
      </c>
      <c r="C2" s="5" t="inlineStr">
        <is>
          <t>A 맞힌 수</t>
        </is>
      </c>
      <c r="D2" s="5" t="inlineStr">
        <is>
          <t>A 정답률(%)</t>
        </is>
      </c>
      <c r="E2" s="5" t="inlineStr">
        <is>
          <t>상태</t>
        </is>
      </c>
      <c r="F2" s="5" t="inlineStr">
        <is>
          <t>중복 점검</t>
        </is>
      </c>
      <c r="G2" s="5" t="inlineStr">
        <is>
          <t>기준점수(%)</t>
        </is>
      </c>
      <c r="H2" s="5" t="inlineStr">
        <is>
          <t>기준 출처</t>
        </is>
      </c>
      <c r="I2" s="5" t="inlineStr">
        <is>
          <t>기준 맞힌 수</t>
        </is>
      </c>
      <c r="J2" s="5" t="inlineStr">
        <is>
          <t>진단 정답률(%)</t>
        </is>
      </c>
      <c r="K2" s="5" t="inlineStr">
        <is>
          <t>진단−평가A(%p)</t>
        </is>
      </c>
      <c r="L2" s="5" t="inlineStr">
        <is>
          <t>교수 확인</t>
        </is>
      </c>
      <c r="M2" s="5" t="inlineStr">
        <is>
          <t>팀 편성 참고(진단+평가A %)</t>
        </is>
      </c>
      <c r="R2" s="6" t="inlineStr">
        <is>
          <t>참가자 코드</t>
        </is>
      </c>
      <c r="S2" s="6" t="inlineStr">
        <is>
          <t>맞힌 수</t>
        </is>
      </c>
      <c r="T2" s="6" t="inlineStr">
        <is>
          <t>문항 수</t>
        </is>
      </c>
      <c r="U2" s="6" t="inlineStr">
        <is>
          <t>정답률(%)</t>
        </is>
      </c>
      <c r="W2" s="2" t="inlineStr">
        <is>
          <t>정리된 코드(자동)</t>
        </is>
      </c>
      <c r="X2" s="2" t="inlineStr">
        <is>
          <t>계산 정답률(자동)</t>
        </is>
      </c>
      <c r="Y2" s="2" t="inlineStr">
        <is>
          <t>비경쟁(자동)</t>
        </is>
      </c>
      <c r="Z2" s="2" t="inlineStr">
        <is>
          <t>명단 점검(자동)</t>
        </is>
      </c>
      <c r="AA2" s="2" t="inlineStr">
        <is>
          <t>맞힌 수(자동)</t>
        </is>
      </c>
    </row>
    <row r="3">
      <c r="A3">
        <f>IF(참가자!A3="","",UPPER(TRIM(참가자!A3)))</f>
        <v/>
      </c>
      <c r="B3">
        <f>IF(A3="","",IF(참가자!B3="","(팀 없음)",TRIM(참가자!B3)))</f>
        <v/>
      </c>
      <c r="C3">
        <f>IF(A3="","",IFERROR(INDEX($AA$3:$AA$102,MATCH(A3,$W$3:$W$102,0)),""))</f>
        <v/>
      </c>
      <c r="D3">
        <f>IF(A3="","",IFERROR(INDEX($X$3:$X$102,MATCH(A3,$W$3:$W$102,0)),""))</f>
        <v/>
      </c>
      <c r="E3">
        <f>IF(A3="","",IF(D3="","결석",IF(IFERROR(INDEX($Y$3:$Y$102,MATCH(A3,$W$3:$W$102,0)),"")="비경쟁","비경쟁 응시","응시")))</f>
        <v/>
      </c>
      <c r="F3">
        <f>IF(A3="","",IF(COUNTIF($W$3:$W$102,A3)&gt;1,"중복! 확인",""))</f>
        <v/>
      </c>
      <c r="G3">
        <f>IF(A3="","",IF(ISNUMBER(D3),D3,IF(ISNUMBER(평가B!F3),평가B!F3,IF(ISNUMBER(평가C!G3),평가C!G3,""))))</f>
        <v/>
      </c>
      <c r="H3">
        <f>IF(A3="","",IF(ISNUMBER(D3),"평가A",IF(ISNUMBER(평가B!F3),"첫 응시(평가B)",IF(ISNUMBER(평가C!G3),"첫 응시(평가C)","기준 없음"))))</f>
        <v/>
      </c>
      <c r="I3">
        <f>IF(A3="","",IF(ISNUMBER(D3),C3,IF(ISNUMBER(평가B!F3),평가B!D3,IF(ISNUMBER(평가C!G3),평가C!E3,""))))</f>
        <v/>
      </c>
      <c r="J3">
        <f>IF(A3="","",진단!D3)</f>
        <v/>
      </c>
      <c r="K3">
        <f>IF(A3="","",IF(AND(ISNUMBER(D3),ISNUMBER(J3)),ROUND(J3-D3,1),""))</f>
        <v/>
      </c>
      <c r="L3">
        <f>IF(A3="","",IF(ISNUMBER(K3),IF(K3&gt;=DIAG_GAP,"교수 확인",""),""))</f>
        <v/>
      </c>
      <c r="M3">
        <f>IF(A3="","",IF(AND(NOT(ISNUMBER(D3)),NOT(ISNUMBER(J3))),"",ROUND((IF(ISNUMBER(D3),D3*EVAL_ITEMS,0)+IF(ISNUMBER(J3),J3*DIAG_ITEMS,0))/(IF(ISNUMBER(D3),EVAL_ITEMS,0)+IF(ISNUMBER(J3),DIAG_ITEMS,0)),1)))</f>
        <v/>
      </c>
      <c r="R3" s="3" t="inlineStr">
        <is>
          <t>K7M2QX</t>
        </is>
      </c>
      <c r="S3" s="3" t="n">
        <v>4</v>
      </c>
      <c r="T3" s="3" t="n">
        <v>8</v>
      </c>
      <c r="U3" s="3" t="n"/>
      <c r="W3">
        <f>IF(UPPER(TRIM(R3&amp;""))="","",IF(RIGHT(UPPER(TRIM(R3&amp;"")),2)="-N",TRIM(LEFT(UPPER(TRIM(R3&amp;"")),LEN(UPPER(TRIM(R3&amp;"")))-2)),UPPER(TRIM(R3&amp;""))))</f>
        <v/>
      </c>
      <c r="X3">
        <f>IF(W3="","",IF(ISNUMBER(U3),ROUND(U3,1),IF(AND(ISNUMBER(S3),ISNUMBER(T3)),IF(T3&gt;0,ROUND(S3/T3*100,1),""),"")))</f>
        <v/>
      </c>
      <c r="Y3">
        <f>IF(W3="","",IF(RIGHT(UPPER(TRIM(R3&amp;"")),2)="-N","비경쟁",""))</f>
        <v/>
      </c>
      <c r="Z3">
        <f>IF(W3="","",IF(COUNTIF(참가자!$A$3:$A$52,W3)=0,"명단에 없는 코드",""))</f>
        <v/>
      </c>
      <c r="AA3">
        <f>IF(W3="","",IF(ISNUMBER(U3),ROUND(U3*EVAL_ITEMS/100,1),IF(AND(ISNUMBER(S3),ISNUMBER(T3)),IF(T3&gt;0,S3,""),"")))</f>
        <v/>
      </c>
    </row>
    <row r="4">
      <c r="A4">
        <f>IF(참가자!A4="","",UPPER(TRIM(참가자!A4)))</f>
        <v/>
      </c>
      <c r="B4">
        <f>IF(A4="","",IF(참가자!B4="","(팀 없음)",TRIM(참가자!B4)))</f>
        <v/>
      </c>
      <c r="C4">
        <f>IF(A4="","",IFERROR(INDEX($AA$3:$AA$102,MATCH(A4,$W$3:$W$102,0)),""))</f>
        <v/>
      </c>
      <c r="D4">
        <f>IF(A4="","",IFERROR(INDEX($X$3:$X$102,MATCH(A4,$W$3:$W$102,0)),""))</f>
        <v/>
      </c>
      <c r="E4">
        <f>IF(A4="","",IF(D4="","결석",IF(IFERROR(INDEX($Y$3:$Y$102,MATCH(A4,$W$3:$W$102,0)),"")="비경쟁","비경쟁 응시","응시")))</f>
        <v/>
      </c>
      <c r="F4">
        <f>IF(A4="","",IF(COUNTIF($W$3:$W$102,A4)&gt;1,"중복! 확인",""))</f>
        <v/>
      </c>
      <c r="G4">
        <f>IF(A4="","",IF(ISNUMBER(D4),D4,IF(ISNUMBER(평가B!F4),평가B!F4,IF(ISNUMBER(평가C!G4),평가C!G4,""))))</f>
        <v/>
      </c>
      <c r="H4">
        <f>IF(A4="","",IF(ISNUMBER(D4),"평가A",IF(ISNUMBER(평가B!F4),"첫 응시(평가B)",IF(ISNUMBER(평가C!G4),"첫 응시(평가C)","기준 없음"))))</f>
        <v/>
      </c>
      <c r="I4">
        <f>IF(A4="","",IF(ISNUMBER(D4),C4,IF(ISNUMBER(평가B!F4),평가B!D4,IF(ISNUMBER(평가C!G4),평가C!E4,""))))</f>
        <v/>
      </c>
      <c r="J4">
        <f>IF(A4="","",진단!D4)</f>
        <v/>
      </c>
      <c r="K4">
        <f>IF(A4="","",IF(AND(ISNUMBER(D4),ISNUMBER(J4)),ROUND(J4-D4,1),""))</f>
        <v/>
      </c>
      <c r="L4">
        <f>IF(A4="","",IF(ISNUMBER(K4),IF(K4&gt;=DIAG_GAP,"교수 확인",""),""))</f>
        <v/>
      </c>
      <c r="M4">
        <f>IF(A4="","",IF(AND(NOT(ISNUMBER(D4)),NOT(ISNUMBER(J4))),"",ROUND((IF(ISNUMBER(D4),D4*EVAL_ITEMS,0)+IF(ISNUMBER(J4),J4*DIAG_ITEMS,0))/(IF(ISNUMBER(D4),EVAL_ITEMS,0)+IF(ISNUMBER(J4),DIAG_ITEMS,0)),1)))</f>
        <v/>
      </c>
      <c r="R4" s="3" t="inlineStr">
        <is>
          <t>R4XT9H</t>
        </is>
      </c>
      <c r="S4" s="3" t="n">
        <v>7</v>
      </c>
      <c r="T4" s="3" t="n">
        <v>8</v>
      </c>
      <c r="U4" s="3" t="n"/>
      <c r="W4">
        <f>IF(UPPER(TRIM(R4&amp;""))="","",IF(RIGHT(UPPER(TRIM(R4&amp;"")),2)="-N",TRIM(LEFT(UPPER(TRIM(R4&amp;"")),LEN(UPPER(TRIM(R4&amp;"")))-2)),UPPER(TRIM(R4&amp;""))))</f>
        <v/>
      </c>
      <c r="X4">
        <f>IF(W4="","",IF(ISNUMBER(U4),ROUND(U4,1),IF(AND(ISNUMBER(S4),ISNUMBER(T4)),IF(T4&gt;0,ROUND(S4/T4*100,1),""),"")))</f>
        <v/>
      </c>
      <c r="Y4">
        <f>IF(W4="","",IF(RIGHT(UPPER(TRIM(R4&amp;"")),2)="-N","비경쟁",""))</f>
        <v/>
      </c>
      <c r="Z4">
        <f>IF(W4="","",IF(COUNTIF(참가자!$A$3:$A$52,W4)=0,"명단에 없는 코드",""))</f>
        <v/>
      </c>
      <c r="AA4">
        <f>IF(W4="","",IF(ISNUMBER(U4),ROUND(U4*EVAL_ITEMS/100,1),IF(AND(ISNUMBER(S4),ISNUMBER(T4)),IF(T4&gt;0,S4,""),"")))</f>
        <v/>
      </c>
    </row>
    <row r="5">
      <c r="A5">
        <f>IF(참가자!A5="","",UPPER(TRIM(참가자!A5)))</f>
        <v/>
      </c>
      <c r="B5">
        <f>IF(A5="","",IF(참가자!B5="","(팀 없음)",TRIM(참가자!B5)))</f>
        <v/>
      </c>
      <c r="C5">
        <f>IF(A5="","",IFERROR(INDEX($AA$3:$AA$102,MATCH(A5,$W$3:$W$102,0)),""))</f>
        <v/>
      </c>
      <c r="D5">
        <f>IF(A5="","",IFERROR(INDEX($X$3:$X$102,MATCH(A5,$W$3:$W$102,0)),""))</f>
        <v/>
      </c>
      <c r="E5">
        <f>IF(A5="","",IF(D5="","결석",IF(IFERROR(INDEX($Y$3:$Y$102,MATCH(A5,$W$3:$W$102,0)),"")="비경쟁","비경쟁 응시","응시")))</f>
        <v/>
      </c>
      <c r="F5">
        <f>IF(A5="","",IF(COUNTIF($W$3:$W$102,A5)&gt;1,"중복! 확인",""))</f>
        <v/>
      </c>
      <c r="G5">
        <f>IF(A5="","",IF(ISNUMBER(D5),D5,IF(ISNUMBER(평가B!F5),평가B!F5,IF(ISNUMBER(평가C!G5),평가C!G5,""))))</f>
        <v/>
      </c>
      <c r="H5">
        <f>IF(A5="","",IF(ISNUMBER(D5),"평가A",IF(ISNUMBER(평가B!F5),"첫 응시(평가B)",IF(ISNUMBER(평가C!G5),"첫 응시(평가C)","기준 없음"))))</f>
        <v/>
      </c>
      <c r="I5">
        <f>IF(A5="","",IF(ISNUMBER(D5),C5,IF(ISNUMBER(평가B!F5),평가B!D5,IF(ISNUMBER(평가C!G5),평가C!E5,""))))</f>
        <v/>
      </c>
      <c r="J5">
        <f>IF(A5="","",진단!D5)</f>
        <v/>
      </c>
      <c r="K5">
        <f>IF(A5="","",IF(AND(ISNUMBER(D5),ISNUMBER(J5)),ROUND(J5-D5,1),""))</f>
        <v/>
      </c>
      <c r="L5">
        <f>IF(A5="","",IF(ISNUMBER(K5),IF(K5&gt;=DIAG_GAP,"교수 확인",""),""))</f>
        <v/>
      </c>
      <c r="M5">
        <f>IF(A5="","",IF(AND(NOT(ISNUMBER(D5)),NOT(ISNUMBER(J5))),"",ROUND((IF(ISNUMBER(D5),D5*EVAL_ITEMS,0)+IF(ISNUMBER(J5),J5*DIAG_ITEMS,0))/(IF(ISNUMBER(D5),EVAL_ITEMS,0)+IF(ISNUMBER(J5),DIAG_ITEMS,0)),1)))</f>
        <v/>
      </c>
      <c r="R5" s="3" t="inlineStr">
        <is>
          <t>H9WC3P</t>
        </is>
      </c>
      <c r="S5" s="3" t="n">
        <v>0</v>
      </c>
      <c r="T5" s="3" t="n">
        <v>8</v>
      </c>
      <c r="U5" s="3" t="n"/>
      <c r="W5">
        <f>IF(UPPER(TRIM(R5&amp;""))="","",IF(RIGHT(UPPER(TRIM(R5&amp;"")),2)="-N",TRIM(LEFT(UPPER(TRIM(R5&amp;"")),LEN(UPPER(TRIM(R5&amp;"")))-2)),UPPER(TRIM(R5&amp;""))))</f>
        <v/>
      </c>
      <c r="X5">
        <f>IF(W5="","",IF(ISNUMBER(U5),ROUND(U5,1),IF(AND(ISNUMBER(S5),ISNUMBER(T5)),IF(T5&gt;0,ROUND(S5/T5*100,1),""),"")))</f>
        <v/>
      </c>
      <c r="Y5">
        <f>IF(W5="","",IF(RIGHT(UPPER(TRIM(R5&amp;"")),2)="-N","비경쟁",""))</f>
        <v/>
      </c>
      <c r="Z5">
        <f>IF(W5="","",IF(COUNTIF(참가자!$A$3:$A$52,W5)=0,"명단에 없는 코드",""))</f>
        <v/>
      </c>
      <c r="AA5">
        <f>IF(W5="","",IF(ISNUMBER(U5),ROUND(U5*EVAL_ITEMS/100,1),IF(AND(ISNUMBER(S5),ISNUMBER(T5)),IF(T5&gt;0,S5,""),"")))</f>
        <v/>
      </c>
    </row>
    <row r="6">
      <c r="A6">
        <f>IF(참가자!A6="","",UPPER(TRIM(참가자!A6)))</f>
        <v/>
      </c>
      <c r="B6">
        <f>IF(A6="","",IF(참가자!B6="","(팀 없음)",TRIM(참가자!B6)))</f>
        <v/>
      </c>
      <c r="C6">
        <f>IF(A6="","",IFERROR(INDEX($AA$3:$AA$102,MATCH(A6,$W$3:$W$102,0)),""))</f>
        <v/>
      </c>
      <c r="D6">
        <f>IF(A6="","",IFERROR(INDEX($X$3:$X$102,MATCH(A6,$W$3:$W$102,0)),""))</f>
        <v/>
      </c>
      <c r="E6">
        <f>IF(A6="","",IF(D6="","결석",IF(IFERROR(INDEX($Y$3:$Y$102,MATCH(A6,$W$3:$W$102,0)),"")="비경쟁","비경쟁 응시","응시")))</f>
        <v/>
      </c>
      <c r="F6">
        <f>IF(A6="","",IF(COUNTIF($W$3:$W$102,A6)&gt;1,"중복! 확인",""))</f>
        <v/>
      </c>
      <c r="G6">
        <f>IF(A6="","",IF(ISNUMBER(D6),D6,IF(ISNUMBER(평가B!F6),평가B!F6,IF(ISNUMBER(평가C!G6),평가C!G6,""))))</f>
        <v/>
      </c>
      <c r="H6">
        <f>IF(A6="","",IF(ISNUMBER(D6),"평가A",IF(ISNUMBER(평가B!F6),"첫 응시(평가B)",IF(ISNUMBER(평가C!G6),"첫 응시(평가C)","기준 없음"))))</f>
        <v/>
      </c>
      <c r="I6">
        <f>IF(A6="","",IF(ISNUMBER(D6),C6,IF(ISNUMBER(평가B!F6),평가B!D6,IF(ISNUMBER(평가C!G6),평가C!E6,""))))</f>
        <v/>
      </c>
      <c r="J6">
        <f>IF(A6="","",진단!D6)</f>
        <v/>
      </c>
      <c r="K6">
        <f>IF(A6="","",IF(AND(ISNUMBER(D6),ISNUMBER(J6)),ROUND(J6-D6,1),""))</f>
        <v/>
      </c>
      <c r="L6">
        <f>IF(A6="","",IF(ISNUMBER(K6),IF(K6&gt;=DIAG_GAP,"교수 확인",""),""))</f>
        <v/>
      </c>
      <c r="M6">
        <f>IF(A6="","",IF(AND(NOT(ISNUMBER(D6)),NOT(ISNUMBER(J6))),"",ROUND((IF(ISNUMBER(D6),D6*EVAL_ITEMS,0)+IF(ISNUMBER(J6),J6*DIAG_ITEMS,0))/(IF(ISNUMBER(D6),EVAL_ITEMS,0)+IF(ISNUMBER(J6),DIAG_ITEMS,0)),1)))</f>
        <v/>
      </c>
      <c r="R6" s="3" t="inlineStr">
        <is>
          <t>B3NV7K</t>
        </is>
      </c>
      <c r="S6" s="3" t="n">
        <v>1</v>
      </c>
      <c r="T6" s="3" t="n">
        <v>8</v>
      </c>
      <c r="U6" s="3" t="n"/>
      <c r="W6">
        <f>IF(UPPER(TRIM(R6&amp;""))="","",IF(RIGHT(UPPER(TRIM(R6&amp;"")),2)="-N",TRIM(LEFT(UPPER(TRIM(R6&amp;"")),LEN(UPPER(TRIM(R6&amp;"")))-2)),UPPER(TRIM(R6&amp;""))))</f>
        <v/>
      </c>
      <c r="X6">
        <f>IF(W6="","",IF(ISNUMBER(U6),ROUND(U6,1),IF(AND(ISNUMBER(S6),ISNUMBER(T6)),IF(T6&gt;0,ROUND(S6/T6*100,1),""),"")))</f>
        <v/>
      </c>
      <c r="Y6">
        <f>IF(W6="","",IF(RIGHT(UPPER(TRIM(R6&amp;"")),2)="-N","비경쟁",""))</f>
        <v/>
      </c>
      <c r="Z6">
        <f>IF(W6="","",IF(COUNTIF(참가자!$A$3:$A$52,W6)=0,"명단에 없는 코드",""))</f>
        <v/>
      </c>
      <c r="AA6">
        <f>IF(W6="","",IF(ISNUMBER(U6),ROUND(U6*EVAL_ITEMS/100,1),IF(AND(ISNUMBER(S6),ISNUMBER(T6)),IF(T6&gt;0,S6,""),"")))</f>
        <v/>
      </c>
    </row>
    <row r="7">
      <c r="A7">
        <f>IF(참가자!A7="","",UPPER(TRIM(참가자!A7)))</f>
        <v/>
      </c>
      <c r="B7">
        <f>IF(A7="","",IF(참가자!B7="","(팀 없음)",TRIM(참가자!B7)))</f>
        <v/>
      </c>
      <c r="C7">
        <f>IF(A7="","",IFERROR(INDEX($AA$3:$AA$102,MATCH(A7,$W$3:$W$102,0)),""))</f>
        <v/>
      </c>
      <c r="D7">
        <f>IF(A7="","",IFERROR(INDEX($X$3:$X$102,MATCH(A7,$W$3:$W$102,0)),""))</f>
        <v/>
      </c>
      <c r="E7">
        <f>IF(A7="","",IF(D7="","결석",IF(IFERROR(INDEX($Y$3:$Y$102,MATCH(A7,$W$3:$W$102,0)),"")="비경쟁","비경쟁 응시","응시")))</f>
        <v/>
      </c>
      <c r="F7">
        <f>IF(A7="","",IF(COUNTIF($W$3:$W$102,A7)&gt;1,"중복! 확인",""))</f>
        <v/>
      </c>
      <c r="G7">
        <f>IF(A7="","",IF(ISNUMBER(D7),D7,IF(ISNUMBER(평가B!F7),평가B!F7,IF(ISNUMBER(평가C!G7),평가C!G7,""))))</f>
        <v/>
      </c>
      <c r="H7">
        <f>IF(A7="","",IF(ISNUMBER(D7),"평가A",IF(ISNUMBER(평가B!F7),"첫 응시(평가B)",IF(ISNUMBER(평가C!G7),"첫 응시(평가C)","기준 없음"))))</f>
        <v/>
      </c>
      <c r="I7">
        <f>IF(A7="","",IF(ISNUMBER(D7),C7,IF(ISNUMBER(평가B!F7),평가B!D7,IF(ISNUMBER(평가C!G7),평가C!E7,""))))</f>
        <v/>
      </c>
      <c r="J7">
        <f>IF(A7="","",진단!D7)</f>
        <v/>
      </c>
      <c r="K7">
        <f>IF(A7="","",IF(AND(ISNUMBER(D7),ISNUMBER(J7)),ROUND(J7-D7,1),""))</f>
        <v/>
      </c>
      <c r="L7">
        <f>IF(A7="","",IF(ISNUMBER(K7),IF(K7&gt;=DIAG_GAP,"교수 확인",""),""))</f>
        <v/>
      </c>
      <c r="M7">
        <f>IF(A7="","",IF(AND(NOT(ISNUMBER(D7)),NOT(ISNUMBER(J7))),"",ROUND((IF(ISNUMBER(D7),D7*EVAL_ITEMS,0)+IF(ISNUMBER(J7),J7*DIAG_ITEMS,0))/(IF(ISNUMBER(D7),EVAL_ITEMS,0)+IF(ISNUMBER(J7),DIAG_ITEMS,0)),1)))</f>
        <v/>
      </c>
      <c r="R7" s="3" t="inlineStr">
        <is>
          <t>Z8DQ4T</t>
        </is>
      </c>
      <c r="S7" s="3" t="n">
        <v>5</v>
      </c>
      <c r="T7" s="3" t="n">
        <v>8</v>
      </c>
      <c r="U7" s="3" t="n"/>
      <c r="W7">
        <f>IF(UPPER(TRIM(R7&amp;""))="","",IF(RIGHT(UPPER(TRIM(R7&amp;"")),2)="-N",TRIM(LEFT(UPPER(TRIM(R7&amp;"")),LEN(UPPER(TRIM(R7&amp;"")))-2)),UPPER(TRIM(R7&amp;""))))</f>
        <v/>
      </c>
      <c r="X7">
        <f>IF(W7="","",IF(ISNUMBER(U7),ROUND(U7,1),IF(AND(ISNUMBER(S7),ISNUMBER(T7)),IF(T7&gt;0,ROUND(S7/T7*100,1),""),"")))</f>
        <v/>
      </c>
      <c r="Y7">
        <f>IF(W7="","",IF(RIGHT(UPPER(TRIM(R7&amp;"")),2)="-N","비경쟁",""))</f>
        <v/>
      </c>
      <c r="Z7">
        <f>IF(W7="","",IF(COUNTIF(참가자!$A$3:$A$52,W7)=0,"명단에 없는 코드",""))</f>
        <v/>
      </c>
      <c r="AA7">
        <f>IF(W7="","",IF(ISNUMBER(U7),ROUND(U7*EVAL_ITEMS/100,1),IF(AND(ISNUMBER(S7),ISNUMBER(T7)),IF(T7&gt;0,S7,""),"")))</f>
        <v/>
      </c>
    </row>
    <row r="8">
      <c r="A8">
        <f>IF(참가자!A8="","",UPPER(TRIM(참가자!A8)))</f>
        <v/>
      </c>
      <c r="B8">
        <f>IF(A8="","",IF(참가자!B8="","(팀 없음)",TRIM(참가자!B8)))</f>
        <v/>
      </c>
      <c r="C8">
        <f>IF(A8="","",IFERROR(INDEX($AA$3:$AA$102,MATCH(A8,$W$3:$W$102,0)),""))</f>
        <v/>
      </c>
      <c r="D8">
        <f>IF(A8="","",IFERROR(INDEX($X$3:$X$102,MATCH(A8,$W$3:$W$102,0)),""))</f>
        <v/>
      </c>
      <c r="E8">
        <f>IF(A8="","",IF(D8="","결석",IF(IFERROR(INDEX($Y$3:$Y$102,MATCH(A8,$W$3:$W$102,0)),"")="비경쟁","비경쟁 응시","응시")))</f>
        <v/>
      </c>
      <c r="F8">
        <f>IF(A8="","",IF(COUNTIF($W$3:$W$102,A8)&gt;1,"중복! 확인",""))</f>
        <v/>
      </c>
      <c r="G8">
        <f>IF(A8="","",IF(ISNUMBER(D8),D8,IF(ISNUMBER(평가B!F8),평가B!F8,IF(ISNUMBER(평가C!G8),평가C!G8,""))))</f>
        <v/>
      </c>
      <c r="H8">
        <f>IF(A8="","",IF(ISNUMBER(D8),"평가A",IF(ISNUMBER(평가B!F8),"첫 응시(평가B)",IF(ISNUMBER(평가C!G8),"첫 응시(평가C)","기준 없음"))))</f>
        <v/>
      </c>
      <c r="I8">
        <f>IF(A8="","",IF(ISNUMBER(D8),C8,IF(ISNUMBER(평가B!F8),평가B!D8,IF(ISNUMBER(평가C!G8),평가C!E8,""))))</f>
        <v/>
      </c>
      <c r="J8">
        <f>IF(A8="","",진단!D8)</f>
        <v/>
      </c>
      <c r="K8">
        <f>IF(A8="","",IF(AND(ISNUMBER(D8),ISNUMBER(J8)),ROUND(J8-D8,1),""))</f>
        <v/>
      </c>
      <c r="L8">
        <f>IF(A8="","",IF(ISNUMBER(K8),IF(K8&gt;=DIAG_GAP,"교수 확인",""),""))</f>
        <v/>
      </c>
      <c r="M8">
        <f>IF(A8="","",IF(AND(NOT(ISNUMBER(D8)),NOT(ISNUMBER(J8))),"",ROUND((IF(ISNUMBER(D8),D8*EVAL_ITEMS,0)+IF(ISNUMBER(J8),J8*DIAG_ITEMS,0))/(IF(ISNUMBER(D8),EVAL_ITEMS,0)+IF(ISNUMBER(J8),DIAG_ITEMS,0)),1)))</f>
        <v/>
      </c>
      <c r="R8" s="3" t="inlineStr">
        <is>
          <t>M2PF6Y</t>
        </is>
      </c>
      <c r="S8" s="3" t="n">
        <v>6</v>
      </c>
      <c r="T8" s="3" t="n">
        <v>8</v>
      </c>
      <c r="U8" s="3" t="n"/>
      <c r="W8">
        <f>IF(UPPER(TRIM(R8&amp;""))="","",IF(RIGHT(UPPER(TRIM(R8&amp;"")),2)="-N",TRIM(LEFT(UPPER(TRIM(R8&amp;"")),LEN(UPPER(TRIM(R8&amp;"")))-2)),UPPER(TRIM(R8&amp;""))))</f>
        <v/>
      </c>
      <c r="X8">
        <f>IF(W8="","",IF(ISNUMBER(U8),ROUND(U8,1),IF(AND(ISNUMBER(S8),ISNUMBER(T8)),IF(T8&gt;0,ROUND(S8/T8*100,1),""),"")))</f>
        <v/>
      </c>
      <c r="Y8">
        <f>IF(W8="","",IF(RIGHT(UPPER(TRIM(R8&amp;"")),2)="-N","비경쟁",""))</f>
        <v/>
      </c>
      <c r="Z8">
        <f>IF(W8="","",IF(COUNTIF(참가자!$A$3:$A$52,W8)=0,"명단에 없는 코드",""))</f>
        <v/>
      </c>
      <c r="AA8">
        <f>IF(W8="","",IF(ISNUMBER(U8),ROUND(U8*EVAL_ITEMS/100,1),IF(AND(ISNUMBER(S8),ISNUMBER(T8)),IF(T8&gt;0,S8,""),"")))</f>
        <v/>
      </c>
    </row>
    <row r="9">
      <c r="A9">
        <f>IF(참가자!A9="","",UPPER(TRIM(참가자!A9)))</f>
        <v/>
      </c>
      <c r="B9">
        <f>IF(A9="","",IF(참가자!B9="","(팀 없음)",TRIM(참가자!B9)))</f>
        <v/>
      </c>
      <c r="C9">
        <f>IF(A9="","",IFERROR(INDEX($AA$3:$AA$102,MATCH(A9,$W$3:$W$102,0)),""))</f>
        <v/>
      </c>
      <c r="D9">
        <f>IF(A9="","",IFERROR(INDEX($X$3:$X$102,MATCH(A9,$W$3:$W$102,0)),""))</f>
        <v/>
      </c>
      <c r="E9">
        <f>IF(A9="","",IF(D9="","결석",IF(IFERROR(INDEX($Y$3:$Y$102,MATCH(A9,$W$3:$W$102,0)),"")="비경쟁","비경쟁 응시","응시")))</f>
        <v/>
      </c>
      <c r="F9">
        <f>IF(A9="","",IF(COUNTIF($W$3:$W$102,A9)&gt;1,"중복! 확인",""))</f>
        <v/>
      </c>
      <c r="G9">
        <f>IF(A9="","",IF(ISNUMBER(D9),D9,IF(ISNUMBER(평가B!F9),평가B!F9,IF(ISNUMBER(평가C!G9),평가C!G9,""))))</f>
        <v/>
      </c>
      <c r="H9">
        <f>IF(A9="","",IF(ISNUMBER(D9),"평가A",IF(ISNUMBER(평가B!F9),"첫 응시(평가B)",IF(ISNUMBER(평가C!G9),"첫 응시(평가C)","기준 없음"))))</f>
        <v/>
      </c>
      <c r="I9">
        <f>IF(A9="","",IF(ISNUMBER(D9),C9,IF(ISNUMBER(평가B!F9),평가B!D9,IF(ISNUMBER(평가C!G9),평가C!E9,""))))</f>
        <v/>
      </c>
      <c r="J9">
        <f>IF(A9="","",진단!D9)</f>
        <v/>
      </c>
      <c r="K9">
        <f>IF(A9="","",IF(AND(ISNUMBER(D9),ISNUMBER(J9)),ROUND(J9-D9,1),""))</f>
        <v/>
      </c>
      <c r="L9">
        <f>IF(A9="","",IF(ISNUMBER(K9),IF(K9&gt;=DIAG_GAP,"교수 확인",""),""))</f>
        <v/>
      </c>
      <c r="M9">
        <f>IF(A9="","",IF(AND(NOT(ISNUMBER(D9)),NOT(ISNUMBER(J9))),"",ROUND((IF(ISNUMBER(D9),D9*EVAL_ITEMS,0)+IF(ISNUMBER(J9),J9*DIAG_ITEMS,0))/(IF(ISNUMBER(D9),EVAL_ITEMS,0)+IF(ISNUMBER(J9),DIAG_ITEMS,0)),1)))</f>
        <v/>
      </c>
      <c r="R9" s="3" t="inlineStr">
        <is>
          <t>T6YH8R</t>
        </is>
      </c>
      <c r="S9" s="3" t="n">
        <v>8</v>
      </c>
      <c r="T9" s="3" t="n">
        <v>8</v>
      </c>
      <c r="U9" s="3" t="n"/>
      <c r="W9">
        <f>IF(UPPER(TRIM(R9&amp;""))="","",IF(RIGHT(UPPER(TRIM(R9&amp;"")),2)="-N",TRIM(LEFT(UPPER(TRIM(R9&amp;"")),LEN(UPPER(TRIM(R9&amp;"")))-2)),UPPER(TRIM(R9&amp;""))))</f>
        <v/>
      </c>
      <c r="X9">
        <f>IF(W9="","",IF(ISNUMBER(U9),ROUND(U9,1),IF(AND(ISNUMBER(S9),ISNUMBER(T9)),IF(T9&gt;0,ROUND(S9/T9*100,1),""),"")))</f>
        <v/>
      </c>
      <c r="Y9">
        <f>IF(W9="","",IF(RIGHT(UPPER(TRIM(R9&amp;"")),2)="-N","비경쟁",""))</f>
        <v/>
      </c>
      <c r="Z9">
        <f>IF(W9="","",IF(COUNTIF(참가자!$A$3:$A$52,W9)=0,"명단에 없는 코드",""))</f>
        <v/>
      </c>
      <c r="AA9">
        <f>IF(W9="","",IF(ISNUMBER(U9),ROUND(U9*EVAL_ITEMS/100,1),IF(AND(ISNUMBER(S9),ISNUMBER(T9)),IF(T9&gt;0,S9,""),"")))</f>
        <v/>
      </c>
    </row>
    <row r="10">
      <c r="A10">
        <f>IF(참가자!A10="","",UPPER(TRIM(참가자!A10)))</f>
        <v/>
      </c>
      <c r="B10">
        <f>IF(A10="","",IF(참가자!B10="","(팀 없음)",TRIM(참가자!B10)))</f>
        <v/>
      </c>
      <c r="C10">
        <f>IF(A10="","",IFERROR(INDEX($AA$3:$AA$102,MATCH(A10,$W$3:$W$102,0)),""))</f>
        <v/>
      </c>
      <c r="D10">
        <f>IF(A10="","",IFERROR(INDEX($X$3:$X$102,MATCH(A10,$W$3:$W$102,0)),""))</f>
        <v/>
      </c>
      <c r="E10">
        <f>IF(A10="","",IF(D10="","결석",IF(IFERROR(INDEX($Y$3:$Y$102,MATCH(A10,$W$3:$W$102,0)),"")="비경쟁","비경쟁 응시","응시")))</f>
        <v/>
      </c>
      <c r="F10">
        <f>IF(A10="","",IF(COUNTIF($W$3:$W$102,A10)&gt;1,"중복! 확인",""))</f>
        <v/>
      </c>
      <c r="G10">
        <f>IF(A10="","",IF(ISNUMBER(D10),D10,IF(ISNUMBER(평가B!F10),평가B!F10,IF(ISNUMBER(평가C!G10),평가C!G10,""))))</f>
        <v/>
      </c>
      <c r="H10">
        <f>IF(A10="","",IF(ISNUMBER(D10),"평가A",IF(ISNUMBER(평가B!F10),"첫 응시(평가B)",IF(ISNUMBER(평가C!G10),"첫 응시(평가C)","기준 없음"))))</f>
        <v/>
      </c>
      <c r="I10">
        <f>IF(A10="","",IF(ISNUMBER(D10),C10,IF(ISNUMBER(평가B!F10),평가B!D10,IF(ISNUMBER(평가C!G10),평가C!E10,""))))</f>
        <v/>
      </c>
      <c r="J10">
        <f>IF(A10="","",진단!D10)</f>
        <v/>
      </c>
      <c r="K10">
        <f>IF(A10="","",IF(AND(ISNUMBER(D10),ISNUMBER(J10)),ROUND(J10-D10,1),""))</f>
        <v/>
      </c>
      <c r="L10">
        <f>IF(A10="","",IF(ISNUMBER(K10),IF(K10&gt;=DIAG_GAP,"교수 확인",""),""))</f>
        <v/>
      </c>
      <c r="M10">
        <f>IF(A10="","",IF(AND(NOT(ISNUMBER(D10)),NOT(ISNUMBER(J10))),"",ROUND((IF(ISNUMBER(D10),D10*EVAL_ITEMS,0)+IF(ISNUMBER(J10),J10*DIAG_ITEMS,0))/(IF(ISNUMBER(D10),EVAL_ITEMS,0)+IF(ISNUMBER(J10),DIAG_ITEMS,0)),1)))</f>
        <v/>
      </c>
      <c r="R10" s="3" t="inlineStr">
        <is>
          <t>F8UA7G</t>
        </is>
      </c>
      <c r="S10" s="3" t="n">
        <v>3</v>
      </c>
      <c r="T10" s="3" t="n">
        <v>8</v>
      </c>
      <c r="U10" s="3" t="n"/>
      <c r="W10">
        <f>IF(UPPER(TRIM(R10&amp;""))="","",IF(RIGHT(UPPER(TRIM(R10&amp;"")),2)="-N",TRIM(LEFT(UPPER(TRIM(R10&amp;"")),LEN(UPPER(TRIM(R10&amp;"")))-2)),UPPER(TRIM(R10&amp;""))))</f>
        <v/>
      </c>
      <c r="X10">
        <f>IF(W10="","",IF(ISNUMBER(U10),ROUND(U10,1),IF(AND(ISNUMBER(S10),ISNUMBER(T10)),IF(T10&gt;0,ROUND(S10/T10*100,1),""),"")))</f>
        <v/>
      </c>
      <c r="Y10">
        <f>IF(W10="","",IF(RIGHT(UPPER(TRIM(R10&amp;"")),2)="-N","비경쟁",""))</f>
        <v/>
      </c>
      <c r="Z10">
        <f>IF(W10="","",IF(COUNTIF(참가자!$A$3:$A$52,W10)=0,"명단에 없는 코드",""))</f>
        <v/>
      </c>
      <c r="AA10">
        <f>IF(W10="","",IF(ISNUMBER(U10),ROUND(U10*EVAL_ITEMS/100,1),IF(AND(ISNUMBER(S10),ISNUMBER(T10)),IF(T10&gt;0,S10,""),"")))</f>
        <v/>
      </c>
    </row>
    <row r="11">
      <c r="A11">
        <f>IF(참가자!A11="","",UPPER(TRIM(참가자!A11)))</f>
        <v/>
      </c>
      <c r="B11">
        <f>IF(A11="","",IF(참가자!B11="","(팀 없음)",TRIM(참가자!B11)))</f>
        <v/>
      </c>
      <c r="C11">
        <f>IF(A11="","",IFERROR(INDEX($AA$3:$AA$102,MATCH(A11,$W$3:$W$102,0)),""))</f>
        <v/>
      </c>
      <c r="D11">
        <f>IF(A11="","",IFERROR(INDEX($X$3:$X$102,MATCH(A11,$W$3:$W$102,0)),""))</f>
        <v/>
      </c>
      <c r="E11">
        <f>IF(A11="","",IF(D11="","결석",IF(IFERROR(INDEX($Y$3:$Y$102,MATCH(A11,$W$3:$W$102,0)),"")="비경쟁","비경쟁 응시","응시")))</f>
        <v/>
      </c>
      <c r="F11">
        <f>IF(A11="","",IF(COUNTIF($W$3:$W$102,A11)&gt;1,"중복! 확인",""))</f>
        <v/>
      </c>
      <c r="G11">
        <f>IF(A11="","",IF(ISNUMBER(D11),D11,IF(ISNUMBER(평가B!F11),평가B!F11,IF(ISNUMBER(평가C!G11),평가C!G11,""))))</f>
        <v/>
      </c>
      <c r="H11">
        <f>IF(A11="","",IF(ISNUMBER(D11),"평가A",IF(ISNUMBER(평가B!F11),"첫 응시(평가B)",IF(ISNUMBER(평가C!G11),"첫 응시(평가C)","기준 없음"))))</f>
        <v/>
      </c>
      <c r="I11">
        <f>IF(A11="","",IF(ISNUMBER(D11),C11,IF(ISNUMBER(평가B!F11),평가B!D11,IF(ISNUMBER(평가C!G11),평가C!E11,""))))</f>
        <v/>
      </c>
      <c r="J11">
        <f>IF(A11="","",진단!D11)</f>
        <v/>
      </c>
      <c r="K11">
        <f>IF(A11="","",IF(AND(ISNUMBER(D11),ISNUMBER(J11)),ROUND(J11-D11,1),""))</f>
        <v/>
      </c>
      <c r="L11">
        <f>IF(A11="","",IF(ISNUMBER(K11),IF(K11&gt;=DIAG_GAP,"교수 확인",""),""))</f>
        <v/>
      </c>
      <c r="M11">
        <f>IF(A11="","",IF(AND(NOT(ISNUMBER(D11)),NOT(ISNUMBER(J11))),"",ROUND((IF(ISNUMBER(D11),D11*EVAL_ITEMS,0)+IF(ISNUMBER(J11),J11*DIAG_ITEMS,0))/(IF(ISNUMBER(D11),EVAL_ITEMS,0)+IF(ISNUMBER(J11),DIAG_ITEMS,0)),1)))</f>
        <v/>
      </c>
      <c r="R11" s="3" t="inlineStr">
        <is>
          <t>N4GS9B</t>
        </is>
      </c>
      <c r="S11" s="3" t="n">
        <v>3</v>
      </c>
      <c r="T11" s="3" t="n">
        <v>8</v>
      </c>
      <c r="U11" s="3" t="n"/>
      <c r="W11">
        <f>IF(UPPER(TRIM(R11&amp;""))="","",IF(RIGHT(UPPER(TRIM(R11&amp;"")),2)="-N",TRIM(LEFT(UPPER(TRIM(R11&amp;"")),LEN(UPPER(TRIM(R11&amp;"")))-2)),UPPER(TRIM(R11&amp;""))))</f>
        <v/>
      </c>
      <c r="X11">
        <f>IF(W11="","",IF(ISNUMBER(U11),ROUND(U11,1),IF(AND(ISNUMBER(S11),ISNUMBER(T11)),IF(T11&gt;0,ROUND(S11/T11*100,1),""),"")))</f>
        <v/>
      </c>
      <c r="Y11">
        <f>IF(W11="","",IF(RIGHT(UPPER(TRIM(R11&amp;"")),2)="-N","비경쟁",""))</f>
        <v/>
      </c>
      <c r="Z11">
        <f>IF(W11="","",IF(COUNTIF(참가자!$A$3:$A$52,W11)=0,"명단에 없는 코드",""))</f>
        <v/>
      </c>
      <c r="AA11">
        <f>IF(W11="","",IF(ISNUMBER(U11),ROUND(U11*EVAL_ITEMS/100,1),IF(AND(ISNUMBER(S11),ISNUMBER(T11)),IF(T11&gt;0,S11,""),"")))</f>
        <v/>
      </c>
    </row>
    <row r="12">
      <c r="A12">
        <f>IF(참가자!A12="","",UPPER(TRIM(참가자!A12)))</f>
        <v/>
      </c>
      <c r="B12">
        <f>IF(A12="","",IF(참가자!B12="","(팀 없음)",TRIM(참가자!B12)))</f>
        <v/>
      </c>
      <c r="C12">
        <f>IF(A12="","",IFERROR(INDEX($AA$3:$AA$102,MATCH(A12,$W$3:$W$102,0)),""))</f>
        <v/>
      </c>
      <c r="D12">
        <f>IF(A12="","",IFERROR(INDEX($X$3:$X$102,MATCH(A12,$W$3:$W$102,0)),""))</f>
        <v/>
      </c>
      <c r="E12">
        <f>IF(A12="","",IF(D12="","결석",IF(IFERROR(INDEX($Y$3:$Y$102,MATCH(A12,$W$3:$W$102,0)),"")="비경쟁","비경쟁 응시","응시")))</f>
        <v/>
      </c>
      <c r="F12">
        <f>IF(A12="","",IF(COUNTIF($W$3:$W$102,A12)&gt;1,"중복! 확인",""))</f>
        <v/>
      </c>
      <c r="G12">
        <f>IF(A12="","",IF(ISNUMBER(D12),D12,IF(ISNUMBER(평가B!F12),평가B!F12,IF(ISNUMBER(평가C!G12),평가C!G12,""))))</f>
        <v/>
      </c>
      <c r="H12">
        <f>IF(A12="","",IF(ISNUMBER(D12),"평가A",IF(ISNUMBER(평가B!F12),"첫 응시(평가B)",IF(ISNUMBER(평가C!G12),"첫 응시(평가C)","기준 없음"))))</f>
        <v/>
      </c>
      <c r="I12">
        <f>IF(A12="","",IF(ISNUMBER(D12),C12,IF(ISNUMBER(평가B!F12),평가B!D12,IF(ISNUMBER(평가C!G12),평가C!E12,""))))</f>
        <v/>
      </c>
      <c r="J12">
        <f>IF(A12="","",진단!D12)</f>
        <v/>
      </c>
      <c r="K12">
        <f>IF(A12="","",IF(AND(ISNUMBER(D12),ISNUMBER(J12)),ROUND(J12-D12,1),""))</f>
        <v/>
      </c>
      <c r="L12">
        <f>IF(A12="","",IF(ISNUMBER(K12),IF(K12&gt;=DIAG_GAP,"교수 확인",""),""))</f>
        <v/>
      </c>
      <c r="M12">
        <f>IF(A12="","",IF(AND(NOT(ISNUMBER(D12)),NOT(ISNUMBER(J12))),"",ROUND((IF(ISNUMBER(D12),D12*EVAL_ITEMS,0)+IF(ISNUMBER(J12),J12*DIAG_ITEMS,0))/(IF(ISNUMBER(D12),EVAL_ITEMS,0)+IF(ISNUMBER(J12),DIAG_ITEMS,0)),1)))</f>
        <v/>
      </c>
      <c r="R12" s="3" t="inlineStr">
        <is>
          <t>D7VB3M</t>
        </is>
      </c>
      <c r="S12" s="3" t="n">
        <v>2</v>
      </c>
      <c r="T12" s="3" t="n">
        <v>8</v>
      </c>
      <c r="U12" s="3" t="n"/>
      <c r="W12">
        <f>IF(UPPER(TRIM(R12&amp;""))="","",IF(RIGHT(UPPER(TRIM(R12&amp;"")),2)="-N",TRIM(LEFT(UPPER(TRIM(R12&amp;"")),LEN(UPPER(TRIM(R12&amp;"")))-2)),UPPER(TRIM(R12&amp;""))))</f>
        <v/>
      </c>
      <c r="X12">
        <f>IF(W12="","",IF(ISNUMBER(U12),ROUND(U12,1),IF(AND(ISNUMBER(S12),ISNUMBER(T12)),IF(T12&gt;0,ROUND(S12/T12*100,1),""),"")))</f>
        <v/>
      </c>
      <c r="Y12">
        <f>IF(W12="","",IF(RIGHT(UPPER(TRIM(R12&amp;"")),2)="-N","비경쟁",""))</f>
        <v/>
      </c>
      <c r="Z12">
        <f>IF(W12="","",IF(COUNTIF(참가자!$A$3:$A$52,W12)=0,"명단에 없는 코드",""))</f>
        <v/>
      </c>
      <c r="AA12">
        <f>IF(W12="","",IF(ISNUMBER(U12),ROUND(U12*EVAL_ITEMS/100,1),IF(AND(ISNUMBER(S12),ISNUMBER(T12)),IF(T12&gt;0,S12,""),"")))</f>
        <v/>
      </c>
    </row>
    <row r="13">
      <c r="A13">
        <f>IF(참가자!A13="","",UPPER(TRIM(참가자!A13)))</f>
        <v/>
      </c>
      <c r="B13">
        <f>IF(A13="","",IF(참가자!B13="","(팀 없음)",TRIM(참가자!B13)))</f>
        <v/>
      </c>
      <c r="C13">
        <f>IF(A13="","",IFERROR(INDEX($AA$3:$AA$102,MATCH(A13,$W$3:$W$102,0)),""))</f>
        <v/>
      </c>
      <c r="D13">
        <f>IF(A13="","",IFERROR(INDEX($X$3:$X$102,MATCH(A13,$W$3:$W$102,0)),""))</f>
        <v/>
      </c>
      <c r="E13">
        <f>IF(A13="","",IF(D13="","결석",IF(IFERROR(INDEX($Y$3:$Y$102,MATCH(A13,$W$3:$W$102,0)),"")="비경쟁","비경쟁 응시","응시")))</f>
        <v/>
      </c>
      <c r="F13">
        <f>IF(A13="","",IF(COUNTIF($W$3:$W$102,A13)&gt;1,"중복! 확인",""))</f>
        <v/>
      </c>
      <c r="G13">
        <f>IF(A13="","",IF(ISNUMBER(D13),D13,IF(ISNUMBER(평가B!F13),평가B!F13,IF(ISNUMBER(평가C!G13),평가C!G13,""))))</f>
        <v/>
      </c>
      <c r="H13">
        <f>IF(A13="","",IF(ISNUMBER(D13),"평가A",IF(ISNUMBER(평가B!F13),"첫 응시(평가B)",IF(ISNUMBER(평가C!G13),"첫 응시(평가C)","기준 없음"))))</f>
        <v/>
      </c>
      <c r="I13">
        <f>IF(A13="","",IF(ISNUMBER(D13),C13,IF(ISNUMBER(평가B!F13),평가B!D13,IF(ISNUMBER(평가C!G13),평가C!E13,""))))</f>
        <v/>
      </c>
      <c r="J13">
        <f>IF(A13="","",진단!D13)</f>
        <v/>
      </c>
      <c r="K13">
        <f>IF(A13="","",IF(AND(ISNUMBER(D13),ISNUMBER(J13)),ROUND(J13-D13,1),""))</f>
        <v/>
      </c>
      <c r="L13">
        <f>IF(A13="","",IF(ISNUMBER(K13),IF(K13&gt;=DIAG_GAP,"교수 확인",""),""))</f>
        <v/>
      </c>
      <c r="M13">
        <f>IF(A13="","",IF(AND(NOT(ISNUMBER(D13)),NOT(ISNUMBER(J13))),"",ROUND((IF(ISNUMBER(D13),D13*EVAL_ITEMS,0)+IF(ISNUMBER(J13),J13*DIAG_ITEMS,0))/(IF(ISNUMBER(D13),EVAL_ITEMS,0)+IF(ISNUMBER(J13),DIAG_ITEMS,0)),1)))</f>
        <v/>
      </c>
      <c r="R13" s="3" t="n"/>
      <c r="S13" s="3" t="n"/>
      <c r="T13" s="3" t="n"/>
      <c r="U13" s="3" t="n"/>
      <c r="W13">
        <f>IF(UPPER(TRIM(R13&amp;""))="","",IF(RIGHT(UPPER(TRIM(R13&amp;"")),2)="-N",TRIM(LEFT(UPPER(TRIM(R13&amp;"")),LEN(UPPER(TRIM(R13&amp;"")))-2)),UPPER(TRIM(R13&amp;""))))</f>
        <v/>
      </c>
      <c r="X13">
        <f>IF(W13="","",IF(ISNUMBER(U13),ROUND(U13,1),IF(AND(ISNUMBER(S13),ISNUMBER(T13)),IF(T13&gt;0,ROUND(S13/T13*100,1),""),"")))</f>
        <v/>
      </c>
      <c r="Y13">
        <f>IF(W13="","",IF(RIGHT(UPPER(TRIM(R13&amp;"")),2)="-N","비경쟁",""))</f>
        <v/>
      </c>
      <c r="Z13">
        <f>IF(W13="","",IF(COUNTIF(참가자!$A$3:$A$52,W13)=0,"명단에 없는 코드",""))</f>
        <v/>
      </c>
      <c r="AA13">
        <f>IF(W13="","",IF(ISNUMBER(U13),ROUND(U13*EVAL_ITEMS/100,1),IF(AND(ISNUMBER(S13),ISNUMBER(T13)),IF(T13&gt;0,S13,""),"")))</f>
        <v/>
      </c>
    </row>
    <row r="14">
      <c r="A14">
        <f>IF(참가자!A14="","",UPPER(TRIM(참가자!A14)))</f>
        <v/>
      </c>
      <c r="B14">
        <f>IF(A14="","",IF(참가자!B14="","(팀 없음)",TRIM(참가자!B14)))</f>
        <v/>
      </c>
      <c r="C14">
        <f>IF(A14="","",IFERROR(INDEX($AA$3:$AA$102,MATCH(A14,$W$3:$W$102,0)),""))</f>
        <v/>
      </c>
      <c r="D14">
        <f>IF(A14="","",IFERROR(INDEX($X$3:$X$102,MATCH(A14,$W$3:$W$102,0)),""))</f>
        <v/>
      </c>
      <c r="E14">
        <f>IF(A14="","",IF(D14="","결석",IF(IFERROR(INDEX($Y$3:$Y$102,MATCH(A14,$W$3:$W$102,0)),"")="비경쟁","비경쟁 응시","응시")))</f>
        <v/>
      </c>
      <c r="F14">
        <f>IF(A14="","",IF(COUNTIF($W$3:$W$102,A14)&gt;1,"중복! 확인",""))</f>
        <v/>
      </c>
      <c r="G14">
        <f>IF(A14="","",IF(ISNUMBER(D14),D14,IF(ISNUMBER(평가B!F14),평가B!F14,IF(ISNUMBER(평가C!G14),평가C!G14,""))))</f>
        <v/>
      </c>
      <c r="H14">
        <f>IF(A14="","",IF(ISNUMBER(D14),"평가A",IF(ISNUMBER(평가B!F14),"첫 응시(평가B)",IF(ISNUMBER(평가C!G14),"첫 응시(평가C)","기준 없음"))))</f>
        <v/>
      </c>
      <c r="I14">
        <f>IF(A14="","",IF(ISNUMBER(D14),C14,IF(ISNUMBER(평가B!F14),평가B!D14,IF(ISNUMBER(평가C!G14),평가C!E14,""))))</f>
        <v/>
      </c>
      <c r="J14">
        <f>IF(A14="","",진단!D14)</f>
        <v/>
      </c>
      <c r="K14">
        <f>IF(A14="","",IF(AND(ISNUMBER(D14),ISNUMBER(J14)),ROUND(J14-D14,1),""))</f>
        <v/>
      </c>
      <c r="L14">
        <f>IF(A14="","",IF(ISNUMBER(K14),IF(K14&gt;=DIAG_GAP,"교수 확인",""),""))</f>
        <v/>
      </c>
      <c r="M14">
        <f>IF(A14="","",IF(AND(NOT(ISNUMBER(D14)),NOT(ISNUMBER(J14))),"",ROUND((IF(ISNUMBER(D14),D14*EVAL_ITEMS,0)+IF(ISNUMBER(J14),J14*DIAG_ITEMS,0))/(IF(ISNUMBER(D14),EVAL_ITEMS,0)+IF(ISNUMBER(J14),DIAG_ITEMS,0)),1)))</f>
        <v/>
      </c>
      <c r="R14" s="3" t="n"/>
      <c r="S14" s="3" t="n"/>
      <c r="T14" s="3" t="n"/>
      <c r="U14" s="3" t="n"/>
      <c r="W14">
        <f>IF(UPPER(TRIM(R14&amp;""))="","",IF(RIGHT(UPPER(TRIM(R14&amp;"")),2)="-N",TRIM(LEFT(UPPER(TRIM(R14&amp;"")),LEN(UPPER(TRIM(R14&amp;"")))-2)),UPPER(TRIM(R14&amp;""))))</f>
        <v/>
      </c>
      <c r="X14">
        <f>IF(W14="","",IF(ISNUMBER(U14),ROUND(U14,1),IF(AND(ISNUMBER(S14),ISNUMBER(T14)),IF(T14&gt;0,ROUND(S14/T14*100,1),""),"")))</f>
        <v/>
      </c>
      <c r="Y14">
        <f>IF(W14="","",IF(RIGHT(UPPER(TRIM(R14&amp;"")),2)="-N","비경쟁",""))</f>
        <v/>
      </c>
      <c r="Z14">
        <f>IF(W14="","",IF(COUNTIF(참가자!$A$3:$A$52,W14)=0,"명단에 없는 코드",""))</f>
        <v/>
      </c>
      <c r="AA14">
        <f>IF(W14="","",IF(ISNUMBER(U14),ROUND(U14*EVAL_ITEMS/100,1),IF(AND(ISNUMBER(S14),ISNUMBER(T14)),IF(T14&gt;0,S14,""),"")))</f>
        <v/>
      </c>
    </row>
    <row r="15">
      <c r="A15">
        <f>IF(참가자!A15="","",UPPER(TRIM(참가자!A15)))</f>
        <v/>
      </c>
      <c r="B15">
        <f>IF(A15="","",IF(참가자!B15="","(팀 없음)",TRIM(참가자!B15)))</f>
        <v/>
      </c>
      <c r="C15">
        <f>IF(A15="","",IFERROR(INDEX($AA$3:$AA$102,MATCH(A15,$W$3:$W$102,0)),""))</f>
        <v/>
      </c>
      <c r="D15">
        <f>IF(A15="","",IFERROR(INDEX($X$3:$X$102,MATCH(A15,$W$3:$W$102,0)),""))</f>
        <v/>
      </c>
      <c r="E15">
        <f>IF(A15="","",IF(D15="","결석",IF(IFERROR(INDEX($Y$3:$Y$102,MATCH(A15,$W$3:$W$102,0)),"")="비경쟁","비경쟁 응시","응시")))</f>
        <v/>
      </c>
      <c r="F15">
        <f>IF(A15="","",IF(COUNTIF($W$3:$W$102,A15)&gt;1,"중복! 확인",""))</f>
        <v/>
      </c>
      <c r="G15">
        <f>IF(A15="","",IF(ISNUMBER(D15),D15,IF(ISNUMBER(평가B!F15),평가B!F15,IF(ISNUMBER(평가C!G15),평가C!G15,""))))</f>
        <v/>
      </c>
      <c r="H15">
        <f>IF(A15="","",IF(ISNUMBER(D15),"평가A",IF(ISNUMBER(평가B!F15),"첫 응시(평가B)",IF(ISNUMBER(평가C!G15),"첫 응시(평가C)","기준 없음"))))</f>
        <v/>
      </c>
      <c r="I15">
        <f>IF(A15="","",IF(ISNUMBER(D15),C15,IF(ISNUMBER(평가B!F15),평가B!D15,IF(ISNUMBER(평가C!G15),평가C!E15,""))))</f>
        <v/>
      </c>
      <c r="J15">
        <f>IF(A15="","",진단!D15)</f>
        <v/>
      </c>
      <c r="K15">
        <f>IF(A15="","",IF(AND(ISNUMBER(D15),ISNUMBER(J15)),ROUND(J15-D15,1),""))</f>
        <v/>
      </c>
      <c r="L15">
        <f>IF(A15="","",IF(ISNUMBER(K15),IF(K15&gt;=DIAG_GAP,"교수 확인",""),""))</f>
        <v/>
      </c>
      <c r="M15">
        <f>IF(A15="","",IF(AND(NOT(ISNUMBER(D15)),NOT(ISNUMBER(J15))),"",ROUND((IF(ISNUMBER(D15),D15*EVAL_ITEMS,0)+IF(ISNUMBER(J15),J15*DIAG_ITEMS,0))/(IF(ISNUMBER(D15),EVAL_ITEMS,0)+IF(ISNUMBER(J15),DIAG_ITEMS,0)),1)))</f>
        <v/>
      </c>
      <c r="R15" s="3" t="n"/>
      <c r="S15" s="3" t="n"/>
      <c r="T15" s="3" t="n"/>
      <c r="U15" s="3" t="n"/>
      <c r="W15">
        <f>IF(UPPER(TRIM(R15&amp;""))="","",IF(RIGHT(UPPER(TRIM(R15&amp;"")),2)="-N",TRIM(LEFT(UPPER(TRIM(R15&amp;"")),LEN(UPPER(TRIM(R15&amp;"")))-2)),UPPER(TRIM(R15&amp;""))))</f>
        <v/>
      </c>
      <c r="X15">
        <f>IF(W15="","",IF(ISNUMBER(U15),ROUND(U15,1),IF(AND(ISNUMBER(S15),ISNUMBER(T15)),IF(T15&gt;0,ROUND(S15/T15*100,1),""),"")))</f>
        <v/>
      </c>
      <c r="Y15">
        <f>IF(W15="","",IF(RIGHT(UPPER(TRIM(R15&amp;"")),2)="-N","비경쟁",""))</f>
        <v/>
      </c>
      <c r="Z15">
        <f>IF(W15="","",IF(COUNTIF(참가자!$A$3:$A$52,W15)=0,"명단에 없는 코드",""))</f>
        <v/>
      </c>
      <c r="AA15">
        <f>IF(W15="","",IF(ISNUMBER(U15),ROUND(U15*EVAL_ITEMS/100,1),IF(AND(ISNUMBER(S15),ISNUMBER(T15)),IF(T15&gt;0,S15,""),"")))</f>
        <v/>
      </c>
    </row>
    <row r="16">
      <c r="A16">
        <f>IF(참가자!A16="","",UPPER(TRIM(참가자!A16)))</f>
        <v/>
      </c>
      <c r="B16">
        <f>IF(A16="","",IF(참가자!B16="","(팀 없음)",TRIM(참가자!B16)))</f>
        <v/>
      </c>
      <c r="C16">
        <f>IF(A16="","",IFERROR(INDEX($AA$3:$AA$102,MATCH(A16,$W$3:$W$102,0)),""))</f>
        <v/>
      </c>
      <c r="D16">
        <f>IF(A16="","",IFERROR(INDEX($X$3:$X$102,MATCH(A16,$W$3:$W$102,0)),""))</f>
        <v/>
      </c>
      <c r="E16">
        <f>IF(A16="","",IF(D16="","결석",IF(IFERROR(INDEX($Y$3:$Y$102,MATCH(A16,$W$3:$W$102,0)),"")="비경쟁","비경쟁 응시","응시")))</f>
        <v/>
      </c>
      <c r="F16">
        <f>IF(A16="","",IF(COUNTIF($W$3:$W$102,A16)&gt;1,"중복! 확인",""))</f>
        <v/>
      </c>
      <c r="G16">
        <f>IF(A16="","",IF(ISNUMBER(D16),D16,IF(ISNUMBER(평가B!F16),평가B!F16,IF(ISNUMBER(평가C!G16),평가C!G16,""))))</f>
        <v/>
      </c>
      <c r="H16">
        <f>IF(A16="","",IF(ISNUMBER(D16),"평가A",IF(ISNUMBER(평가B!F16),"첫 응시(평가B)",IF(ISNUMBER(평가C!G16),"첫 응시(평가C)","기준 없음"))))</f>
        <v/>
      </c>
      <c r="I16">
        <f>IF(A16="","",IF(ISNUMBER(D16),C16,IF(ISNUMBER(평가B!F16),평가B!D16,IF(ISNUMBER(평가C!G16),평가C!E16,""))))</f>
        <v/>
      </c>
      <c r="J16">
        <f>IF(A16="","",진단!D16)</f>
        <v/>
      </c>
      <c r="K16">
        <f>IF(A16="","",IF(AND(ISNUMBER(D16),ISNUMBER(J16)),ROUND(J16-D16,1),""))</f>
        <v/>
      </c>
      <c r="L16">
        <f>IF(A16="","",IF(ISNUMBER(K16),IF(K16&gt;=DIAG_GAP,"교수 확인",""),""))</f>
        <v/>
      </c>
      <c r="M16">
        <f>IF(A16="","",IF(AND(NOT(ISNUMBER(D16)),NOT(ISNUMBER(J16))),"",ROUND((IF(ISNUMBER(D16),D16*EVAL_ITEMS,0)+IF(ISNUMBER(J16),J16*DIAG_ITEMS,0))/(IF(ISNUMBER(D16),EVAL_ITEMS,0)+IF(ISNUMBER(J16),DIAG_ITEMS,0)),1)))</f>
        <v/>
      </c>
      <c r="R16" s="3" t="n"/>
      <c r="S16" s="3" t="n"/>
      <c r="T16" s="3" t="n"/>
      <c r="U16" s="3" t="n"/>
      <c r="W16">
        <f>IF(UPPER(TRIM(R16&amp;""))="","",IF(RIGHT(UPPER(TRIM(R16&amp;"")),2)="-N",TRIM(LEFT(UPPER(TRIM(R16&amp;"")),LEN(UPPER(TRIM(R16&amp;"")))-2)),UPPER(TRIM(R16&amp;""))))</f>
        <v/>
      </c>
      <c r="X16">
        <f>IF(W16="","",IF(ISNUMBER(U16),ROUND(U16,1),IF(AND(ISNUMBER(S16),ISNUMBER(T16)),IF(T16&gt;0,ROUND(S16/T16*100,1),""),"")))</f>
        <v/>
      </c>
      <c r="Y16">
        <f>IF(W16="","",IF(RIGHT(UPPER(TRIM(R16&amp;"")),2)="-N","비경쟁",""))</f>
        <v/>
      </c>
      <c r="Z16">
        <f>IF(W16="","",IF(COUNTIF(참가자!$A$3:$A$52,W16)=0,"명단에 없는 코드",""))</f>
        <v/>
      </c>
      <c r="AA16">
        <f>IF(W16="","",IF(ISNUMBER(U16),ROUND(U16*EVAL_ITEMS/100,1),IF(AND(ISNUMBER(S16),ISNUMBER(T16)),IF(T16&gt;0,S16,""),"")))</f>
        <v/>
      </c>
    </row>
    <row r="17">
      <c r="A17">
        <f>IF(참가자!A17="","",UPPER(TRIM(참가자!A17)))</f>
        <v/>
      </c>
      <c r="B17">
        <f>IF(A17="","",IF(참가자!B17="","(팀 없음)",TRIM(참가자!B17)))</f>
        <v/>
      </c>
      <c r="C17">
        <f>IF(A17="","",IFERROR(INDEX($AA$3:$AA$102,MATCH(A17,$W$3:$W$102,0)),""))</f>
        <v/>
      </c>
      <c r="D17">
        <f>IF(A17="","",IFERROR(INDEX($X$3:$X$102,MATCH(A17,$W$3:$W$102,0)),""))</f>
        <v/>
      </c>
      <c r="E17">
        <f>IF(A17="","",IF(D17="","결석",IF(IFERROR(INDEX($Y$3:$Y$102,MATCH(A17,$W$3:$W$102,0)),"")="비경쟁","비경쟁 응시","응시")))</f>
        <v/>
      </c>
      <c r="F17">
        <f>IF(A17="","",IF(COUNTIF($W$3:$W$102,A17)&gt;1,"중복! 확인",""))</f>
        <v/>
      </c>
      <c r="G17">
        <f>IF(A17="","",IF(ISNUMBER(D17),D17,IF(ISNUMBER(평가B!F17),평가B!F17,IF(ISNUMBER(평가C!G17),평가C!G17,""))))</f>
        <v/>
      </c>
      <c r="H17">
        <f>IF(A17="","",IF(ISNUMBER(D17),"평가A",IF(ISNUMBER(평가B!F17),"첫 응시(평가B)",IF(ISNUMBER(평가C!G17),"첫 응시(평가C)","기준 없음"))))</f>
        <v/>
      </c>
      <c r="I17">
        <f>IF(A17="","",IF(ISNUMBER(D17),C17,IF(ISNUMBER(평가B!F17),평가B!D17,IF(ISNUMBER(평가C!G17),평가C!E17,""))))</f>
        <v/>
      </c>
      <c r="J17">
        <f>IF(A17="","",진단!D17)</f>
        <v/>
      </c>
      <c r="K17">
        <f>IF(A17="","",IF(AND(ISNUMBER(D17),ISNUMBER(J17)),ROUND(J17-D17,1),""))</f>
        <v/>
      </c>
      <c r="L17">
        <f>IF(A17="","",IF(ISNUMBER(K17),IF(K17&gt;=DIAG_GAP,"교수 확인",""),""))</f>
        <v/>
      </c>
      <c r="M17">
        <f>IF(A17="","",IF(AND(NOT(ISNUMBER(D17)),NOT(ISNUMBER(J17))),"",ROUND((IF(ISNUMBER(D17),D17*EVAL_ITEMS,0)+IF(ISNUMBER(J17),J17*DIAG_ITEMS,0))/(IF(ISNUMBER(D17),EVAL_ITEMS,0)+IF(ISNUMBER(J17),DIAG_ITEMS,0)),1)))</f>
        <v/>
      </c>
      <c r="R17" s="3" t="n"/>
      <c r="S17" s="3" t="n"/>
      <c r="T17" s="3" t="n"/>
      <c r="U17" s="3" t="n"/>
      <c r="W17">
        <f>IF(UPPER(TRIM(R17&amp;""))="","",IF(RIGHT(UPPER(TRIM(R17&amp;"")),2)="-N",TRIM(LEFT(UPPER(TRIM(R17&amp;"")),LEN(UPPER(TRIM(R17&amp;"")))-2)),UPPER(TRIM(R17&amp;""))))</f>
        <v/>
      </c>
      <c r="X17">
        <f>IF(W17="","",IF(ISNUMBER(U17),ROUND(U17,1),IF(AND(ISNUMBER(S17),ISNUMBER(T17)),IF(T17&gt;0,ROUND(S17/T17*100,1),""),"")))</f>
        <v/>
      </c>
      <c r="Y17">
        <f>IF(W17="","",IF(RIGHT(UPPER(TRIM(R17&amp;"")),2)="-N","비경쟁",""))</f>
        <v/>
      </c>
      <c r="Z17">
        <f>IF(W17="","",IF(COUNTIF(참가자!$A$3:$A$52,W17)=0,"명단에 없는 코드",""))</f>
        <v/>
      </c>
      <c r="AA17">
        <f>IF(W17="","",IF(ISNUMBER(U17),ROUND(U17*EVAL_ITEMS/100,1),IF(AND(ISNUMBER(S17),ISNUMBER(T17)),IF(T17&gt;0,S17,""),"")))</f>
        <v/>
      </c>
    </row>
    <row r="18">
      <c r="A18">
        <f>IF(참가자!A18="","",UPPER(TRIM(참가자!A18)))</f>
        <v/>
      </c>
      <c r="B18">
        <f>IF(A18="","",IF(참가자!B18="","(팀 없음)",TRIM(참가자!B18)))</f>
        <v/>
      </c>
      <c r="C18">
        <f>IF(A18="","",IFERROR(INDEX($AA$3:$AA$102,MATCH(A18,$W$3:$W$102,0)),""))</f>
        <v/>
      </c>
      <c r="D18">
        <f>IF(A18="","",IFERROR(INDEX($X$3:$X$102,MATCH(A18,$W$3:$W$102,0)),""))</f>
        <v/>
      </c>
      <c r="E18">
        <f>IF(A18="","",IF(D18="","결석",IF(IFERROR(INDEX($Y$3:$Y$102,MATCH(A18,$W$3:$W$102,0)),"")="비경쟁","비경쟁 응시","응시")))</f>
        <v/>
      </c>
      <c r="F18">
        <f>IF(A18="","",IF(COUNTIF($W$3:$W$102,A18)&gt;1,"중복! 확인",""))</f>
        <v/>
      </c>
      <c r="G18">
        <f>IF(A18="","",IF(ISNUMBER(D18),D18,IF(ISNUMBER(평가B!F18),평가B!F18,IF(ISNUMBER(평가C!G18),평가C!G18,""))))</f>
        <v/>
      </c>
      <c r="H18">
        <f>IF(A18="","",IF(ISNUMBER(D18),"평가A",IF(ISNUMBER(평가B!F18),"첫 응시(평가B)",IF(ISNUMBER(평가C!G18),"첫 응시(평가C)","기준 없음"))))</f>
        <v/>
      </c>
      <c r="I18">
        <f>IF(A18="","",IF(ISNUMBER(D18),C18,IF(ISNUMBER(평가B!F18),평가B!D18,IF(ISNUMBER(평가C!G18),평가C!E18,""))))</f>
        <v/>
      </c>
      <c r="J18">
        <f>IF(A18="","",진단!D18)</f>
        <v/>
      </c>
      <c r="K18">
        <f>IF(A18="","",IF(AND(ISNUMBER(D18),ISNUMBER(J18)),ROUND(J18-D18,1),""))</f>
        <v/>
      </c>
      <c r="L18">
        <f>IF(A18="","",IF(ISNUMBER(K18),IF(K18&gt;=DIAG_GAP,"교수 확인",""),""))</f>
        <v/>
      </c>
      <c r="M18">
        <f>IF(A18="","",IF(AND(NOT(ISNUMBER(D18)),NOT(ISNUMBER(J18))),"",ROUND((IF(ISNUMBER(D18),D18*EVAL_ITEMS,0)+IF(ISNUMBER(J18),J18*DIAG_ITEMS,0))/(IF(ISNUMBER(D18),EVAL_ITEMS,0)+IF(ISNUMBER(J18),DIAG_ITEMS,0)),1)))</f>
        <v/>
      </c>
      <c r="R18" s="3" t="n"/>
      <c r="S18" s="3" t="n"/>
      <c r="T18" s="3" t="n"/>
      <c r="U18" s="3" t="n"/>
      <c r="W18">
        <f>IF(UPPER(TRIM(R18&amp;""))="","",IF(RIGHT(UPPER(TRIM(R18&amp;"")),2)="-N",TRIM(LEFT(UPPER(TRIM(R18&amp;"")),LEN(UPPER(TRIM(R18&amp;"")))-2)),UPPER(TRIM(R18&amp;""))))</f>
        <v/>
      </c>
      <c r="X18">
        <f>IF(W18="","",IF(ISNUMBER(U18),ROUND(U18,1),IF(AND(ISNUMBER(S18),ISNUMBER(T18)),IF(T18&gt;0,ROUND(S18/T18*100,1),""),"")))</f>
        <v/>
      </c>
      <c r="Y18">
        <f>IF(W18="","",IF(RIGHT(UPPER(TRIM(R18&amp;"")),2)="-N","비경쟁",""))</f>
        <v/>
      </c>
      <c r="Z18">
        <f>IF(W18="","",IF(COUNTIF(참가자!$A$3:$A$52,W18)=0,"명단에 없는 코드",""))</f>
        <v/>
      </c>
      <c r="AA18">
        <f>IF(W18="","",IF(ISNUMBER(U18),ROUND(U18*EVAL_ITEMS/100,1),IF(AND(ISNUMBER(S18),ISNUMBER(T18)),IF(T18&gt;0,S18,""),"")))</f>
        <v/>
      </c>
    </row>
    <row r="19">
      <c r="A19">
        <f>IF(참가자!A19="","",UPPER(TRIM(참가자!A19)))</f>
        <v/>
      </c>
      <c r="B19">
        <f>IF(A19="","",IF(참가자!B19="","(팀 없음)",TRIM(참가자!B19)))</f>
        <v/>
      </c>
      <c r="C19">
        <f>IF(A19="","",IFERROR(INDEX($AA$3:$AA$102,MATCH(A19,$W$3:$W$102,0)),""))</f>
        <v/>
      </c>
      <c r="D19">
        <f>IF(A19="","",IFERROR(INDEX($X$3:$X$102,MATCH(A19,$W$3:$W$102,0)),""))</f>
        <v/>
      </c>
      <c r="E19">
        <f>IF(A19="","",IF(D19="","결석",IF(IFERROR(INDEX($Y$3:$Y$102,MATCH(A19,$W$3:$W$102,0)),"")="비경쟁","비경쟁 응시","응시")))</f>
        <v/>
      </c>
      <c r="F19">
        <f>IF(A19="","",IF(COUNTIF($W$3:$W$102,A19)&gt;1,"중복! 확인",""))</f>
        <v/>
      </c>
      <c r="G19">
        <f>IF(A19="","",IF(ISNUMBER(D19),D19,IF(ISNUMBER(평가B!F19),평가B!F19,IF(ISNUMBER(평가C!G19),평가C!G19,""))))</f>
        <v/>
      </c>
      <c r="H19">
        <f>IF(A19="","",IF(ISNUMBER(D19),"평가A",IF(ISNUMBER(평가B!F19),"첫 응시(평가B)",IF(ISNUMBER(평가C!G19),"첫 응시(평가C)","기준 없음"))))</f>
        <v/>
      </c>
      <c r="I19">
        <f>IF(A19="","",IF(ISNUMBER(D19),C19,IF(ISNUMBER(평가B!F19),평가B!D19,IF(ISNUMBER(평가C!G19),평가C!E19,""))))</f>
        <v/>
      </c>
      <c r="J19">
        <f>IF(A19="","",진단!D19)</f>
        <v/>
      </c>
      <c r="K19">
        <f>IF(A19="","",IF(AND(ISNUMBER(D19),ISNUMBER(J19)),ROUND(J19-D19,1),""))</f>
        <v/>
      </c>
      <c r="L19">
        <f>IF(A19="","",IF(ISNUMBER(K19),IF(K19&gt;=DIAG_GAP,"교수 확인",""),""))</f>
        <v/>
      </c>
      <c r="M19">
        <f>IF(A19="","",IF(AND(NOT(ISNUMBER(D19)),NOT(ISNUMBER(J19))),"",ROUND((IF(ISNUMBER(D19),D19*EVAL_ITEMS,0)+IF(ISNUMBER(J19),J19*DIAG_ITEMS,0))/(IF(ISNUMBER(D19),EVAL_ITEMS,0)+IF(ISNUMBER(J19),DIAG_ITEMS,0)),1)))</f>
        <v/>
      </c>
      <c r="R19" s="3" t="n"/>
      <c r="S19" s="3" t="n"/>
      <c r="T19" s="3" t="n"/>
      <c r="U19" s="3" t="n"/>
      <c r="W19">
        <f>IF(UPPER(TRIM(R19&amp;""))="","",IF(RIGHT(UPPER(TRIM(R19&amp;"")),2)="-N",TRIM(LEFT(UPPER(TRIM(R19&amp;"")),LEN(UPPER(TRIM(R19&amp;"")))-2)),UPPER(TRIM(R19&amp;""))))</f>
        <v/>
      </c>
      <c r="X19">
        <f>IF(W19="","",IF(ISNUMBER(U19),ROUND(U19,1),IF(AND(ISNUMBER(S19),ISNUMBER(T19)),IF(T19&gt;0,ROUND(S19/T19*100,1),""),"")))</f>
        <v/>
      </c>
      <c r="Y19">
        <f>IF(W19="","",IF(RIGHT(UPPER(TRIM(R19&amp;"")),2)="-N","비경쟁",""))</f>
        <v/>
      </c>
      <c r="Z19">
        <f>IF(W19="","",IF(COUNTIF(참가자!$A$3:$A$52,W19)=0,"명단에 없는 코드",""))</f>
        <v/>
      </c>
      <c r="AA19">
        <f>IF(W19="","",IF(ISNUMBER(U19),ROUND(U19*EVAL_ITEMS/100,1),IF(AND(ISNUMBER(S19),ISNUMBER(T19)),IF(T19&gt;0,S19,""),"")))</f>
        <v/>
      </c>
    </row>
    <row r="20">
      <c r="A20">
        <f>IF(참가자!A20="","",UPPER(TRIM(참가자!A20)))</f>
        <v/>
      </c>
      <c r="B20">
        <f>IF(A20="","",IF(참가자!B20="","(팀 없음)",TRIM(참가자!B20)))</f>
        <v/>
      </c>
      <c r="C20">
        <f>IF(A20="","",IFERROR(INDEX($AA$3:$AA$102,MATCH(A20,$W$3:$W$102,0)),""))</f>
        <v/>
      </c>
      <c r="D20">
        <f>IF(A20="","",IFERROR(INDEX($X$3:$X$102,MATCH(A20,$W$3:$W$102,0)),""))</f>
        <v/>
      </c>
      <c r="E20">
        <f>IF(A20="","",IF(D20="","결석",IF(IFERROR(INDEX($Y$3:$Y$102,MATCH(A20,$W$3:$W$102,0)),"")="비경쟁","비경쟁 응시","응시")))</f>
        <v/>
      </c>
      <c r="F20">
        <f>IF(A20="","",IF(COUNTIF($W$3:$W$102,A20)&gt;1,"중복! 확인",""))</f>
        <v/>
      </c>
      <c r="G20">
        <f>IF(A20="","",IF(ISNUMBER(D20),D20,IF(ISNUMBER(평가B!F20),평가B!F20,IF(ISNUMBER(평가C!G20),평가C!G20,""))))</f>
        <v/>
      </c>
      <c r="H20">
        <f>IF(A20="","",IF(ISNUMBER(D20),"평가A",IF(ISNUMBER(평가B!F20),"첫 응시(평가B)",IF(ISNUMBER(평가C!G20),"첫 응시(평가C)","기준 없음"))))</f>
        <v/>
      </c>
      <c r="I20">
        <f>IF(A20="","",IF(ISNUMBER(D20),C20,IF(ISNUMBER(평가B!F20),평가B!D20,IF(ISNUMBER(평가C!G20),평가C!E20,""))))</f>
        <v/>
      </c>
      <c r="J20">
        <f>IF(A20="","",진단!D20)</f>
        <v/>
      </c>
      <c r="K20">
        <f>IF(A20="","",IF(AND(ISNUMBER(D20),ISNUMBER(J20)),ROUND(J20-D20,1),""))</f>
        <v/>
      </c>
      <c r="L20">
        <f>IF(A20="","",IF(ISNUMBER(K20),IF(K20&gt;=DIAG_GAP,"교수 확인",""),""))</f>
        <v/>
      </c>
      <c r="M20">
        <f>IF(A20="","",IF(AND(NOT(ISNUMBER(D20)),NOT(ISNUMBER(J20))),"",ROUND((IF(ISNUMBER(D20),D20*EVAL_ITEMS,0)+IF(ISNUMBER(J20),J20*DIAG_ITEMS,0))/(IF(ISNUMBER(D20),EVAL_ITEMS,0)+IF(ISNUMBER(J20),DIAG_ITEMS,0)),1)))</f>
        <v/>
      </c>
      <c r="R20" s="3" t="n"/>
      <c r="S20" s="3" t="n"/>
      <c r="T20" s="3" t="n"/>
      <c r="U20" s="3" t="n"/>
      <c r="W20">
        <f>IF(UPPER(TRIM(R20&amp;""))="","",IF(RIGHT(UPPER(TRIM(R20&amp;"")),2)="-N",TRIM(LEFT(UPPER(TRIM(R20&amp;"")),LEN(UPPER(TRIM(R20&amp;"")))-2)),UPPER(TRIM(R20&amp;""))))</f>
        <v/>
      </c>
      <c r="X20">
        <f>IF(W20="","",IF(ISNUMBER(U20),ROUND(U20,1),IF(AND(ISNUMBER(S20),ISNUMBER(T20)),IF(T20&gt;0,ROUND(S20/T20*100,1),""),"")))</f>
        <v/>
      </c>
      <c r="Y20">
        <f>IF(W20="","",IF(RIGHT(UPPER(TRIM(R20&amp;"")),2)="-N","비경쟁",""))</f>
        <v/>
      </c>
      <c r="Z20">
        <f>IF(W20="","",IF(COUNTIF(참가자!$A$3:$A$52,W20)=0,"명단에 없는 코드",""))</f>
        <v/>
      </c>
      <c r="AA20">
        <f>IF(W20="","",IF(ISNUMBER(U20),ROUND(U20*EVAL_ITEMS/100,1),IF(AND(ISNUMBER(S20),ISNUMBER(T20)),IF(T20&gt;0,S20,""),"")))</f>
        <v/>
      </c>
    </row>
    <row r="21">
      <c r="A21">
        <f>IF(참가자!A21="","",UPPER(TRIM(참가자!A21)))</f>
        <v/>
      </c>
      <c r="B21">
        <f>IF(A21="","",IF(참가자!B21="","(팀 없음)",TRIM(참가자!B21)))</f>
        <v/>
      </c>
      <c r="C21">
        <f>IF(A21="","",IFERROR(INDEX($AA$3:$AA$102,MATCH(A21,$W$3:$W$102,0)),""))</f>
        <v/>
      </c>
      <c r="D21">
        <f>IF(A21="","",IFERROR(INDEX($X$3:$X$102,MATCH(A21,$W$3:$W$102,0)),""))</f>
        <v/>
      </c>
      <c r="E21">
        <f>IF(A21="","",IF(D21="","결석",IF(IFERROR(INDEX($Y$3:$Y$102,MATCH(A21,$W$3:$W$102,0)),"")="비경쟁","비경쟁 응시","응시")))</f>
        <v/>
      </c>
      <c r="F21">
        <f>IF(A21="","",IF(COUNTIF($W$3:$W$102,A21)&gt;1,"중복! 확인",""))</f>
        <v/>
      </c>
      <c r="G21">
        <f>IF(A21="","",IF(ISNUMBER(D21),D21,IF(ISNUMBER(평가B!F21),평가B!F21,IF(ISNUMBER(평가C!G21),평가C!G21,""))))</f>
        <v/>
      </c>
      <c r="H21">
        <f>IF(A21="","",IF(ISNUMBER(D21),"평가A",IF(ISNUMBER(평가B!F21),"첫 응시(평가B)",IF(ISNUMBER(평가C!G21),"첫 응시(평가C)","기준 없음"))))</f>
        <v/>
      </c>
      <c r="I21">
        <f>IF(A21="","",IF(ISNUMBER(D21),C21,IF(ISNUMBER(평가B!F21),평가B!D21,IF(ISNUMBER(평가C!G21),평가C!E21,""))))</f>
        <v/>
      </c>
      <c r="J21">
        <f>IF(A21="","",진단!D21)</f>
        <v/>
      </c>
      <c r="K21">
        <f>IF(A21="","",IF(AND(ISNUMBER(D21),ISNUMBER(J21)),ROUND(J21-D21,1),""))</f>
        <v/>
      </c>
      <c r="L21">
        <f>IF(A21="","",IF(ISNUMBER(K21),IF(K21&gt;=DIAG_GAP,"교수 확인",""),""))</f>
        <v/>
      </c>
      <c r="M21">
        <f>IF(A21="","",IF(AND(NOT(ISNUMBER(D21)),NOT(ISNUMBER(J21))),"",ROUND((IF(ISNUMBER(D21),D21*EVAL_ITEMS,0)+IF(ISNUMBER(J21),J21*DIAG_ITEMS,0))/(IF(ISNUMBER(D21),EVAL_ITEMS,0)+IF(ISNUMBER(J21),DIAG_ITEMS,0)),1)))</f>
        <v/>
      </c>
      <c r="R21" s="3" t="n"/>
      <c r="S21" s="3" t="n"/>
      <c r="T21" s="3" t="n"/>
      <c r="U21" s="3" t="n"/>
      <c r="W21">
        <f>IF(UPPER(TRIM(R21&amp;""))="","",IF(RIGHT(UPPER(TRIM(R21&amp;"")),2)="-N",TRIM(LEFT(UPPER(TRIM(R21&amp;"")),LEN(UPPER(TRIM(R21&amp;"")))-2)),UPPER(TRIM(R21&amp;""))))</f>
        <v/>
      </c>
      <c r="X21">
        <f>IF(W21="","",IF(ISNUMBER(U21),ROUND(U21,1),IF(AND(ISNUMBER(S21),ISNUMBER(T21)),IF(T21&gt;0,ROUND(S21/T21*100,1),""),"")))</f>
        <v/>
      </c>
      <c r="Y21">
        <f>IF(W21="","",IF(RIGHT(UPPER(TRIM(R21&amp;"")),2)="-N","비경쟁",""))</f>
        <v/>
      </c>
      <c r="Z21">
        <f>IF(W21="","",IF(COUNTIF(참가자!$A$3:$A$52,W21)=0,"명단에 없는 코드",""))</f>
        <v/>
      </c>
      <c r="AA21">
        <f>IF(W21="","",IF(ISNUMBER(U21),ROUND(U21*EVAL_ITEMS/100,1),IF(AND(ISNUMBER(S21),ISNUMBER(T21)),IF(T21&gt;0,S21,""),"")))</f>
        <v/>
      </c>
    </row>
    <row r="22">
      <c r="A22">
        <f>IF(참가자!A22="","",UPPER(TRIM(참가자!A22)))</f>
        <v/>
      </c>
      <c r="B22">
        <f>IF(A22="","",IF(참가자!B22="","(팀 없음)",TRIM(참가자!B22)))</f>
        <v/>
      </c>
      <c r="C22">
        <f>IF(A22="","",IFERROR(INDEX($AA$3:$AA$102,MATCH(A22,$W$3:$W$102,0)),""))</f>
        <v/>
      </c>
      <c r="D22">
        <f>IF(A22="","",IFERROR(INDEX($X$3:$X$102,MATCH(A22,$W$3:$W$102,0)),""))</f>
        <v/>
      </c>
      <c r="E22">
        <f>IF(A22="","",IF(D22="","결석",IF(IFERROR(INDEX($Y$3:$Y$102,MATCH(A22,$W$3:$W$102,0)),"")="비경쟁","비경쟁 응시","응시")))</f>
        <v/>
      </c>
      <c r="F22">
        <f>IF(A22="","",IF(COUNTIF($W$3:$W$102,A22)&gt;1,"중복! 확인",""))</f>
        <v/>
      </c>
      <c r="G22">
        <f>IF(A22="","",IF(ISNUMBER(D22),D22,IF(ISNUMBER(평가B!F22),평가B!F22,IF(ISNUMBER(평가C!G22),평가C!G22,""))))</f>
        <v/>
      </c>
      <c r="H22">
        <f>IF(A22="","",IF(ISNUMBER(D22),"평가A",IF(ISNUMBER(평가B!F22),"첫 응시(평가B)",IF(ISNUMBER(평가C!G22),"첫 응시(평가C)","기준 없음"))))</f>
        <v/>
      </c>
      <c r="I22">
        <f>IF(A22="","",IF(ISNUMBER(D22),C22,IF(ISNUMBER(평가B!F22),평가B!D22,IF(ISNUMBER(평가C!G22),평가C!E22,""))))</f>
        <v/>
      </c>
      <c r="J22">
        <f>IF(A22="","",진단!D22)</f>
        <v/>
      </c>
      <c r="K22">
        <f>IF(A22="","",IF(AND(ISNUMBER(D22),ISNUMBER(J22)),ROUND(J22-D22,1),""))</f>
        <v/>
      </c>
      <c r="L22">
        <f>IF(A22="","",IF(ISNUMBER(K22),IF(K22&gt;=DIAG_GAP,"교수 확인",""),""))</f>
        <v/>
      </c>
      <c r="M22">
        <f>IF(A22="","",IF(AND(NOT(ISNUMBER(D22)),NOT(ISNUMBER(J22))),"",ROUND((IF(ISNUMBER(D22),D22*EVAL_ITEMS,0)+IF(ISNUMBER(J22),J22*DIAG_ITEMS,0))/(IF(ISNUMBER(D22),EVAL_ITEMS,0)+IF(ISNUMBER(J22),DIAG_ITEMS,0)),1)))</f>
        <v/>
      </c>
      <c r="R22" s="3" t="n"/>
      <c r="S22" s="3" t="n"/>
      <c r="T22" s="3" t="n"/>
      <c r="U22" s="3" t="n"/>
      <c r="W22">
        <f>IF(UPPER(TRIM(R22&amp;""))="","",IF(RIGHT(UPPER(TRIM(R22&amp;"")),2)="-N",TRIM(LEFT(UPPER(TRIM(R22&amp;"")),LEN(UPPER(TRIM(R22&amp;"")))-2)),UPPER(TRIM(R22&amp;""))))</f>
        <v/>
      </c>
      <c r="X22">
        <f>IF(W22="","",IF(ISNUMBER(U22),ROUND(U22,1),IF(AND(ISNUMBER(S22),ISNUMBER(T22)),IF(T22&gt;0,ROUND(S22/T22*100,1),""),"")))</f>
        <v/>
      </c>
      <c r="Y22">
        <f>IF(W22="","",IF(RIGHT(UPPER(TRIM(R22&amp;"")),2)="-N","비경쟁",""))</f>
        <v/>
      </c>
      <c r="Z22">
        <f>IF(W22="","",IF(COUNTIF(참가자!$A$3:$A$52,W22)=0,"명단에 없는 코드",""))</f>
        <v/>
      </c>
      <c r="AA22">
        <f>IF(W22="","",IF(ISNUMBER(U22),ROUND(U22*EVAL_ITEMS/100,1),IF(AND(ISNUMBER(S22),ISNUMBER(T22)),IF(T22&gt;0,S22,""),"")))</f>
        <v/>
      </c>
    </row>
    <row r="23">
      <c r="A23">
        <f>IF(참가자!A23="","",UPPER(TRIM(참가자!A23)))</f>
        <v/>
      </c>
      <c r="B23">
        <f>IF(A23="","",IF(참가자!B23="","(팀 없음)",TRIM(참가자!B23)))</f>
        <v/>
      </c>
      <c r="C23">
        <f>IF(A23="","",IFERROR(INDEX($AA$3:$AA$102,MATCH(A23,$W$3:$W$102,0)),""))</f>
        <v/>
      </c>
      <c r="D23">
        <f>IF(A23="","",IFERROR(INDEX($X$3:$X$102,MATCH(A23,$W$3:$W$102,0)),""))</f>
        <v/>
      </c>
      <c r="E23">
        <f>IF(A23="","",IF(D23="","결석",IF(IFERROR(INDEX($Y$3:$Y$102,MATCH(A23,$W$3:$W$102,0)),"")="비경쟁","비경쟁 응시","응시")))</f>
        <v/>
      </c>
      <c r="F23">
        <f>IF(A23="","",IF(COUNTIF($W$3:$W$102,A23)&gt;1,"중복! 확인",""))</f>
        <v/>
      </c>
      <c r="G23">
        <f>IF(A23="","",IF(ISNUMBER(D23),D23,IF(ISNUMBER(평가B!F23),평가B!F23,IF(ISNUMBER(평가C!G23),평가C!G23,""))))</f>
        <v/>
      </c>
      <c r="H23">
        <f>IF(A23="","",IF(ISNUMBER(D23),"평가A",IF(ISNUMBER(평가B!F23),"첫 응시(평가B)",IF(ISNUMBER(평가C!G23),"첫 응시(평가C)","기준 없음"))))</f>
        <v/>
      </c>
      <c r="I23">
        <f>IF(A23="","",IF(ISNUMBER(D23),C23,IF(ISNUMBER(평가B!F23),평가B!D23,IF(ISNUMBER(평가C!G23),평가C!E23,""))))</f>
        <v/>
      </c>
      <c r="J23">
        <f>IF(A23="","",진단!D23)</f>
        <v/>
      </c>
      <c r="K23">
        <f>IF(A23="","",IF(AND(ISNUMBER(D23),ISNUMBER(J23)),ROUND(J23-D23,1),""))</f>
        <v/>
      </c>
      <c r="L23">
        <f>IF(A23="","",IF(ISNUMBER(K23),IF(K23&gt;=DIAG_GAP,"교수 확인",""),""))</f>
        <v/>
      </c>
      <c r="M23">
        <f>IF(A23="","",IF(AND(NOT(ISNUMBER(D23)),NOT(ISNUMBER(J23))),"",ROUND((IF(ISNUMBER(D23),D23*EVAL_ITEMS,0)+IF(ISNUMBER(J23),J23*DIAG_ITEMS,0))/(IF(ISNUMBER(D23),EVAL_ITEMS,0)+IF(ISNUMBER(J23),DIAG_ITEMS,0)),1)))</f>
        <v/>
      </c>
      <c r="R23" s="3" t="n"/>
      <c r="S23" s="3" t="n"/>
      <c r="T23" s="3" t="n"/>
      <c r="U23" s="3" t="n"/>
      <c r="W23">
        <f>IF(UPPER(TRIM(R23&amp;""))="","",IF(RIGHT(UPPER(TRIM(R23&amp;"")),2)="-N",TRIM(LEFT(UPPER(TRIM(R23&amp;"")),LEN(UPPER(TRIM(R23&amp;"")))-2)),UPPER(TRIM(R23&amp;""))))</f>
        <v/>
      </c>
      <c r="X23">
        <f>IF(W23="","",IF(ISNUMBER(U23),ROUND(U23,1),IF(AND(ISNUMBER(S23),ISNUMBER(T23)),IF(T23&gt;0,ROUND(S23/T23*100,1),""),"")))</f>
        <v/>
      </c>
      <c r="Y23">
        <f>IF(W23="","",IF(RIGHT(UPPER(TRIM(R23&amp;"")),2)="-N","비경쟁",""))</f>
        <v/>
      </c>
      <c r="Z23">
        <f>IF(W23="","",IF(COUNTIF(참가자!$A$3:$A$52,W23)=0,"명단에 없는 코드",""))</f>
        <v/>
      </c>
      <c r="AA23">
        <f>IF(W23="","",IF(ISNUMBER(U23),ROUND(U23*EVAL_ITEMS/100,1),IF(AND(ISNUMBER(S23),ISNUMBER(T23)),IF(T23&gt;0,S23,""),"")))</f>
        <v/>
      </c>
    </row>
    <row r="24">
      <c r="A24">
        <f>IF(참가자!A24="","",UPPER(TRIM(참가자!A24)))</f>
        <v/>
      </c>
      <c r="B24">
        <f>IF(A24="","",IF(참가자!B24="","(팀 없음)",TRIM(참가자!B24)))</f>
        <v/>
      </c>
      <c r="C24">
        <f>IF(A24="","",IFERROR(INDEX($AA$3:$AA$102,MATCH(A24,$W$3:$W$102,0)),""))</f>
        <v/>
      </c>
      <c r="D24">
        <f>IF(A24="","",IFERROR(INDEX($X$3:$X$102,MATCH(A24,$W$3:$W$102,0)),""))</f>
        <v/>
      </c>
      <c r="E24">
        <f>IF(A24="","",IF(D24="","결석",IF(IFERROR(INDEX($Y$3:$Y$102,MATCH(A24,$W$3:$W$102,0)),"")="비경쟁","비경쟁 응시","응시")))</f>
        <v/>
      </c>
      <c r="F24">
        <f>IF(A24="","",IF(COUNTIF($W$3:$W$102,A24)&gt;1,"중복! 확인",""))</f>
        <v/>
      </c>
      <c r="G24">
        <f>IF(A24="","",IF(ISNUMBER(D24),D24,IF(ISNUMBER(평가B!F24),평가B!F24,IF(ISNUMBER(평가C!G24),평가C!G24,""))))</f>
        <v/>
      </c>
      <c r="H24">
        <f>IF(A24="","",IF(ISNUMBER(D24),"평가A",IF(ISNUMBER(평가B!F24),"첫 응시(평가B)",IF(ISNUMBER(평가C!G24),"첫 응시(평가C)","기준 없음"))))</f>
        <v/>
      </c>
      <c r="I24">
        <f>IF(A24="","",IF(ISNUMBER(D24),C24,IF(ISNUMBER(평가B!F24),평가B!D24,IF(ISNUMBER(평가C!G24),평가C!E24,""))))</f>
        <v/>
      </c>
      <c r="J24">
        <f>IF(A24="","",진단!D24)</f>
        <v/>
      </c>
      <c r="K24">
        <f>IF(A24="","",IF(AND(ISNUMBER(D24),ISNUMBER(J24)),ROUND(J24-D24,1),""))</f>
        <v/>
      </c>
      <c r="L24">
        <f>IF(A24="","",IF(ISNUMBER(K24),IF(K24&gt;=DIAG_GAP,"교수 확인",""),""))</f>
        <v/>
      </c>
      <c r="M24">
        <f>IF(A24="","",IF(AND(NOT(ISNUMBER(D24)),NOT(ISNUMBER(J24))),"",ROUND((IF(ISNUMBER(D24),D24*EVAL_ITEMS,0)+IF(ISNUMBER(J24),J24*DIAG_ITEMS,0))/(IF(ISNUMBER(D24),EVAL_ITEMS,0)+IF(ISNUMBER(J24),DIAG_ITEMS,0)),1)))</f>
        <v/>
      </c>
      <c r="R24" s="3" t="n"/>
      <c r="S24" s="3" t="n"/>
      <c r="T24" s="3" t="n"/>
      <c r="U24" s="3" t="n"/>
      <c r="W24">
        <f>IF(UPPER(TRIM(R24&amp;""))="","",IF(RIGHT(UPPER(TRIM(R24&amp;"")),2)="-N",TRIM(LEFT(UPPER(TRIM(R24&amp;"")),LEN(UPPER(TRIM(R24&amp;"")))-2)),UPPER(TRIM(R24&amp;""))))</f>
        <v/>
      </c>
      <c r="X24">
        <f>IF(W24="","",IF(ISNUMBER(U24),ROUND(U24,1),IF(AND(ISNUMBER(S24),ISNUMBER(T24)),IF(T24&gt;0,ROUND(S24/T24*100,1),""),"")))</f>
        <v/>
      </c>
      <c r="Y24">
        <f>IF(W24="","",IF(RIGHT(UPPER(TRIM(R24&amp;"")),2)="-N","비경쟁",""))</f>
        <v/>
      </c>
      <c r="Z24">
        <f>IF(W24="","",IF(COUNTIF(참가자!$A$3:$A$52,W24)=0,"명단에 없는 코드",""))</f>
        <v/>
      </c>
      <c r="AA24">
        <f>IF(W24="","",IF(ISNUMBER(U24),ROUND(U24*EVAL_ITEMS/100,1),IF(AND(ISNUMBER(S24),ISNUMBER(T24)),IF(T24&gt;0,S24,""),"")))</f>
        <v/>
      </c>
    </row>
    <row r="25">
      <c r="A25">
        <f>IF(참가자!A25="","",UPPER(TRIM(참가자!A25)))</f>
        <v/>
      </c>
      <c r="B25">
        <f>IF(A25="","",IF(참가자!B25="","(팀 없음)",TRIM(참가자!B25)))</f>
        <v/>
      </c>
      <c r="C25">
        <f>IF(A25="","",IFERROR(INDEX($AA$3:$AA$102,MATCH(A25,$W$3:$W$102,0)),""))</f>
        <v/>
      </c>
      <c r="D25">
        <f>IF(A25="","",IFERROR(INDEX($X$3:$X$102,MATCH(A25,$W$3:$W$102,0)),""))</f>
        <v/>
      </c>
      <c r="E25">
        <f>IF(A25="","",IF(D25="","결석",IF(IFERROR(INDEX($Y$3:$Y$102,MATCH(A25,$W$3:$W$102,0)),"")="비경쟁","비경쟁 응시","응시")))</f>
        <v/>
      </c>
      <c r="F25">
        <f>IF(A25="","",IF(COUNTIF($W$3:$W$102,A25)&gt;1,"중복! 확인",""))</f>
        <v/>
      </c>
      <c r="G25">
        <f>IF(A25="","",IF(ISNUMBER(D25),D25,IF(ISNUMBER(평가B!F25),평가B!F25,IF(ISNUMBER(평가C!G25),평가C!G25,""))))</f>
        <v/>
      </c>
      <c r="H25">
        <f>IF(A25="","",IF(ISNUMBER(D25),"평가A",IF(ISNUMBER(평가B!F25),"첫 응시(평가B)",IF(ISNUMBER(평가C!G25),"첫 응시(평가C)","기준 없음"))))</f>
        <v/>
      </c>
      <c r="I25">
        <f>IF(A25="","",IF(ISNUMBER(D25),C25,IF(ISNUMBER(평가B!F25),평가B!D25,IF(ISNUMBER(평가C!G25),평가C!E25,""))))</f>
        <v/>
      </c>
      <c r="J25">
        <f>IF(A25="","",진단!D25)</f>
        <v/>
      </c>
      <c r="K25">
        <f>IF(A25="","",IF(AND(ISNUMBER(D25),ISNUMBER(J25)),ROUND(J25-D25,1),""))</f>
        <v/>
      </c>
      <c r="L25">
        <f>IF(A25="","",IF(ISNUMBER(K25),IF(K25&gt;=DIAG_GAP,"교수 확인",""),""))</f>
        <v/>
      </c>
      <c r="M25">
        <f>IF(A25="","",IF(AND(NOT(ISNUMBER(D25)),NOT(ISNUMBER(J25))),"",ROUND((IF(ISNUMBER(D25),D25*EVAL_ITEMS,0)+IF(ISNUMBER(J25),J25*DIAG_ITEMS,0))/(IF(ISNUMBER(D25),EVAL_ITEMS,0)+IF(ISNUMBER(J25),DIAG_ITEMS,0)),1)))</f>
        <v/>
      </c>
      <c r="R25" s="3" t="n"/>
      <c r="S25" s="3" t="n"/>
      <c r="T25" s="3" t="n"/>
      <c r="U25" s="3" t="n"/>
      <c r="W25">
        <f>IF(UPPER(TRIM(R25&amp;""))="","",IF(RIGHT(UPPER(TRIM(R25&amp;"")),2)="-N",TRIM(LEFT(UPPER(TRIM(R25&amp;"")),LEN(UPPER(TRIM(R25&amp;"")))-2)),UPPER(TRIM(R25&amp;""))))</f>
        <v/>
      </c>
      <c r="X25">
        <f>IF(W25="","",IF(ISNUMBER(U25),ROUND(U25,1),IF(AND(ISNUMBER(S25),ISNUMBER(T25)),IF(T25&gt;0,ROUND(S25/T25*100,1),""),"")))</f>
        <v/>
      </c>
      <c r="Y25">
        <f>IF(W25="","",IF(RIGHT(UPPER(TRIM(R25&amp;"")),2)="-N","비경쟁",""))</f>
        <v/>
      </c>
      <c r="Z25">
        <f>IF(W25="","",IF(COUNTIF(참가자!$A$3:$A$52,W25)=0,"명단에 없는 코드",""))</f>
        <v/>
      </c>
      <c r="AA25">
        <f>IF(W25="","",IF(ISNUMBER(U25),ROUND(U25*EVAL_ITEMS/100,1),IF(AND(ISNUMBER(S25),ISNUMBER(T25)),IF(T25&gt;0,S25,""),"")))</f>
        <v/>
      </c>
    </row>
    <row r="26">
      <c r="A26">
        <f>IF(참가자!A26="","",UPPER(TRIM(참가자!A26)))</f>
        <v/>
      </c>
      <c r="B26">
        <f>IF(A26="","",IF(참가자!B26="","(팀 없음)",TRIM(참가자!B26)))</f>
        <v/>
      </c>
      <c r="C26">
        <f>IF(A26="","",IFERROR(INDEX($AA$3:$AA$102,MATCH(A26,$W$3:$W$102,0)),""))</f>
        <v/>
      </c>
      <c r="D26">
        <f>IF(A26="","",IFERROR(INDEX($X$3:$X$102,MATCH(A26,$W$3:$W$102,0)),""))</f>
        <v/>
      </c>
      <c r="E26">
        <f>IF(A26="","",IF(D26="","결석",IF(IFERROR(INDEX($Y$3:$Y$102,MATCH(A26,$W$3:$W$102,0)),"")="비경쟁","비경쟁 응시","응시")))</f>
        <v/>
      </c>
      <c r="F26">
        <f>IF(A26="","",IF(COUNTIF($W$3:$W$102,A26)&gt;1,"중복! 확인",""))</f>
        <v/>
      </c>
      <c r="G26">
        <f>IF(A26="","",IF(ISNUMBER(D26),D26,IF(ISNUMBER(평가B!F26),평가B!F26,IF(ISNUMBER(평가C!G26),평가C!G26,""))))</f>
        <v/>
      </c>
      <c r="H26">
        <f>IF(A26="","",IF(ISNUMBER(D26),"평가A",IF(ISNUMBER(평가B!F26),"첫 응시(평가B)",IF(ISNUMBER(평가C!G26),"첫 응시(평가C)","기준 없음"))))</f>
        <v/>
      </c>
      <c r="I26">
        <f>IF(A26="","",IF(ISNUMBER(D26),C26,IF(ISNUMBER(평가B!F26),평가B!D26,IF(ISNUMBER(평가C!G26),평가C!E26,""))))</f>
        <v/>
      </c>
      <c r="J26">
        <f>IF(A26="","",진단!D26)</f>
        <v/>
      </c>
      <c r="K26">
        <f>IF(A26="","",IF(AND(ISNUMBER(D26),ISNUMBER(J26)),ROUND(J26-D26,1),""))</f>
        <v/>
      </c>
      <c r="L26">
        <f>IF(A26="","",IF(ISNUMBER(K26),IF(K26&gt;=DIAG_GAP,"교수 확인",""),""))</f>
        <v/>
      </c>
      <c r="M26">
        <f>IF(A26="","",IF(AND(NOT(ISNUMBER(D26)),NOT(ISNUMBER(J26))),"",ROUND((IF(ISNUMBER(D26),D26*EVAL_ITEMS,0)+IF(ISNUMBER(J26),J26*DIAG_ITEMS,0))/(IF(ISNUMBER(D26),EVAL_ITEMS,0)+IF(ISNUMBER(J26),DIAG_ITEMS,0)),1)))</f>
        <v/>
      </c>
      <c r="R26" s="3" t="n"/>
      <c r="S26" s="3" t="n"/>
      <c r="T26" s="3" t="n"/>
      <c r="U26" s="3" t="n"/>
      <c r="W26">
        <f>IF(UPPER(TRIM(R26&amp;""))="","",IF(RIGHT(UPPER(TRIM(R26&amp;"")),2)="-N",TRIM(LEFT(UPPER(TRIM(R26&amp;"")),LEN(UPPER(TRIM(R26&amp;"")))-2)),UPPER(TRIM(R26&amp;""))))</f>
        <v/>
      </c>
      <c r="X26">
        <f>IF(W26="","",IF(ISNUMBER(U26),ROUND(U26,1),IF(AND(ISNUMBER(S26),ISNUMBER(T26)),IF(T26&gt;0,ROUND(S26/T26*100,1),""),"")))</f>
        <v/>
      </c>
      <c r="Y26">
        <f>IF(W26="","",IF(RIGHT(UPPER(TRIM(R26&amp;"")),2)="-N","비경쟁",""))</f>
        <v/>
      </c>
      <c r="Z26">
        <f>IF(W26="","",IF(COUNTIF(참가자!$A$3:$A$52,W26)=0,"명단에 없는 코드",""))</f>
        <v/>
      </c>
      <c r="AA26">
        <f>IF(W26="","",IF(ISNUMBER(U26),ROUND(U26*EVAL_ITEMS/100,1),IF(AND(ISNUMBER(S26),ISNUMBER(T26)),IF(T26&gt;0,S26,""),"")))</f>
        <v/>
      </c>
    </row>
    <row r="27">
      <c r="A27">
        <f>IF(참가자!A27="","",UPPER(TRIM(참가자!A27)))</f>
        <v/>
      </c>
      <c r="B27">
        <f>IF(A27="","",IF(참가자!B27="","(팀 없음)",TRIM(참가자!B27)))</f>
        <v/>
      </c>
      <c r="C27">
        <f>IF(A27="","",IFERROR(INDEX($AA$3:$AA$102,MATCH(A27,$W$3:$W$102,0)),""))</f>
        <v/>
      </c>
      <c r="D27">
        <f>IF(A27="","",IFERROR(INDEX($X$3:$X$102,MATCH(A27,$W$3:$W$102,0)),""))</f>
        <v/>
      </c>
      <c r="E27">
        <f>IF(A27="","",IF(D27="","결석",IF(IFERROR(INDEX($Y$3:$Y$102,MATCH(A27,$W$3:$W$102,0)),"")="비경쟁","비경쟁 응시","응시")))</f>
        <v/>
      </c>
      <c r="F27">
        <f>IF(A27="","",IF(COUNTIF($W$3:$W$102,A27)&gt;1,"중복! 확인",""))</f>
        <v/>
      </c>
      <c r="G27">
        <f>IF(A27="","",IF(ISNUMBER(D27),D27,IF(ISNUMBER(평가B!F27),평가B!F27,IF(ISNUMBER(평가C!G27),평가C!G27,""))))</f>
        <v/>
      </c>
      <c r="H27">
        <f>IF(A27="","",IF(ISNUMBER(D27),"평가A",IF(ISNUMBER(평가B!F27),"첫 응시(평가B)",IF(ISNUMBER(평가C!G27),"첫 응시(평가C)","기준 없음"))))</f>
        <v/>
      </c>
      <c r="I27">
        <f>IF(A27="","",IF(ISNUMBER(D27),C27,IF(ISNUMBER(평가B!F27),평가B!D27,IF(ISNUMBER(평가C!G27),평가C!E27,""))))</f>
        <v/>
      </c>
      <c r="J27">
        <f>IF(A27="","",진단!D27)</f>
        <v/>
      </c>
      <c r="K27">
        <f>IF(A27="","",IF(AND(ISNUMBER(D27),ISNUMBER(J27)),ROUND(J27-D27,1),""))</f>
        <v/>
      </c>
      <c r="L27">
        <f>IF(A27="","",IF(ISNUMBER(K27),IF(K27&gt;=DIAG_GAP,"교수 확인",""),""))</f>
        <v/>
      </c>
      <c r="M27">
        <f>IF(A27="","",IF(AND(NOT(ISNUMBER(D27)),NOT(ISNUMBER(J27))),"",ROUND((IF(ISNUMBER(D27),D27*EVAL_ITEMS,0)+IF(ISNUMBER(J27),J27*DIAG_ITEMS,0))/(IF(ISNUMBER(D27),EVAL_ITEMS,0)+IF(ISNUMBER(J27),DIAG_ITEMS,0)),1)))</f>
        <v/>
      </c>
      <c r="R27" s="3" t="n"/>
      <c r="S27" s="3" t="n"/>
      <c r="T27" s="3" t="n"/>
      <c r="U27" s="3" t="n"/>
      <c r="W27">
        <f>IF(UPPER(TRIM(R27&amp;""))="","",IF(RIGHT(UPPER(TRIM(R27&amp;"")),2)="-N",TRIM(LEFT(UPPER(TRIM(R27&amp;"")),LEN(UPPER(TRIM(R27&amp;"")))-2)),UPPER(TRIM(R27&amp;""))))</f>
        <v/>
      </c>
      <c r="X27">
        <f>IF(W27="","",IF(ISNUMBER(U27),ROUND(U27,1),IF(AND(ISNUMBER(S27),ISNUMBER(T27)),IF(T27&gt;0,ROUND(S27/T27*100,1),""),"")))</f>
        <v/>
      </c>
      <c r="Y27">
        <f>IF(W27="","",IF(RIGHT(UPPER(TRIM(R27&amp;"")),2)="-N","비경쟁",""))</f>
        <v/>
      </c>
      <c r="Z27">
        <f>IF(W27="","",IF(COUNTIF(참가자!$A$3:$A$52,W27)=0,"명단에 없는 코드",""))</f>
        <v/>
      </c>
      <c r="AA27">
        <f>IF(W27="","",IF(ISNUMBER(U27),ROUND(U27*EVAL_ITEMS/100,1),IF(AND(ISNUMBER(S27),ISNUMBER(T27)),IF(T27&gt;0,S27,""),"")))</f>
        <v/>
      </c>
    </row>
    <row r="28">
      <c r="A28">
        <f>IF(참가자!A28="","",UPPER(TRIM(참가자!A28)))</f>
        <v/>
      </c>
      <c r="B28">
        <f>IF(A28="","",IF(참가자!B28="","(팀 없음)",TRIM(참가자!B28)))</f>
        <v/>
      </c>
      <c r="C28">
        <f>IF(A28="","",IFERROR(INDEX($AA$3:$AA$102,MATCH(A28,$W$3:$W$102,0)),""))</f>
        <v/>
      </c>
      <c r="D28">
        <f>IF(A28="","",IFERROR(INDEX($X$3:$X$102,MATCH(A28,$W$3:$W$102,0)),""))</f>
        <v/>
      </c>
      <c r="E28">
        <f>IF(A28="","",IF(D28="","결석",IF(IFERROR(INDEX($Y$3:$Y$102,MATCH(A28,$W$3:$W$102,0)),"")="비경쟁","비경쟁 응시","응시")))</f>
        <v/>
      </c>
      <c r="F28">
        <f>IF(A28="","",IF(COUNTIF($W$3:$W$102,A28)&gt;1,"중복! 확인",""))</f>
        <v/>
      </c>
      <c r="G28">
        <f>IF(A28="","",IF(ISNUMBER(D28),D28,IF(ISNUMBER(평가B!F28),평가B!F28,IF(ISNUMBER(평가C!G28),평가C!G28,""))))</f>
        <v/>
      </c>
      <c r="H28">
        <f>IF(A28="","",IF(ISNUMBER(D28),"평가A",IF(ISNUMBER(평가B!F28),"첫 응시(평가B)",IF(ISNUMBER(평가C!G28),"첫 응시(평가C)","기준 없음"))))</f>
        <v/>
      </c>
      <c r="I28">
        <f>IF(A28="","",IF(ISNUMBER(D28),C28,IF(ISNUMBER(평가B!F28),평가B!D28,IF(ISNUMBER(평가C!G28),평가C!E28,""))))</f>
        <v/>
      </c>
      <c r="J28">
        <f>IF(A28="","",진단!D28)</f>
        <v/>
      </c>
      <c r="K28">
        <f>IF(A28="","",IF(AND(ISNUMBER(D28),ISNUMBER(J28)),ROUND(J28-D28,1),""))</f>
        <v/>
      </c>
      <c r="L28">
        <f>IF(A28="","",IF(ISNUMBER(K28),IF(K28&gt;=DIAG_GAP,"교수 확인",""),""))</f>
        <v/>
      </c>
      <c r="M28">
        <f>IF(A28="","",IF(AND(NOT(ISNUMBER(D28)),NOT(ISNUMBER(J28))),"",ROUND((IF(ISNUMBER(D28),D28*EVAL_ITEMS,0)+IF(ISNUMBER(J28),J28*DIAG_ITEMS,0))/(IF(ISNUMBER(D28),EVAL_ITEMS,0)+IF(ISNUMBER(J28),DIAG_ITEMS,0)),1)))</f>
        <v/>
      </c>
      <c r="R28" s="3" t="n"/>
      <c r="S28" s="3" t="n"/>
      <c r="T28" s="3" t="n"/>
      <c r="U28" s="3" t="n"/>
      <c r="W28">
        <f>IF(UPPER(TRIM(R28&amp;""))="","",IF(RIGHT(UPPER(TRIM(R28&amp;"")),2)="-N",TRIM(LEFT(UPPER(TRIM(R28&amp;"")),LEN(UPPER(TRIM(R28&amp;"")))-2)),UPPER(TRIM(R28&amp;""))))</f>
        <v/>
      </c>
      <c r="X28">
        <f>IF(W28="","",IF(ISNUMBER(U28),ROUND(U28,1),IF(AND(ISNUMBER(S28),ISNUMBER(T28)),IF(T28&gt;0,ROUND(S28/T28*100,1),""),"")))</f>
        <v/>
      </c>
      <c r="Y28">
        <f>IF(W28="","",IF(RIGHT(UPPER(TRIM(R28&amp;"")),2)="-N","비경쟁",""))</f>
        <v/>
      </c>
      <c r="Z28">
        <f>IF(W28="","",IF(COUNTIF(참가자!$A$3:$A$52,W28)=0,"명단에 없는 코드",""))</f>
        <v/>
      </c>
      <c r="AA28">
        <f>IF(W28="","",IF(ISNUMBER(U28),ROUND(U28*EVAL_ITEMS/100,1),IF(AND(ISNUMBER(S28),ISNUMBER(T28)),IF(T28&gt;0,S28,""),"")))</f>
        <v/>
      </c>
    </row>
    <row r="29">
      <c r="A29">
        <f>IF(참가자!A29="","",UPPER(TRIM(참가자!A29)))</f>
        <v/>
      </c>
      <c r="B29">
        <f>IF(A29="","",IF(참가자!B29="","(팀 없음)",TRIM(참가자!B29)))</f>
        <v/>
      </c>
      <c r="C29">
        <f>IF(A29="","",IFERROR(INDEX($AA$3:$AA$102,MATCH(A29,$W$3:$W$102,0)),""))</f>
        <v/>
      </c>
      <c r="D29">
        <f>IF(A29="","",IFERROR(INDEX($X$3:$X$102,MATCH(A29,$W$3:$W$102,0)),""))</f>
        <v/>
      </c>
      <c r="E29">
        <f>IF(A29="","",IF(D29="","결석",IF(IFERROR(INDEX($Y$3:$Y$102,MATCH(A29,$W$3:$W$102,0)),"")="비경쟁","비경쟁 응시","응시")))</f>
        <v/>
      </c>
      <c r="F29">
        <f>IF(A29="","",IF(COUNTIF($W$3:$W$102,A29)&gt;1,"중복! 확인",""))</f>
        <v/>
      </c>
      <c r="G29">
        <f>IF(A29="","",IF(ISNUMBER(D29),D29,IF(ISNUMBER(평가B!F29),평가B!F29,IF(ISNUMBER(평가C!G29),평가C!G29,""))))</f>
        <v/>
      </c>
      <c r="H29">
        <f>IF(A29="","",IF(ISNUMBER(D29),"평가A",IF(ISNUMBER(평가B!F29),"첫 응시(평가B)",IF(ISNUMBER(평가C!G29),"첫 응시(평가C)","기준 없음"))))</f>
        <v/>
      </c>
      <c r="I29">
        <f>IF(A29="","",IF(ISNUMBER(D29),C29,IF(ISNUMBER(평가B!F29),평가B!D29,IF(ISNUMBER(평가C!G29),평가C!E29,""))))</f>
        <v/>
      </c>
      <c r="J29">
        <f>IF(A29="","",진단!D29)</f>
        <v/>
      </c>
      <c r="K29">
        <f>IF(A29="","",IF(AND(ISNUMBER(D29),ISNUMBER(J29)),ROUND(J29-D29,1),""))</f>
        <v/>
      </c>
      <c r="L29">
        <f>IF(A29="","",IF(ISNUMBER(K29),IF(K29&gt;=DIAG_GAP,"교수 확인",""),""))</f>
        <v/>
      </c>
      <c r="M29">
        <f>IF(A29="","",IF(AND(NOT(ISNUMBER(D29)),NOT(ISNUMBER(J29))),"",ROUND((IF(ISNUMBER(D29),D29*EVAL_ITEMS,0)+IF(ISNUMBER(J29),J29*DIAG_ITEMS,0))/(IF(ISNUMBER(D29),EVAL_ITEMS,0)+IF(ISNUMBER(J29),DIAG_ITEMS,0)),1)))</f>
        <v/>
      </c>
      <c r="R29" s="3" t="n"/>
      <c r="S29" s="3" t="n"/>
      <c r="T29" s="3" t="n"/>
      <c r="U29" s="3" t="n"/>
      <c r="W29">
        <f>IF(UPPER(TRIM(R29&amp;""))="","",IF(RIGHT(UPPER(TRIM(R29&amp;"")),2)="-N",TRIM(LEFT(UPPER(TRIM(R29&amp;"")),LEN(UPPER(TRIM(R29&amp;"")))-2)),UPPER(TRIM(R29&amp;""))))</f>
        <v/>
      </c>
      <c r="X29">
        <f>IF(W29="","",IF(ISNUMBER(U29),ROUND(U29,1),IF(AND(ISNUMBER(S29),ISNUMBER(T29)),IF(T29&gt;0,ROUND(S29/T29*100,1),""),"")))</f>
        <v/>
      </c>
      <c r="Y29">
        <f>IF(W29="","",IF(RIGHT(UPPER(TRIM(R29&amp;"")),2)="-N","비경쟁",""))</f>
        <v/>
      </c>
      <c r="Z29">
        <f>IF(W29="","",IF(COUNTIF(참가자!$A$3:$A$52,W29)=0,"명단에 없는 코드",""))</f>
        <v/>
      </c>
      <c r="AA29">
        <f>IF(W29="","",IF(ISNUMBER(U29),ROUND(U29*EVAL_ITEMS/100,1),IF(AND(ISNUMBER(S29),ISNUMBER(T29)),IF(T29&gt;0,S29,""),"")))</f>
        <v/>
      </c>
    </row>
    <row r="30">
      <c r="A30">
        <f>IF(참가자!A30="","",UPPER(TRIM(참가자!A30)))</f>
        <v/>
      </c>
      <c r="B30">
        <f>IF(A30="","",IF(참가자!B30="","(팀 없음)",TRIM(참가자!B30)))</f>
        <v/>
      </c>
      <c r="C30">
        <f>IF(A30="","",IFERROR(INDEX($AA$3:$AA$102,MATCH(A30,$W$3:$W$102,0)),""))</f>
        <v/>
      </c>
      <c r="D30">
        <f>IF(A30="","",IFERROR(INDEX($X$3:$X$102,MATCH(A30,$W$3:$W$102,0)),""))</f>
        <v/>
      </c>
      <c r="E30">
        <f>IF(A30="","",IF(D30="","결석",IF(IFERROR(INDEX($Y$3:$Y$102,MATCH(A30,$W$3:$W$102,0)),"")="비경쟁","비경쟁 응시","응시")))</f>
        <v/>
      </c>
      <c r="F30">
        <f>IF(A30="","",IF(COUNTIF($W$3:$W$102,A30)&gt;1,"중복! 확인",""))</f>
        <v/>
      </c>
      <c r="G30">
        <f>IF(A30="","",IF(ISNUMBER(D30),D30,IF(ISNUMBER(평가B!F30),평가B!F30,IF(ISNUMBER(평가C!G30),평가C!G30,""))))</f>
        <v/>
      </c>
      <c r="H30">
        <f>IF(A30="","",IF(ISNUMBER(D30),"평가A",IF(ISNUMBER(평가B!F30),"첫 응시(평가B)",IF(ISNUMBER(평가C!G30),"첫 응시(평가C)","기준 없음"))))</f>
        <v/>
      </c>
      <c r="I30">
        <f>IF(A30="","",IF(ISNUMBER(D30),C30,IF(ISNUMBER(평가B!F30),평가B!D30,IF(ISNUMBER(평가C!G30),평가C!E30,""))))</f>
        <v/>
      </c>
      <c r="J30">
        <f>IF(A30="","",진단!D30)</f>
        <v/>
      </c>
      <c r="K30">
        <f>IF(A30="","",IF(AND(ISNUMBER(D30),ISNUMBER(J30)),ROUND(J30-D30,1),""))</f>
        <v/>
      </c>
      <c r="L30">
        <f>IF(A30="","",IF(ISNUMBER(K30),IF(K30&gt;=DIAG_GAP,"교수 확인",""),""))</f>
        <v/>
      </c>
      <c r="M30">
        <f>IF(A30="","",IF(AND(NOT(ISNUMBER(D30)),NOT(ISNUMBER(J30))),"",ROUND((IF(ISNUMBER(D30),D30*EVAL_ITEMS,0)+IF(ISNUMBER(J30),J30*DIAG_ITEMS,0))/(IF(ISNUMBER(D30),EVAL_ITEMS,0)+IF(ISNUMBER(J30),DIAG_ITEMS,0)),1)))</f>
        <v/>
      </c>
      <c r="R30" s="3" t="n"/>
      <c r="S30" s="3" t="n"/>
      <c r="T30" s="3" t="n"/>
      <c r="U30" s="3" t="n"/>
      <c r="W30">
        <f>IF(UPPER(TRIM(R30&amp;""))="","",IF(RIGHT(UPPER(TRIM(R30&amp;"")),2)="-N",TRIM(LEFT(UPPER(TRIM(R30&amp;"")),LEN(UPPER(TRIM(R30&amp;"")))-2)),UPPER(TRIM(R30&amp;""))))</f>
        <v/>
      </c>
      <c r="X30">
        <f>IF(W30="","",IF(ISNUMBER(U30),ROUND(U30,1),IF(AND(ISNUMBER(S30),ISNUMBER(T30)),IF(T30&gt;0,ROUND(S30/T30*100,1),""),"")))</f>
        <v/>
      </c>
      <c r="Y30">
        <f>IF(W30="","",IF(RIGHT(UPPER(TRIM(R30&amp;"")),2)="-N","비경쟁",""))</f>
        <v/>
      </c>
      <c r="Z30">
        <f>IF(W30="","",IF(COUNTIF(참가자!$A$3:$A$52,W30)=0,"명단에 없는 코드",""))</f>
        <v/>
      </c>
      <c r="AA30">
        <f>IF(W30="","",IF(ISNUMBER(U30),ROUND(U30*EVAL_ITEMS/100,1),IF(AND(ISNUMBER(S30),ISNUMBER(T30)),IF(T30&gt;0,S30,""),"")))</f>
        <v/>
      </c>
    </row>
    <row r="31">
      <c r="A31">
        <f>IF(참가자!A31="","",UPPER(TRIM(참가자!A31)))</f>
        <v/>
      </c>
      <c r="B31">
        <f>IF(A31="","",IF(참가자!B31="","(팀 없음)",TRIM(참가자!B31)))</f>
        <v/>
      </c>
      <c r="C31">
        <f>IF(A31="","",IFERROR(INDEX($AA$3:$AA$102,MATCH(A31,$W$3:$W$102,0)),""))</f>
        <v/>
      </c>
      <c r="D31">
        <f>IF(A31="","",IFERROR(INDEX($X$3:$X$102,MATCH(A31,$W$3:$W$102,0)),""))</f>
        <v/>
      </c>
      <c r="E31">
        <f>IF(A31="","",IF(D31="","결석",IF(IFERROR(INDEX($Y$3:$Y$102,MATCH(A31,$W$3:$W$102,0)),"")="비경쟁","비경쟁 응시","응시")))</f>
        <v/>
      </c>
      <c r="F31">
        <f>IF(A31="","",IF(COUNTIF($W$3:$W$102,A31)&gt;1,"중복! 확인",""))</f>
        <v/>
      </c>
      <c r="G31">
        <f>IF(A31="","",IF(ISNUMBER(D31),D31,IF(ISNUMBER(평가B!F31),평가B!F31,IF(ISNUMBER(평가C!G31),평가C!G31,""))))</f>
        <v/>
      </c>
      <c r="H31">
        <f>IF(A31="","",IF(ISNUMBER(D31),"평가A",IF(ISNUMBER(평가B!F31),"첫 응시(평가B)",IF(ISNUMBER(평가C!G31),"첫 응시(평가C)","기준 없음"))))</f>
        <v/>
      </c>
      <c r="I31">
        <f>IF(A31="","",IF(ISNUMBER(D31),C31,IF(ISNUMBER(평가B!F31),평가B!D31,IF(ISNUMBER(평가C!G31),평가C!E31,""))))</f>
        <v/>
      </c>
      <c r="J31">
        <f>IF(A31="","",진단!D31)</f>
        <v/>
      </c>
      <c r="K31">
        <f>IF(A31="","",IF(AND(ISNUMBER(D31),ISNUMBER(J31)),ROUND(J31-D31,1),""))</f>
        <v/>
      </c>
      <c r="L31">
        <f>IF(A31="","",IF(ISNUMBER(K31),IF(K31&gt;=DIAG_GAP,"교수 확인",""),""))</f>
        <v/>
      </c>
      <c r="M31">
        <f>IF(A31="","",IF(AND(NOT(ISNUMBER(D31)),NOT(ISNUMBER(J31))),"",ROUND((IF(ISNUMBER(D31),D31*EVAL_ITEMS,0)+IF(ISNUMBER(J31),J31*DIAG_ITEMS,0))/(IF(ISNUMBER(D31),EVAL_ITEMS,0)+IF(ISNUMBER(J31),DIAG_ITEMS,0)),1)))</f>
        <v/>
      </c>
      <c r="R31" s="3" t="n"/>
      <c r="S31" s="3" t="n"/>
      <c r="T31" s="3" t="n"/>
      <c r="U31" s="3" t="n"/>
      <c r="W31">
        <f>IF(UPPER(TRIM(R31&amp;""))="","",IF(RIGHT(UPPER(TRIM(R31&amp;"")),2)="-N",TRIM(LEFT(UPPER(TRIM(R31&amp;"")),LEN(UPPER(TRIM(R31&amp;"")))-2)),UPPER(TRIM(R31&amp;""))))</f>
        <v/>
      </c>
      <c r="X31">
        <f>IF(W31="","",IF(ISNUMBER(U31),ROUND(U31,1),IF(AND(ISNUMBER(S31),ISNUMBER(T31)),IF(T31&gt;0,ROUND(S31/T31*100,1),""),"")))</f>
        <v/>
      </c>
      <c r="Y31">
        <f>IF(W31="","",IF(RIGHT(UPPER(TRIM(R31&amp;"")),2)="-N","비경쟁",""))</f>
        <v/>
      </c>
      <c r="Z31">
        <f>IF(W31="","",IF(COUNTIF(참가자!$A$3:$A$52,W31)=0,"명단에 없는 코드",""))</f>
        <v/>
      </c>
      <c r="AA31">
        <f>IF(W31="","",IF(ISNUMBER(U31),ROUND(U31*EVAL_ITEMS/100,1),IF(AND(ISNUMBER(S31),ISNUMBER(T31)),IF(T31&gt;0,S31,""),"")))</f>
        <v/>
      </c>
    </row>
    <row r="32">
      <c r="A32">
        <f>IF(참가자!A32="","",UPPER(TRIM(참가자!A32)))</f>
        <v/>
      </c>
      <c r="B32">
        <f>IF(A32="","",IF(참가자!B32="","(팀 없음)",TRIM(참가자!B32)))</f>
        <v/>
      </c>
      <c r="C32">
        <f>IF(A32="","",IFERROR(INDEX($AA$3:$AA$102,MATCH(A32,$W$3:$W$102,0)),""))</f>
        <v/>
      </c>
      <c r="D32">
        <f>IF(A32="","",IFERROR(INDEX($X$3:$X$102,MATCH(A32,$W$3:$W$102,0)),""))</f>
        <v/>
      </c>
      <c r="E32">
        <f>IF(A32="","",IF(D32="","결석",IF(IFERROR(INDEX($Y$3:$Y$102,MATCH(A32,$W$3:$W$102,0)),"")="비경쟁","비경쟁 응시","응시")))</f>
        <v/>
      </c>
      <c r="F32">
        <f>IF(A32="","",IF(COUNTIF($W$3:$W$102,A32)&gt;1,"중복! 확인",""))</f>
        <v/>
      </c>
      <c r="G32">
        <f>IF(A32="","",IF(ISNUMBER(D32),D32,IF(ISNUMBER(평가B!F32),평가B!F32,IF(ISNUMBER(평가C!G32),평가C!G32,""))))</f>
        <v/>
      </c>
      <c r="H32">
        <f>IF(A32="","",IF(ISNUMBER(D32),"평가A",IF(ISNUMBER(평가B!F32),"첫 응시(평가B)",IF(ISNUMBER(평가C!G32),"첫 응시(평가C)","기준 없음"))))</f>
        <v/>
      </c>
      <c r="I32">
        <f>IF(A32="","",IF(ISNUMBER(D32),C32,IF(ISNUMBER(평가B!F32),평가B!D32,IF(ISNUMBER(평가C!G32),평가C!E32,""))))</f>
        <v/>
      </c>
      <c r="J32">
        <f>IF(A32="","",진단!D32)</f>
        <v/>
      </c>
      <c r="K32">
        <f>IF(A32="","",IF(AND(ISNUMBER(D32),ISNUMBER(J32)),ROUND(J32-D32,1),""))</f>
        <v/>
      </c>
      <c r="L32">
        <f>IF(A32="","",IF(ISNUMBER(K32),IF(K32&gt;=DIAG_GAP,"교수 확인",""),""))</f>
        <v/>
      </c>
      <c r="M32">
        <f>IF(A32="","",IF(AND(NOT(ISNUMBER(D32)),NOT(ISNUMBER(J32))),"",ROUND((IF(ISNUMBER(D32),D32*EVAL_ITEMS,0)+IF(ISNUMBER(J32),J32*DIAG_ITEMS,0))/(IF(ISNUMBER(D32),EVAL_ITEMS,0)+IF(ISNUMBER(J32),DIAG_ITEMS,0)),1)))</f>
        <v/>
      </c>
      <c r="R32" s="3" t="n"/>
      <c r="S32" s="3" t="n"/>
      <c r="T32" s="3" t="n"/>
      <c r="U32" s="3" t="n"/>
      <c r="W32">
        <f>IF(UPPER(TRIM(R32&amp;""))="","",IF(RIGHT(UPPER(TRIM(R32&amp;"")),2)="-N",TRIM(LEFT(UPPER(TRIM(R32&amp;"")),LEN(UPPER(TRIM(R32&amp;"")))-2)),UPPER(TRIM(R32&amp;""))))</f>
        <v/>
      </c>
      <c r="X32">
        <f>IF(W32="","",IF(ISNUMBER(U32),ROUND(U32,1),IF(AND(ISNUMBER(S32),ISNUMBER(T32)),IF(T32&gt;0,ROUND(S32/T32*100,1),""),"")))</f>
        <v/>
      </c>
      <c r="Y32">
        <f>IF(W32="","",IF(RIGHT(UPPER(TRIM(R32&amp;"")),2)="-N","비경쟁",""))</f>
        <v/>
      </c>
      <c r="Z32">
        <f>IF(W32="","",IF(COUNTIF(참가자!$A$3:$A$52,W32)=0,"명단에 없는 코드",""))</f>
        <v/>
      </c>
      <c r="AA32">
        <f>IF(W32="","",IF(ISNUMBER(U32),ROUND(U32*EVAL_ITEMS/100,1),IF(AND(ISNUMBER(S32),ISNUMBER(T32)),IF(T32&gt;0,S32,""),"")))</f>
        <v/>
      </c>
    </row>
    <row r="33">
      <c r="A33">
        <f>IF(참가자!A33="","",UPPER(TRIM(참가자!A33)))</f>
        <v/>
      </c>
      <c r="B33">
        <f>IF(A33="","",IF(참가자!B33="","(팀 없음)",TRIM(참가자!B33)))</f>
        <v/>
      </c>
      <c r="C33">
        <f>IF(A33="","",IFERROR(INDEX($AA$3:$AA$102,MATCH(A33,$W$3:$W$102,0)),""))</f>
        <v/>
      </c>
      <c r="D33">
        <f>IF(A33="","",IFERROR(INDEX($X$3:$X$102,MATCH(A33,$W$3:$W$102,0)),""))</f>
        <v/>
      </c>
      <c r="E33">
        <f>IF(A33="","",IF(D33="","결석",IF(IFERROR(INDEX($Y$3:$Y$102,MATCH(A33,$W$3:$W$102,0)),"")="비경쟁","비경쟁 응시","응시")))</f>
        <v/>
      </c>
      <c r="F33">
        <f>IF(A33="","",IF(COUNTIF($W$3:$W$102,A33)&gt;1,"중복! 확인",""))</f>
        <v/>
      </c>
      <c r="G33">
        <f>IF(A33="","",IF(ISNUMBER(D33),D33,IF(ISNUMBER(평가B!F33),평가B!F33,IF(ISNUMBER(평가C!G33),평가C!G33,""))))</f>
        <v/>
      </c>
      <c r="H33">
        <f>IF(A33="","",IF(ISNUMBER(D33),"평가A",IF(ISNUMBER(평가B!F33),"첫 응시(평가B)",IF(ISNUMBER(평가C!G33),"첫 응시(평가C)","기준 없음"))))</f>
        <v/>
      </c>
      <c r="I33">
        <f>IF(A33="","",IF(ISNUMBER(D33),C33,IF(ISNUMBER(평가B!F33),평가B!D33,IF(ISNUMBER(평가C!G33),평가C!E33,""))))</f>
        <v/>
      </c>
      <c r="J33">
        <f>IF(A33="","",진단!D33)</f>
        <v/>
      </c>
      <c r="K33">
        <f>IF(A33="","",IF(AND(ISNUMBER(D33),ISNUMBER(J33)),ROUND(J33-D33,1),""))</f>
        <v/>
      </c>
      <c r="L33">
        <f>IF(A33="","",IF(ISNUMBER(K33),IF(K33&gt;=DIAG_GAP,"교수 확인",""),""))</f>
        <v/>
      </c>
      <c r="M33">
        <f>IF(A33="","",IF(AND(NOT(ISNUMBER(D33)),NOT(ISNUMBER(J33))),"",ROUND((IF(ISNUMBER(D33),D33*EVAL_ITEMS,0)+IF(ISNUMBER(J33),J33*DIAG_ITEMS,0))/(IF(ISNUMBER(D33),EVAL_ITEMS,0)+IF(ISNUMBER(J33),DIAG_ITEMS,0)),1)))</f>
        <v/>
      </c>
      <c r="R33" s="3" t="n"/>
      <c r="S33" s="3" t="n"/>
      <c r="T33" s="3" t="n"/>
      <c r="U33" s="3" t="n"/>
      <c r="W33">
        <f>IF(UPPER(TRIM(R33&amp;""))="","",IF(RIGHT(UPPER(TRIM(R33&amp;"")),2)="-N",TRIM(LEFT(UPPER(TRIM(R33&amp;"")),LEN(UPPER(TRIM(R33&amp;"")))-2)),UPPER(TRIM(R33&amp;""))))</f>
        <v/>
      </c>
      <c r="X33">
        <f>IF(W33="","",IF(ISNUMBER(U33),ROUND(U33,1),IF(AND(ISNUMBER(S33),ISNUMBER(T33)),IF(T33&gt;0,ROUND(S33/T33*100,1),""),"")))</f>
        <v/>
      </c>
      <c r="Y33">
        <f>IF(W33="","",IF(RIGHT(UPPER(TRIM(R33&amp;"")),2)="-N","비경쟁",""))</f>
        <v/>
      </c>
      <c r="Z33">
        <f>IF(W33="","",IF(COUNTIF(참가자!$A$3:$A$52,W33)=0,"명단에 없는 코드",""))</f>
        <v/>
      </c>
      <c r="AA33">
        <f>IF(W33="","",IF(ISNUMBER(U33),ROUND(U33*EVAL_ITEMS/100,1),IF(AND(ISNUMBER(S33),ISNUMBER(T33)),IF(T33&gt;0,S33,""),"")))</f>
        <v/>
      </c>
    </row>
    <row r="34">
      <c r="A34">
        <f>IF(참가자!A34="","",UPPER(TRIM(참가자!A34)))</f>
        <v/>
      </c>
      <c r="B34">
        <f>IF(A34="","",IF(참가자!B34="","(팀 없음)",TRIM(참가자!B34)))</f>
        <v/>
      </c>
      <c r="C34">
        <f>IF(A34="","",IFERROR(INDEX($AA$3:$AA$102,MATCH(A34,$W$3:$W$102,0)),""))</f>
        <v/>
      </c>
      <c r="D34">
        <f>IF(A34="","",IFERROR(INDEX($X$3:$X$102,MATCH(A34,$W$3:$W$102,0)),""))</f>
        <v/>
      </c>
      <c r="E34">
        <f>IF(A34="","",IF(D34="","결석",IF(IFERROR(INDEX($Y$3:$Y$102,MATCH(A34,$W$3:$W$102,0)),"")="비경쟁","비경쟁 응시","응시")))</f>
        <v/>
      </c>
      <c r="F34">
        <f>IF(A34="","",IF(COUNTIF($W$3:$W$102,A34)&gt;1,"중복! 확인",""))</f>
        <v/>
      </c>
      <c r="G34">
        <f>IF(A34="","",IF(ISNUMBER(D34),D34,IF(ISNUMBER(평가B!F34),평가B!F34,IF(ISNUMBER(평가C!G34),평가C!G34,""))))</f>
        <v/>
      </c>
      <c r="H34">
        <f>IF(A34="","",IF(ISNUMBER(D34),"평가A",IF(ISNUMBER(평가B!F34),"첫 응시(평가B)",IF(ISNUMBER(평가C!G34),"첫 응시(평가C)","기준 없음"))))</f>
        <v/>
      </c>
      <c r="I34">
        <f>IF(A34="","",IF(ISNUMBER(D34),C34,IF(ISNUMBER(평가B!F34),평가B!D34,IF(ISNUMBER(평가C!G34),평가C!E34,""))))</f>
        <v/>
      </c>
      <c r="J34">
        <f>IF(A34="","",진단!D34)</f>
        <v/>
      </c>
      <c r="K34">
        <f>IF(A34="","",IF(AND(ISNUMBER(D34),ISNUMBER(J34)),ROUND(J34-D34,1),""))</f>
        <v/>
      </c>
      <c r="L34">
        <f>IF(A34="","",IF(ISNUMBER(K34),IF(K34&gt;=DIAG_GAP,"교수 확인",""),""))</f>
        <v/>
      </c>
      <c r="M34">
        <f>IF(A34="","",IF(AND(NOT(ISNUMBER(D34)),NOT(ISNUMBER(J34))),"",ROUND((IF(ISNUMBER(D34),D34*EVAL_ITEMS,0)+IF(ISNUMBER(J34),J34*DIAG_ITEMS,0))/(IF(ISNUMBER(D34),EVAL_ITEMS,0)+IF(ISNUMBER(J34),DIAG_ITEMS,0)),1)))</f>
        <v/>
      </c>
      <c r="R34" s="3" t="n"/>
      <c r="S34" s="3" t="n"/>
      <c r="T34" s="3" t="n"/>
      <c r="U34" s="3" t="n"/>
      <c r="W34">
        <f>IF(UPPER(TRIM(R34&amp;""))="","",IF(RIGHT(UPPER(TRIM(R34&amp;"")),2)="-N",TRIM(LEFT(UPPER(TRIM(R34&amp;"")),LEN(UPPER(TRIM(R34&amp;"")))-2)),UPPER(TRIM(R34&amp;""))))</f>
        <v/>
      </c>
      <c r="X34">
        <f>IF(W34="","",IF(ISNUMBER(U34),ROUND(U34,1),IF(AND(ISNUMBER(S34),ISNUMBER(T34)),IF(T34&gt;0,ROUND(S34/T34*100,1),""),"")))</f>
        <v/>
      </c>
      <c r="Y34">
        <f>IF(W34="","",IF(RIGHT(UPPER(TRIM(R34&amp;"")),2)="-N","비경쟁",""))</f>
        <v/>
      </c>
      <c r="Z34">
        <f>IF(W34="","",IF(COUNTIF(참가자!$A$3:$A$52,W34)=0,"명단에 없는 코드",""))</f>
        <v/>
      </c>
      <c r="AA34">
        <f>IF(W34="","",IF(ISNUMBER(U34),ROUND(U34*EVAL_ITEMS/100,1),IF(AND(ISNUMBER(S34),ISNUMBER(T34)),IF(T34&gt;0,S34,""),"")))</f>
        <v/>
      </c>
    </row>
    <row r="35">
      <c r="A35">
        <f>IF(참가자!A35="","",UPPER(TRIM(참가자!A35)))</f>
        <v/>
      </c>
      <c r="B35">
        <f>IF(A35="","",IF(참가자!B35="","(팀 없음)",TRIM(참가자!B35)))</f>
        <v/>
      </c>
      <c r="C35">
        <f>IF(A35="","",IFERROR(INDEX($AA$3:$AA$102,MATCH(A35,$W$3:$W$102,0)),""))</f>
        <v/>
      </c>
      <c r="D35">
        <f>IF(A35="","",IFERROR(INDEX($X$3:$X$102,MATCH(A35,$W$3:$W$102,0)),""))</f>
        <v/>
      </c>
      <c r="E35">
        <f>IF(A35="","",IF(D35="","결석",IF(IFERROR(INDEX($Y$3:$Y$102,MATCH(A35,$W$3:$W$102,0)),"")="비경쟁","비경쟁 응시","응시")))</f>
        <v/>
      </c>
      <c r="F35">
        <f>IF(A35="","",IF(COUNTIF($W$3:$W$102,A35)&gt;1,"중복! 확인",""))</f>
        <v/>
      </c>
      <c r="G35">
        <f>IF(A35="","",IF(ISNUMBER(D35),D35,IF(ISNUMBER(평가B!F35),평가B!F35,IF(ISNUMBER(평가C!G35),평가C!G35,""))))</f>
        <v/>
      </c>
      <c r="H35">
        <f>IF(A35="","",IF(ISNUMBER(D35),"평가A",IF(ISNUMBER(평가B!F35),"첫 응시(평가B)",IF(ISNUMBER(평가C!G35),"첫 응시(평가C)","기준 없음"))))</f>
        <v/>
      </c>
      <c r="I35">
        <f>IF(A35="","",IF(ISNUMBER(D35),C35,IF(ISNUMBER(평가B!F35),평가B!D35,IF(ISNUMBER(평가C!G35),평가C!E35,""))))</f>
        <v/>
      </c>
      <c r="J35">
        <f>IF(A35="","",진단!D35)</f>
        <v/>
      </c>
      <c r="K35">
        <f>IF(A35="","",IF(AND(ISNUMBER(D35),ISNUMBER(J35)),ROUND(J35-D35,1),""))</f>
        <v/>
      </c>
      <c r="L35">
        <f>IF(A35="","",IF(ISNUMBER(K35),IF(K35&gt;=DIAG_GAP,"교수 확인",""),""))</f>
        <v/>
      </c>
      <c r="M35">
        <f>IF(A35="","",IF(AND(NOT(ISNUMBER(D35)),NOT(ISNUMBER(J35))),"",ROUND((IF(ISNUMBER(D35),D35*EVAL_ITEMS,0)+IF(ISNUMBER(J35),J35*DIAG_ITEMS,0))/(IF(ISNUMBER(D35),EVAL_ITEMS,0)+IF(ISNUMBER(J35),DIAG_ITEMS,0)),1)))</f>
        <v/>
      </c>
      <c r="R35" s="3" t="n"/>
      <c r="S35" s="3" t="n"/>
      <c r="T35" s="3" t="n"/>
      <c r="U35" s="3" t="n"/>
      <c r="W35">
        <f>IF(UPPER(TRIM(R35&amp;""))="","",IF(RIGHT(UPPER(TRIM(R35&amp;"")),2)="-N",TRIM(LEFT(UPPER(TRIM(R35&amp;"")),LEN(UPPER(TRIM(R35&amp;"")))-2)),UPPER(TRIM(R35&amp;""))))</f>
        <v/>
      </c>
      <c r="X35">
        <f>IF(W35="","",IF(ISNUMBER(U35),ROUND(U35,1),IF(AND(ISNUMBER(S35),ISNUMBER(T35)),IF(T35&gt;0,ROUND(S35/T35*100,1),""),"")))</f>
        <v/>
      </c>
      <c r="Y35">
        <f>IF(W35="","",IF(RIGHT(UPPER(TRIM(R35&amp;"")),2)="-N","비경쟁",""))</f>
        <v/>
      </c>
      <c r="Z35">
        <f>IF(W35="","",IF(COUNTIF(참가자!$A$3:$A$52,W35)=0,"명단에 없는 코드",""))</f>
        <v/>
      </c>
      <c r="AA35">
        <f>IF(W35="","",IF(ISNUMBER(U35),ROUND(U35*EVAL_ITEMS/100,1),IF(AND(ISNUMBER(S35),ISNUMBER(T35)),IF(T35&gt;0,S35,""),"")))</f>
        <v/>
      </c>
    </row>
    <row r="36">
      <c r="A36">
        <f>IF(참가자!A36="","",UPPER(TRIM(참가자!A36)))</f>
        <v/>
      </c>
      <c r="B36">
        <f>IF(A36="","",IF(참가자!B36="","(팀 없음)",TRIM(참가자!B36)))</f>
        <v/>
      </c>
      <c r="C36">
        <f>IF(A36="","",IFERROR(INDEX($AA$3:$AA$102,MATCH(A36,$W$3:$W$102,0)),""))</f>
        <v/>
      </c>
      <c r="D36">
        <f>IF(A36="","",IFERROR(INDEX($X$3:$X$102,MATCH(A36,$W$3:$W$102,0)),""))</f>
        <v/>
      </c>
      <c r="E36">
        <f>IF(A36="","",IF(D36="","결석",IF(IFERROR(INDEX($Y$3:$Y$102,MATCH(A36,$W$3:$W$102,0)),"")="비경쟁","비경쟁 응시","응시")))</f>
        <v/>
      </c>
      <c r="F36">
        <f>IF(A36="","",IF(COUNTIF($W$3:$W$102,A36)&gt;1,"중복! 확인",""))</f>
        <v/>
      </c>
      <c r="G36">
        <f>IF(A36="","",IF(ISNUMBER(D36),D36,IF(ISNUMBER(평가B!F36),평가B!F36,IF(ISNUMBER(평가C!G36),평가C!G36,""))))</f>
        <v/>
      </c>
      <c r="H36">
        <f>IF(A36="","",IF(ISNUMBER(D36),"평가A",IF(ISNUMBER(평가B!F36),"첫 응시(평가B)",IF(ISNUMBER(평가C!G36),"첫 응시(평가C)","기준 없음"))))</f>
        <v/>
      </c>
      <c r="I36">
        <f>IF(A36="","",IF(ISNUMBER(D36),C36,IF(ISNUMBER(평가B!F36),평가B!D36,IF(ISNUMBER(평가C!G36),평가C!E36,""))))</f>
        <v/>
      </c>
      <c r="J36">
        <f>IF(A36="","",진단!D36)</f>
        <v/>
      </c>
      <c r="K36">
        <f>IF(A36="","",IF(AND(ISNUMBER(D36),ISNUMBER(J36)),ROUND(J36-D36,1),""))</f>
        <v/>
      </c>
      <c r="L36">
        <f>IF(A36="","",IF(ISNUMBER(K36),IF(K36&gt;=DIAG_GAP,"교수 확인",""),""))</f>
        <v/>
      </c>
      <c r="M36">
        <f>IF(A36="","",IF(AND(NOT(ISNUMBER(D36)),NOT(ISNUMBER(J36))),"",ROUND((IF(ISNUMBER(D36),D36*EVAL_ITEMS,0)+IF(ISNUMBER(J36),J36*DIAG_ITEMS,0))/(IF(ISNUMBER(D36),EVAL_ITEMS,0)+IF(ISNUMBER(J36),DIAG_ITEMS,0)),1)))</f>
        <v/>
      </c>
      <c r="R36" s="3" t="n"/>
      <c r="S36" s="3" t="n"/>
      <c r="T36" s="3" t="n"/>
      <c r="U36" s="3" t="n"/>
      <c r="W36">
        <f>IF(UPPER(TRIM(R36&amp;""))="","",IF(RIGHT(UPPER(TRIM(R36&amp;"")),2)="-N",TRIM(LEFT(UPPER(TRIM(R36&amp;"")),LEN(UPPER(TRIM(R36&amp;"")))-2)),UPPER(TRIM(R36&amp;""))))</f>
        <v/>
      </c>
      <c r="X36">
        <f>IF(W36="","",IF(ISNUMBER(U36),ROUND(U36,1),IF(AND(ISNUMBER(S36),ISNUMBER(T36)),IF(T36&gt;0,ROUND(S36/T36*100,1),""),"")))</f>
        <v/>
      </c>
      <c r="Y36">
        <f>IF(W36="","",IF(RIGHT(UPPER(TRIM(R36&amp;"")),2)="-N","비경쟁",""))</f>
        <v/>
      </c>
      <c r="Z36">
        <f>IF(W36="","",IF(COUNTIF(참가자!$A$3:$A$52,W36)=0,"명단에 없는 코드",""))</f>
        <v/>
      </c>
      <c r="AA36">
        <f>IF(W36="","",IF(ISNUMBER(U36),ROUND(U36*EVAL_ITEMS/100,1),IF(AND(ISNUMBER(S36),ISNUMBER(T36)),IF(T36&gt;0,S36,""),"")))</f>
        <v/>
      </c>
    </row>
    <row r="37">
      <c r="A37">
        <f>IF(참가자!A37="","",UPPER(TRIM(참가자!A37)))</f>
        <v/>
      </c>
      <c r="B37">
        <f>IF(A37="","",IF(참가자!B37="","(팀 없음)",TRIM(참가자!B37)))</f>
        <v/>
      </c>
      <c r="C37">
        <f>IF(A37="","",IFERROR(INDEX($AA$3:$AA$102,MATCH(A37,$W$3:$W$102,0)),""))</f>
        <v/>
      </c>
      <c r="D37">
        <f>IF(A37="","",IFERROR(INDEX($X$3:$X$102,MATCH(A37,$W$3:$W$102,0)),""))</f>
        <v/>
      </c>
      <c r="E37">
        <f>IF(A37="","",IF(D37="","결석",IF(IFERROR(INDEX($Y$3:$Y$102,MATCH(A37,$W$3:$W$102,0)),"")="비경쟁","비경쟁 응시","응시")))</f>
        <v/>
      </c>
      <c r="F37">
        <f>IF(A37="","",IF(COUNTIF($W$3:$W$102,A37)&gt;1,"중복! 확인",""))</f>
        <v/>
      </c>
      <c r="G37">
        <f>IF(A37="","",IF(ISNUMBER(D37),D37,IF(ISNUMBER(평가B!F37),평가B!F37,IF(ISNUMBER(평가C!G37),평가C!G37,""))))</f>
        <v/>
      </c>
      <c r="H37">
        <f>IF(A37="","",IF(ISNUMBER(D37),"평가A",IF(ISNUMBER(평가B!F37),"첫 응시(평가B)",IF(ISNUMBER(평가C!G37),"첫 응시(평가C)","기준 없음"))))</f>
        <v/>
      </c>
      <c r="I37">
        <f>IF(A37="","",IF(ISNUMBER(D37),C37,IF(ISNUMBER(평가B!F37),평가B!D37,IF(ISNUMBER(평가C!G37),평가C!E37,""))))</f>
        <v/>
      </c>
      <c r="J37">
        <f>IF(A37="","",진단!D37)</f>
        <v/>
      </c>
      <c r="K37">
        <f>IF(A37="","",IF(AND(ISNUMBER(D37),ISNUMBER(J37)),ROUND(J37-D37,1),""))</f>
        <v/>
      </c>
      <c r="L37">
        <f>IF(A37="","",IF(ISNUMBER(K37),IF(K37&gt;=DIAG_GAP,"교수 확인",""),""))</f>
        <v/>
      </c>
      <c r="M37">
        <f>IF(A37="","",IF(AND(NOT(ISNUMBER(D37)),NOT(ISNUMBER(J37))),"",ROUND((IF(ISNUMBER(D37),D37*EVAL_ITEMS,0)+IF(ISNUMBER(J37),J37*DIAG_ITEMS,0))/(IF(ISNUMBER(D37),EVAL_ITEMS,0)+IF(ISNUMBER(J37),DIAG_ITEMS,0)),1)))</f>
        <v/>
      </c>
      <c r="R37" s="3" t="n"/>
      <c r="S37" s="3" t="n"/>
      <c r="T37" s="3" t="n"/>
      <c r="U37" s="3" t="n"/>
      <c r="W37">
        <f>IF(UPPER(TRIM(R37&amp;""))="","",IF(RIGHT(UPPER(TRIM(R37&amp;"")),2)="-N",TRIM(LEFT(UPPER(TRIM(R37&amp;"")),LEN(UPPER(TRIM(R37&amp;"")))-2)),UPPER(TRIM(R37&amp;""))))</f>
        <v/>
      </c>
      <c r="X37">
        <f>IF(W37="","",IF(ISNUMBER(U37),ROUND(U37,1),IF(AND(ISNUMBER(S37),ISNUMBER(T37)),IF(T37&gt;0,ROUND(S37/T37*100,1),""),"")))</f>
        <v/>
      </c>
      <c r="Y37">
        <f>IF(W37="","",IF(RIGHT(UPPER(TRIM(R37&amp;"")),2)="-N","비경쟁",""))</f>
        <v/>
      </c>
      <c r="Z37">
        <f>IF(W37="","",IF(COUNTIF(참가자!$A$3:$A$52,W37)=0,"명단에 없는 코드",""))</f>
        <v/>
      </c>
      <c r="AA37">
        <f>IF(W37="","",IF(ISNUMBER(U37),ROUND(U37*EVAL_ITEMS/100,1),IF(AND(ISNUMBER(S37),ISNUMBER(T37)),IF(T37&gt;0,S37,""),"")))</f>
        <v/>
      </c>
    </row>
    <row r="38">
      <c r="A38">
        <f>IF(참가자!A38="","",UPPER(TRIM(참가자!A38)))</f>
        <v/>
      </c>
      <c r="B38">
        <f>IF(A38="","",IF(참가자!B38="","(팀 없음)",TRIM(참가자!B38)))</f>
        <v/>
      </c>
      <c r="C38">
        <f>IF(A38="","",IFERROR(INDEX($AA$3:$AA$102,MATCH(A38,$W$3:$W$102,0)),""))</f>
        <v/>
      </c>
      <c r="D38">
        <f>IF(A38="","",IFERROR(INDEX($X$3:$X$102,MATCH(A38,$W$3:$W$102,0)),""))</f>
        <v/>
      </c>
      <c r="E38">
        <f>IF(A38="","",IF(D38="","결석",IF(IFERROR(INDEX($Y$3:$Y$102,MATCH(A38,$W$3:$W$102,0)),"")="비경쟁","비경쟁 응시","응시")))</f>
        <v/>
      </c>
      <c r="F38">
        <f>IF(A38="","",IF(COUNTIF($W$3:$W$102,A38)&gt;1,"중복! 확인",""))</f>
        <v/>
      </c>
      <c r="G38">
        <f>IF(A38="","",IF(ISNUMBER(D38),D38,IF(ISNUMBER(평가B!F38),평가B!F38,IF(ISNUMBER(평가C!G38),평가C!G38,""))))</f>
        <v/>
      </c>
      <c r="H38">
        <f>IF(A38="","",IF(ISNUMBER(D38),"평가A",IF(ISNUMBER(평가B!F38),"첫 응시(평가B)",IF(ISNUMBER(평가C!G38),"첫 응시(평가C)","기준 없음"))))</f>
        <v/>
      </c>
      <c r="I38">
        <f>IF(A38="","",IF(ISNUMBER(D38),C38,IF(ISNUMBER(평가B!F38),평가B!D38,IF(ISNUMBER(평가C!G38),평가C!E38,""))))</f>
        <v/>
      </c>
      <c r="J38">
        <f>IF(A38="","",진단!D38)</f>
        <v/>
      </c>
      <c r="K38">
        <f>IF(A38="","",IF(AND(ISNUMBER(D38),ISNUMBER(J38)),ROUND(J38-D38,1),""))</f>
        <v/>
      </c>
      <c r="L38">
        <f>IF(A38="","",IF(ISNUMBER(K38),IF(K38&gt;=DIAG_GAP,"교수 확인",""),""))</f>
        <v/>
      </c>
      <c r="M38">
        <f>IF(A38="","",IF(AND(NOT(ISNUMBER(D38)),NOT(ISNUMBER(J38))),"",ROUND((IF(ISNUMBER(D38),D38*EVAL_ITEMS,0)+IF(ISNUMBER(J38),J38*DIAG_ITEMS,0))/(IF(ISNUMBER(D38),EVAL_ITEMS,0)+IF(ISNUMBER(J38),DIAG_ITEMS,0)),1)))</f>
        <v/>
      </c>
      <c r="R38" s="3" t="n"/>
      <c r="S38" s="3" t="n"/>
      <c r="T38" s="3" t="n"/>
      <c r="U38" s="3" t="n"/>
      <c r="W38">
        <f>IF(UPPER(TRIM(R38&amp;""))="","",IF(RIGHT(UPPER(TRIM(R38&amp;"")),2)="-N",TRIM(LEFT(UPPER(TRIM(R38&amp;"")),LEN(UPPER(TRIM(R38&amp;"")))-2)),UPPER(TRIM(R38&amp;""))))</f>
        <v/>
      </c>
      <c r="X38">
        <f>IF(W38="","",IF(ISNUMBER(U38),ROUND(U38,1),IF(AND(ISNUMBER(S38),ISNUMBER(T38)),IF(T38&gt;0,ROUND(S38/T38*100,1),""),"")))</f>
        <v/>
      </c>
      <c r="Y38">
        <f>IF(W38="","",IF(RIGHT(UPPER(TRIM(R38&amp;"")),2)="-N","비경쟁",""))</f>
        <v/>
      </c>
      <c r="Z38">
        <f>IF(W38="","",IF(COUNTIF(참가자!$A$3:$A$52,W38)=0,"명단에 없는 코드",""))</f>
        <v/>
      </c>
      <c r="AA38">
        <f>IF(W38="","",IF(ISNUMBER(U38),ROUND(U38*EVAL_ITEMS/100,1),IF(AND(ISNUMBER(S38),ISNUMBER(T38)),IF(T38&gt;0,S38,""),"")))</f>
        <v/>
      </c>
    </row>
    <row r="39">
      <c r="A39">
        <f>IF(참가자!A39="","",UPPER(TRIM(참가자!A39)))</f>
        <v/>
      </c>
      <c r="B39">
        <f>IF(A39="","",IF(참가자!B39="","(팀 없음)",TRIM(참가자!B39)))</f>
        <v/>
      </c>
      <c r="C39">
        <f>IF(A39="","",IFERROR(INDEX($AA$3:$AA$102,MATCH(A39,$W$3:$W$102,0)),""))</f>
        <v/>
      </c>
      <c r="D39">
        <f>IF(A39="","",IFERROR(INDEX($X$3:$X$102,MATCH(A39,$W$3:$W$102,0)),""))</f>
        <v/>
      </c>
      <c r="E39">
        <f>IF(A39="","",IF(D39="","결석",IF(IFERROR(INDEX($Y$3:$Y$102,MATCH(A39,$W$3:$W$102,0)),"")="비경쟁","비경쟁 응시","응시")))</f>
        <v/>
      </c>
      <c r="F39">
        <f>IF(A39="","",IF(COUNTIF($W$3:$W$102,A39)&gt;1,"중복! 확인",""))</f>
        <v/>
      </c>
      <c r="G39">
        <f>IF(A39="","",IF(ISNUMBER(D39),D39,IF(ISNUMBER(평가B!F39),평가B!F39,IF(ISNUMBER(평가C!G39),평가C!G39,""))))</f>
        <v/>
      </c>
      <c r="H39">
        <f>IF(A39="","",IF(ISNUMBER(D39),"평가A",IF(ISNUMBER(평가B!F39),"첫 응시(평가B)",IF(ISNUMBER(평가C!G39),"첫 응시(평가C)","기준 없음"))))</f>
        <v/>
      </c>
      <c r="I39">
        <f>IF(A39="","",IF(ISNUMBER(D39),C39,IF(ISNUMBER(평가B!F39),평가B!D39,IF(ISNUMBER(평가C!G39),평가C!E39,""))))</f>
        <v/>
      </c>
      <c r="J39">
        <f>IF(A39="","",진단!D39)</f>
        <v/>
      </c>
      <c r="K39">
        <f>IF(A39="","",IF(AND(ISNUMBER(D39),ISNUMBER(J39)),ROUND(J39-D39,1),""))</f>
        <v/>
      </c>
      <c r="L39">
        <f>IF(A39="","",IF(ISNUMBER(K39),IF(K39&gt;=DIAG_GAP,"교수 확인",""),""))</f>
        <v/>
      </c>
      <c r="M39">
        <f>IF(A39="","",IF(AND(NOT(ISNUMBER(D39)),NOT(ISNUMBER(J39))),"",ROUND((IF(ISNUMBER(D39),D39*EVAL_ITEMS,0)+IF(ISNUMBER(J39),J39*DIAG_ITEMS,0))/(IF(ISNUMBER(D39),EVAL_ITEMS,0)+IF(ISNUMBER(J39),DIAG_ITEMS,0)),1)))</f>
        <v/>
      </c>
      <c r="R39" s="3" t="n"/>
      <c r="S39" s="3" t="n"/>
      <c r="T39" s="3" t="n"/>
      <c r="U39" s="3" t="n"/>
      <c r="W39">
        <f>IF(UPPER(TRIM(R39&amp;""))="","",IF(RIGHT(UPPER(TRIM(R39&amp;"")),2)="-N",TRIM(LEFT(UPPER(TRIM(R39&amp;"")),LEN(UPPER(TRIM(R39&amp;"")))-2)),UPPER(TRIM(R39&amp;""))))</f>
        <v/>
      </c>
      <c r="X39">
        <f>IF(W39="","",IF(ISNUMBER(U39),ROUND(U39,1),IF(AND(ISNUMBER(S39),ISNUMBER(T39)),IF(T39&gt;0,ROUND(S39/T39*100,1),""),"")))</f>
        <v/>
      </c>
      <c r="Y39">
        <f>IF(W39="","",IF(RIGHT(UPPER(TRIM(R39&amp;"")),2)="-N","비경쟁",""))</f>
        <v/>
      </c>
      <c r="Z39">
        <f>IF(W39="","",IF(COUNTIF(참가자!$A$3:$A$52,W39)=0,"명단에 없는 코드",""))</f>
        <v/>
      </c>
      <c r="AA39">
        <f>IF(W39="","",IF(ISNUMBER(U39),ROUND(U39*EVAL_ITEMS/100,1),IF(AND(ISNUMBER(S39),ISNUMBER(T39)),IF(T39&gt;0,S39,""),"")))</f>
        <v/>
      </c>
    </row>
    <row r="40">
      <c r="A40">
        <f>IF(참가자!A40="","",UPPER(TRIM(참가자!A40)))</f>
        <v/>
      </c>
      <c r="B40">
        <f>IF(A40="","",IF(참가자!B40="","(팀 없음)",TRIM(참가자!B40)))</f>
        <v/>
      </c>
      <c r="C40">
        <f>IF(A40="","",IFERROR(INDEX($AA$3:$AA$102,MATCH(A40,$W$3:$W$102,0)),""))</f>
        <v/>
      </c>
      <c r="D40">
        <f>IF(A40="","",IFERROR(INDEX($X$3:$X$102,MATCH(A40,$W$3:$W$102,0)),""))</f>
        <v/>
      </c>
      <c r="E40">
        <f>IF(A40="","",IF(D40="","결석",IF(IFERROR(INDEX($Y$3:$Y$102,MATCH(A40,$W$3:$W$102,0)),"")="비경쟁","비경쟁 응시","응시")))</f>
        <v/>
      </c>
      <c r="F40">
        <f>IF(A40="","",IF(COUNTIF($W$3:$W$102,A40)&gt;1,"중복! 확인",""))</f>
        <v/>
      </c>
      <c r="G40">
        <f>IF(A40="","",IF(ISNUMBER(D40),D40,IF(ISNUMBER(평가B!F40),평가B!F40,IF(ISNUMBER(평가C!G40),평가C!G40,""))))</f>
        <v/>
      </c>
      <c r="H40">
        <f>IF(A40="","",IF(ISNUMBER(D40),"평가A",IF(ISNUMBER(평가B!F40),"첫 응시(평가B)",IF(ISNUMBER(평가C!G40),"첫 응시(평가C)","기준 없음"))))</f>
        <v/>
      </c>
      <c r="I40">
        <f>IF(A40="","",IF(ISNUMBER(D40),C40,IF(ISNUMBER(평가B!F40),평가B!D40,IF(ISNUMBER(평가C!G40),평가C!E40,""))))</f>
        <v/>
      </c>
      <c r="J40">
        <f>IF(A40="","",진단!D40)</f>
        <v/>
      </c>
      <c r="K40">
        <f>IF(A40="","",IF(AND(ISNUMBER(D40),ISNUMBER(J40)),ROUND(J40-D40,1),""))</f>
        <v/>
      </c>
      <c r="L40">
        <f>IF(A40="","",IF(ISNUMBER(K40),IF(K40&gt;=DIAG_GAP,"교수 확인",""),""))</f>
        <v/>
      </c>
      <c r="M40">
        <f>IF(A40="","",IF(AND(NOT(ISNUMBER(D40)),NOT(ISNUMBER(J40))),"",ROUND((IF(ISNUMBER(D40),D40*EVAL_ITEMS,0)+IF(ISNUMBER(J40),J40*DIAG_ITEMS,0))/(IF(ISNUMBER(D40),EVAL_ITEMS,0)+IF(ISNUMBER(J40),DIAG_ITEMS,0)),1)))</f>
        <v/>
      </c>
      <c r="R40" s="3" t="n"/>
      <c r="S40" s="3" t="n"/>
      <c r="T40" s="3" t="n"/>
      <c r="U40" s="3" t="n"/>
      <c r="W40">
        <f>IF(UPPER(TRIM(R40&amp;""))="","",IF(RIGHT(UPPER(TRIM(R40&amp;"")),2)="-N",TRIM(LEFT(UPPER(TRIM(R40&amp;"")),LEN(UPPER(TRIM(R40&amp;"")))-2)),UPPER(TRIM(R40&amp;""))))</f>
        <v/>
      </c>
      <c r="X40">
        <f>IF(W40="","",IF(ISNUMBER(U40),ROUND(U40,1),IF(AND(ISNUMBER(S40),ISNUMBER(T40)),IF(T40&gt;0,ROUND(S40/T40*100,1),""),"")))</f>
        <v/>
      </c>
      <c r="Y40">
        <f>IF(W40="","",IF(RIGHT(UPPER(TRIM(R40&amp;"")),2)="-N","비경쟁",""))</f>
        <v/>
      </c>
      <c r="Z40">
        <f>IF(W40="","",IF(COUNTIF(참가자!$A$3:$A$52,W40)=0,"명단에 없는 코드",""))</f>
        <v/>
      </c>
      <c r="AA40">
        <f>IF(W40="","",IF(ISNUMBER(U40),ROUND(U40*EVAL_ITEMS/100,1),IF(AND(ISNUMBER(S40),ISNUMBER(T40)),IF(T40&gt;0,S40,""),"")))</f>
        <v/>
      </c>
    </row>
    <row r="41">
      <c r="A41">
        <f>IF(참가자!A41="","",UPPER(TRIM(참가자!A41)))</f>
        <v/>
      </c>
      <c r="B41">
        <f>IF(A41="","",IF(참가자!B41="","(팀 없음)",TRIM(참가자!B41)))</f>
        <v/>
      </c>
      <c r="C41">
        <f>IF(A41="","",IFERROR(INDEX($AA$3:$AA$102,MATCH(A41,$W$3:$W$102,0)),""))</f>
        <v/>
      </c>
      <c r="D41">
        <f>IF(A41="","",IFERROR(INDEX($X$3:$X$102,MATCH(A41,$W$3:$W$102,0)),""))</f>
        <v/>
      </c>
      <c r="E41">
        <f>IF(A41="","",IF(D41="","결석",IF(IFERROR(INDEX($Y$3:$Y$102,MATCH(A41,$W$3:$W$102,0)),"")="비경쟁","비경쟁 응시","응시")))</f>
        <v/>
      </c>
      <c r="F41">
        <f>IF(A41="","",IF(COUNTIF($W$3:$W$102,A41)&gt;1,"중복! 확인",""))</f>
        <v/>
      </c>
      <c r="G41">
        <f>IF(A41="","",IF(ISNUMBER(D41),D41,IF(ISNUMBER(평가B!F41),평가B!F41,IF(ISNUMBER(평가C!G41),평가C!G41,""))))</f>
        <v/>
      </c>
      <c r="H41">
        <f>IF(A41="","",IF(ISNUMBER(D41),"평가A",IF(ISNUMBER(평가B!F41),"첫 응시(평가B)",IF(ISNUMBER(평가C!G41),"첫 응시(평가C)","기준 없음"))))</f>
        <v/>
      </c>
      <c r="I41">
        <f>IF(A41="","",IF(ISNUMBER(D41),C41,IF(ISNUMBER(평가B!F41),평가B!D41,IF(ISNUMBER(평가C!G41),평가C!E41,""))))</f>
        <v/>
      </c>
      <c r="J41">
        <f>IF(A41="","",진단!D41)</f>
        <v/>
      </c>
      <c r="K41">
        <f>IF(A41="","",IF(AND(ISNUMBER(D41),ISNUMBER(J41)),ROUND(J41-D41,1),""))</f>
        <v/>
      </c>
      <c r="L41">
        <f>IF(A41="","",IF(ISNUMBER(K41),IF(K41&gt;=DIAG_GAP,"교수 확인",""),""))</f>
        <v/>
      </c>
      <c r="M41">
        <f>IF(A41="","",IF(AND(NOT(ISNUMBER(D41)),NOT(ISNUMBER(J41))),"",ROUND((IF(ISNUMBER(D41),D41*EVAL_ITEMS,0)+IF(ISNUMBER(J41),J41*DIAG_ITEMS,0))/(IF(ISNUMBER(D41),EVAL_ITEMS,0)+IF(ISNUMBER(J41),DIAG_ITEMS,0)),1)))</f>
        <v/>
      </c>
      <c r="R41" s="3" t="n"/>
      <c r="S41" s="3" t="n"/>
      <c r="T41" s="3" t="n"/>
      <c r="U41" s="3" t="n"/>
      <c r="W41">
        <f>IF(UPPER(TRIM(R41&amp;""))="","",IF(RIGHT(UPPER(TRIM(R41&amp;"")),2)="-N",TRIM(LEFT(UPPER(TRIM(R41&amp;"")),LEN(UPPER(TRIM(R41&amp;"")))-2)),UPPER(TRIM(R41&amp;""))))</f>
        <v/>
      </c>
      <c r="X41">
        <f>IF(W41="","",IF(ISNUMBER(U41),ROUND(U41,1),IF(AND(ISNUMBER(S41),ISNUMBER(T41)),IF(T41&gt;0,ROUND(S41/T41*100,1),""),"")))</f>
        <v/>
      </c>
      <c r="Y41">
        <f>IF(W41="","",IF(RIGHT(UPPER(TRIM(R41&amp;"")),2)="-N","비경쟁",""))</f>
        <v/>
      </c>
      <c r="Z41">
        <f>IF(W41="","",IF(COUNTIF(참가자!$A$3:$A$52,W41)=0,"명단에 없는 코드",""))</f>
        <v/>
      </c>
      <c r="AA41">
        <f>IF(W41="","",IF(ISNUMBER(U41),ROUND(U41*EVAL_ITEMS/100,1),IF(AND(ISNUMBER(S41),ISNUMBER(T41)),IF(T41&gt;0,S41,""),"")))</f>
        <v/>
      </c>
    </row>
    <row r="42">
      <c r="A42">
        <f>IF(참가자!A42="","",UPPER(TRIM(참가자!A42)))</f>
        <v/>
      </c>
      <c r="B42">
        <f>IF(A42="","",IF(참가자!B42="","(팀 없음)",TRIM(참가자!B42)))</f>
        <v/>
      </c>
      <c r="C42">
        <f>IF(A42="","",IFERROR(INDEX($AA$3:$AA$102,MATCH(A42,$W$3:$W$102,0)),""))</f>
        <v/>
      </c>
      <c r="D42">
        <f>IF(A42="","",IFERROR(INDEX($X$3:$X$102,MATCH(A42,$W$3:$W$102,0)),""))</f>
        <v/>
      </c>
      <c r="E42">
        <f>IF(A42="","",IF(D42="","결석",IF(IFERROR(INDEX($Y$3:$Y$102,MATCH(A42,$W$3:$W$102,0)),"")="비경쟁","비경쟁 응시","응시")))</f>
        <v/>
      </c>
      <c r="F42">
        <f>IF(A42="","",IF(COUNTIF($W$3:$W$102,A42)&gt;1,"중복! 확인",""))</f>
        <v/>
      </c>
      <c r="G42">
        <f>IF(A42="","",IF(ISNUMBER(D42),D42,IF(ISNUMBER(평가B!F42),평가B!F42,IF(ISNUMBER(평가C!G42),평가C!G42,""))))</f>
        <v/>
      </c>
      <c r="H42">
        <f>IF(A42="","",IF(ISNUMBER(D42),"평가A",IF(ISNUMBER(평가B!F42),"첫 응시(평가B)",IF(ISNUMBER(평가C!G42),"첫 응시(평가C)","기준 없음"))))</f>
        <v/>
      </c>
      <c r="I42">
        <f>IF(A42="","",IF(ISNUMBER(D42),C42,IF(ISNUMBER(평가B!F42),평가B!D42,IF(ISNUMBER(평가C!G42),평가C!E42,""))))</f>
        <v/>
      </c>
      <c r="J42">
        <f>IF(A42="","",진단!D42)</f>
        <v/>
      </c>
      <c r="K42">
        <f>IF(A42="","",IF(AND(ISNUMBER(D42),ISNUMBER(J42)),ROUND(J42-D42,1),""))</f>
        <v/>
      </c>
      <c r="L42">
        <f>IF(A42="","",IF(ISNUMBER(K42),IF(K42&gt;=DIAG_GAP,"교수 확인",""),""))</f>
        <v/>
      </c>
      <c r="M42">
        <f>IF(A42="","",IF(AND(NOT(ISNUMBER(D42)),NOT(ISNUMBER(J42))),"",ROUND((IF(ISNUMBER(D42),D42*EVAL_ITEMS,0)+IF(ISNUMBER(J42),J42*DIAG_ITEMS,0))/(IF(ISNUMBER(D42),EVAL_ITEMS,0)+IF(ISNUMBER(J42),DIAG_ITEMS,0)),1)))</f>
        <v/>
      </c>
      <c r="R42" s="3" t="n"/>
      <c r="S42" s="3" t="n"/>
      <c r="T42" s="3" t="n"/>
      <c r="U42" s="3" t="n"/>
      <c r="W42">
        <f>IF(UPPER(TRIM(R42&amp;""))="","",IF(RIGHT(UPPER(TRIM(R42&amp;"")),2)="-N",TRIM(LEFT(UPPER(TRIM(R42&amp;"")),LEN(UPPER(TRIM(R42&amp;"")))-2)),UPPER(TRIM(R42&amp;""))))</f>
        <v/>
      </c>
      <c r="X42">
        <f>IF(W42="","",IF(ISNUMBER(U42),ROUND(U42,1),IF(AND(ISNUMBER(S42),ISNUMBER(T42)),IF(T42&gt;0,ROUND(S42/T42*100,1),""),"")))</f>
        <v/>
      </c>
      <c r="Y42">
        <f>IF(W42="","",IF(RIGHT(UPPER(TRIM(R42&amp;"")),2)="-N","비경쟁",""))</f>
        <v/>
      </c>
      <c r="Z42">
        <f>IF(W42="","",IF(COUNTIF(참가자!$A$3:$A$52,W42)=0,"명단에 없는 코드",""))</f>
        <v/>
      </c>
      <c r="AA42">
        <f>IF(W42="","",IF(ISNUMBER(U42),ROUND(U42*EVAL_ITEMS/100,1),IF(AND(ISNUMBER(S42),ISNUMBER(T42)),IF(T42&gt;0,S42,""),"")))</f>
        <v/>
      </c>
    </row>
    <row r="43">
      <c r="A43">
        <f>IF(참가자!A43="","",UPPER(TRIM(참가자!A43)))</f>
        <v/>
      </c>
      <c r="B43">
        <f>IF(A43="","",IF(참가자!B43="","(팀 없음)",TRIM(참가자!B43)))</f>
        <v/>
      </c>
      <c r="C43">
        <f>IF(A43="","",IFERROR(INDEX($AA$3:$AA$102,MATCH(A43,$W$3:$W$102,0)),""))</f>
        <v/>
      </c>
      <c r="D43">
        <f>IF(A43="","",IFERROR(INDEX($X$3:$X$102,MATCH(A43,$W$3:$W$102,0)),""))</f>
        <v/>
      </c>
      <c r="E43">
        <f>IF(A43="","",IF(D43="","결석",IF(IFERROR(INDEX($Y$3:$Y$102,MATCH(A43,$W$3:$W$102,0)),"")="비경쟁","비경쟁 응시","응시")))</f>
        <v/>
      </c>
      <c r="F43">
        <f>IF(A43="","",IF(COUNTIF($W$3:$W$102,A43)&gt;1,"중복! 확인",""))</f>
        <v/>
      </c>
      <c r="G43">
        <f>IF(A43="","",IF(ISNUMBER(D43),D43,IF(ISNUMBER(평가B!F43),평가B!F43,IF(ISNUMBER(평가C!G43),평가C!G43,""))))</f>
        <v/>
      </c>
      <c r="H43">
        <f>IF(A43="","",IF(ISNUMBER(D43),"평가A",IF(ISNUMBER(평가B!F43),"첫 응시(평가B)",IF(ISNUMBER(평가C!G43),"첫 응시(평가C)","기준 없음"))))</f>
        <v/>
      </c>
      <c r="I43">
        <f>IF(A43="","",IF(ISNUMBER(D43),C43,IF(ISNUMBER(평가B!F43),평가B!D43,IF(ISNUMBER(평가C!G43),평가C!E43,""))))</f>
        <v/>
      </c>
      <c r="J43">
        <f>IF(A43="","",진단!D43)</f>
        <v/>
      </c>
      <c r="K43">
        <f>IF(A43="","",IF(AND(ISNUMBER(D43),ISNUMBER(J43)),ROUND(J43-D43,1),""))</f>
        <v/>
      </c>
      <c r="L43">
        <f>IF(A43="","",IF(ISNUMBER(K43),IF(K43&gt;=DIAG_GAP,"교수 확인",""),""))</f>
        <v/>
      </c>
      <c r="M43">
        <f>IF(A43="","",IF(AND(NOT(ISNUMBER(D43)),NOT(ISNUMBER(J43))),"",ROUND((IF(ISNUMBER(D43),D43*EVAL_ITEMS,0)+IF(ISNUMBER(J43),J43*DIAG_ITEMS,0))/(IF(ISNUMBER(D43),EVAL_ITEMS,0)+IF(ISNUMBER(J43),DIAG_ITEMS,0)),1)))</f>
        <v/>
      </c>
      <c r="R43" s="3" t="n"/>
      <c r="S43" s="3" t="n"/>
      <c r="T43" s="3" t="n"/>
      <c r="U43" s="3" t="n"/>
      <c r="W43">
        <f>IF(UPPER(TRIM(R43&amp;""))="","",IF(RIGHT(UPPER(TRIM(R43&amp;"")),2)="-N",TRIM(LEFT(UPPER(TRIM(R43&amp;"")),LEN(UPPER(TRIM(R43&amp;"")))-2)),UPPER(TRIM(R43&amp;""))))</f>
        <v/>
      </c>
      <c r="X43">
        <f>IF(W43="","",IF(ISNUMBER(U43),ROUND(U43,1),IF(AND(ISNUMBER(S43),ISNUMBER(T43)),IF(T43&gt;0,ROUND(S43/T43*100,1),""),"")))</f>
        <v/>
      </c>
      <c r="Y43">
        <f>IF(W43="","",IF(RIGHT(UPPER(TRIM(R43&amp;"")),2)="-N","비경쟁",""))</f>
        <v/>
      </c>
      <c r="Z43">
        <f>IF(W43="","",IF(COUNTIF(참가자!$A$3:$A$52,W43)=0,"명단에 없는 코드",""))</f>
        <v/>
      </c>
      <c r="AA43">
        <f>IF(W43="","",IF(ISNUMBER(U43),ROUND(U43*EVAL_ITEMS/100,1),IF(AND(ISNUMBER(S43),ISNUMBER(T43)),IF(T43&gt;0,S43,""),"")))</f>
        <v/>
      </c>
    </row>
    <row r="44">
      <c r="A44">
        <f>IF(참가자!A44="","",UPPER(TRIM(참가자!A44)))</f>
        <v/>
      </c>
      <c r="B44">
        <f>IF(A44="","",IF(참가자!B44="","(팀 없음)",TRIM(참가자!B44)))</f>
        <v/>
      </c>
      <c r="C44">
        <f>IF(A44="","",IFERROR(INDEX($AA$3:$AA$102,MATCH(A44,$W$3:$W$102,0)),""))</f>
        <v/>
      </c>
      <c r="D44">
        <f>IF(A44="","",IFERROR(INDEX($X$3:$X$102,MATCH(A44,$W$3:$W$102,0)),""))</f>
        <v/>
      </c>
      <c r="E44">
        <f>IF(A44="","",IF(D44="","결석",IF(IFERROR(INDEX($Y$3:$Y$102,MATCH(A44,$W$3:$W$102,0)),"")="비경쟁","비경쟁 응시","응시")))</f>
        <v/>
      </c>
      <c r="F44">
        <f>IF(A44="","",IF(COUNTIF($W$3:$W$102,A44)&gt;1,"중복! 확인",""))</f>
        <v/>
      </c>
      <c r="G44">
        <f>IF(A44="","",IF(ISNUMBER(D44),D44,IF(ISNUMBER(평가B!F44),평가B!F44,IF(ISNUMBER(평가C!G44),평가C!G44,""))))</f>
        <v/>
      </c>
      <c r="H44">
        <f>IF(A44="","",IF(ISNUMBER(D44),"평가A",IF(ISNUMBER(평가B!F44),"첫 응시(평가B)",IF(ISNUMBER(평가C!G44),"첫 응시(평가C)","기준 없음"))))</f>
        <v/>
      </c>
      <c r="I44">
        <f>IF(A44="","",IF(ISNUMBER(D44),C44,IF(ISNUMBER(평가B!F44),평가B!D44,IF(ISNUMBER(평가C!G44),평가C!E44,""))))</f>
        <v/>
      </c>
      <c r="J44">
        <f>IF(A44="","",진단!D44)</f>
        <v/>
      </c>
      <c r="K44">
        <f>IF(A44="","",IF(AND(ISNUMBER(D44),ISNUMBER(J44)),ROUND(J44-D44,1),""))</f>
        <v/>
      </c>
      <c r="L44">
        <f>IF(A44="","",IF(ISNUMBER(K44),IF(K44&gt;=DIAG_GAP,"교수 확인",""),""))</f>
        <v/>
      </c>
      <c r="M44">
        <f>IF(A44="","",IF(AND(NOT(ISNUMBER(D44)),NOT(ISNUMBER(J44))),"",ROUND((IF(ISNUMBER(D44),D44*EVAL_ITEMS,0)+IF(ISNUMBER(J44),J44*DIAG_ITEMS,0))/(IF(ISNUMBER(D44),EVAL_ITEMS,0)+IF(ISNUMBER(J44),DIAG_ITEMS,0)),1)))</f>
        <v/>
      </c>
      <c r="R44" s="3" t="n"/>
      <c r="S44" s="3" t="n"/>
      <c r="T44" s="3" t="n"/>
      <c r="U44" s="3" t="n"/>
      <c r="W44">
        <f>IF(UPPER(TRIM(R44&amp;""))="","",IF(RIGHT(UPPER(TRIM(R44&amp;"")),2)="-N",TRIM(LEFT(UPPER(TRIM(R44&amp;"")),LEN(UPPER(TRIM(R44&amp;"")))-2)),UPPER(TRIM(R44&amp;""))))</f>
        <v/>
      </c>
      <c r="X44">
        <f>IF(W44="","",IF(ISNUMBER(U44),ROUND(U44,1),IF(AND(ISNUMBER(S44),ISNUMBER(T44)),IF(T44&gt;0,ROUND(S44/T44*100,1),""),"")))</f>
        <v/>
      </c>
      <c r="Y44">
        <f>IF(W44="","",IF(RIGHT(UPPER(TRIM(R44&amp;"")),2)="-N","비경쟁",""))</f>
        <v/>
      </c>
      <c r="Z44">
        <f>IF(W44="","",IF(COUNTIF(참가자!$A$3:$A$52,W44)=0,"명단에 없는 코드",""))</f>
        <v/>
      </c>
      <c r="AA44">
        <f>IF(W44="","",IF(ISNUMBER(U44),ROUND(U44*EVAL_ITEMS/100,1),IF(AND(ISNUMBER(S44),ISNUMBER(T44)),IF(T44&gt;0,S44,""),"")))</f>
        <v/>
      </c>
    </row>
    <row r="45">
      <c r="A45">
        <f>IF(참가자!A45="","",UPPER(TRIM(참가자!A45)))</f>
        <v/>
      </c>
      <c r="B45">
        <f>IF(A45="","",IF(참가자!B45="","(팀 없음)",TRIM(참가자!B45)))</f>
        <v/>
      </c>
      <c r="C45">
        <f>IF(A45="","",IFERROR(INDEX($AA$3:$AA$102,MATCH(A45,$W$3:$W$102,0)),""))</f>
        <v/>
      </c>
      <c r="D45">
        <f>IF(A45="","",IFERROR(INDEX($X$3:$X$102,MATCH(A45,$W$3:$W$102,0)),""))</f>
        <v/>
      </c>
      <c r="E45">
        <f>IF(A45="","",IF(D45="","결석",IF(IFERROR(INDEX($Y$3:$Y$102,MATCH(A45,$W$3:$W$102,0)),"")="비경쟁","비경쟁 응시","응시")))</f>
        <v/>
      </c>
      <c r="F45">
        <f>IF(A45="","",IF(COUNTIF($W$3:$W$102,A45)&gt;1,"중복! 확인",""))</f>
        <v/>
      </c>
      <c r="G45">
        <f>IF(A45="","",IF(ISNUMBER(D45),D45,IF(ISNUMBER(평가B!F45),평가B!F45,IF(ISNUMBER(평가C!G45),평가C!G45,""))))</f>
        <v/>
      </c>
      <c r="H45">
        <f>IF(A45="","",IF(ISNUMBER(D45),"평가A",IF(ISNUMBER(평가B!F45),"첫 응시(평가B)",IF(ISNUMBER(평가C!G45),"첫 응시(평가C)","기준 없음"))))</f>
        <v/>
      </c>
      <c r="I45">
        <f>IF(A45="","",IF(ISNUMBER(D45),C45,IF(ISNUMBER(평가B!F45),평가B!D45,IF(ISNUMBER(평가C!G45),평가C!E45,""))))</f>
        <v/>
      </c>
      <c r="J45">
        <f>IF(A45="","",진단!D45)</f>
        <v/>
      </c>
      <c r="K45">
        <f>IF(A45="","",IF(AND(ISNUMBER(D45),ISNUMBER(J45)),ROUND(J45-D45,1),""))</f>
        <v/>
      </c>
      <c r="L45">
        <f>IF(A45="","",IF(ISNUMBER(K45),IF(K45&gt;=DIAG_GAP,"교수 확인",""),""))</f>
        <v/>
      </c>
      <c r="M45">
        <f>IF(A45="","",IF(AND(NOT(ISNUMBER(D45)),NOT(ISNUMBER(J45))),"",ROUND((IF(ISNUMBER(D45),D45*EVAL_ITEMS,0)+IF(ISNUMBER(J45),J45*DIAG_ITEMS,0))/(IF(ISNUMBER(D45),EVAL_ITEMS,0)+IF(ISNUMBER(J45),DIAG_ITEMS,0)),1)))</f>
        <v/>
      </c>
      <c r="R45" s="3" t="n"/>
      <c r="S45" s="3" t="n"/>
      <c r="T45" s="3" t="n"/>
      <c r="U45" s="3" t="n"/>
      <c r="W45">
        <f>IF(UPPER(TRIM(R45&amp;""))="","",IF(RIGHT(UPPER(TRIM(R45&amp;"")),2)="-N",TRIM(LEFT(UPPER(TRIM(R45&amp;"")),LEN(UPPER(TRIM(R45&amp;"")))-2)),UPPER(TRIM(R45&amp;""))))</f>
        <v/>
      </c>
      <c r="X45">
        <f>IF(W45="","",IF(ISNUMBER(U45),ROUND(U45,1),IF(AND(ISNUMBER(S45),ISNUMBER(T45)),IF(T45&gt;0,ROUND(S45/T45*100,1),""),"")))</f>
        <v/>
      </c>
      <c r="Y45">
        <f>IF(W45="","",IF(RIGHT(UPPER(TRIM(R45&amp;"")),2)="-N","비경쟁",""))</f>
        <v/>
      </c>
      <c r="Z45">
        <f>IF(W45="","",IF(COUNTIF(참가자!$A$3:$A$52,W45)=0,"명단에 없는 코드",""))</f>
        <v/>
      </c>
      <c r="AA45">
        <f>IF(W45="","",IF(ISNUMBER(U45),ROUND(U45*EVAL_ITEMS/100,1),IF(AND(ISNUMBER(S45),ISNUMBER(T45)),IF(T45&gt;0,S45,""),"")))</f>
        <v/>
      </c>
    </row>
    <row r="46">
      <c r="A46">
        <f>IF(참가자!A46="","",UPPER(TRIM(참가자!A46)))</f>
        <v/>
      </c>
      <c r="B46">
        <f>IF(A46="","",IF(참가자!B46="","(팀 없음)",TRIM(참가자!B46)))</f>
        <v/>
      </c>
      <c r="C46">
        <f>IF(A46="","",IFERROR(INDEX($AA$3:$AA$102,MATCH(A46,$W$3:$W$102,0)),""))</f>
        <v/>
      </c>
      <c r="D46">
        <f>IF(A46="","",IFERROR(INDEX($X$3:$X$102,MATCH(A46,$W$3:$W$102,0)),""))</f>
        <v/>
      </c>
      <c r="E46">
        <f>IF(A46="","",IF(D46="","결석",IF(IFERROR(INDEX($Y$3:$Y$102,MATCH(A46,$W$3:$W$102,0)),"")="비경쟁","비경쟁 응시","응시")))</f>
        <v/>
      </c>
      <c r="F46">
        <f>IF(A46="","",IF(COUNTIF($W$3:$W$102,A46)&gt;1,"중복! 확인",""))</f>
        <v/>
      </c>
      <c r="G46">
        <f>IF(A46="","",IF(ISNUMBER(D46),D46,IF(ISNUMBER(평가B!F46),평가B!F46,IF(ISNUMBER(평가C!G46),평가C!G46,""))))</f>
        <v/>
      </c>
      <c r="H46">
        <f>IF(A46="","",IF(ISNUMBER(D46),"평가A",IF(ISNUMBER(평가B!F46),"첫 응시(평가B)",IF(ISNUMBER(평가C!G46),"첫 응시(평가C)","기준 없음"))))</f>
        <v/>
      </c>
      <c r="I46">
        <f>IF(A46="","",IF(ISNUMBER(D46),C46,IF(ISNUMBER(평가B!F46),평가B!D46,IF(ISNUMBER(평가C!G46),평가C!E46,""))))</f>
        <v/>
      </c>
      <c r="J46">
        <f>IF(A46="","",진단!D46)</f>
        <v/>
      </c>
      <c r="K46">
        <f>IF(A46="","",IF(AND(ISNUMBER(D46),ISNUMBER(J46)),ROUND(J46-D46,1),""))</f>
        <v/>
      </c>
      <c r="L46">
        <f>IF(A46="","",IF(ISNUMBER(K46),IF(K46&gt;=DIAG_GAP,"교수 확인",""),""))</f>
        <v/>
      </c>
      <c r="M46">
        <f>IF(A46="","",IF(AND(NOT(ISNUMBER(D46)),NOT(ISNUMBER(J46))),"",ROUND((IF(ISNUMBER(D46),D46*EVAL_ITEMS,0)+IF(ISNUMBER(J46),J46*DIAG_ITEMS,0))/(IF(ISNUMBER(D46),EVAL_ITEMS,0)+IF(ISNUMBER(J46),DIAG_ITEMS,0)),1)))</f>
        <v/>
      </c>
      <c r="R46" s="3" t="n"/>
      <c r="S46" s="3" t="n"/>
      <c r="T46" s="3" t="n"/>
      <c r="U46" s="3" t="n"/>
      <c r="W46">
        <f>IF(UPPER(TRIM(R46&amp;""))="","",IF(RIGHT(UPPER(TRIM(R46&amp;"")),2)="-N",TRIM(LEFT(UPPER(TRIM(R46&amp;"")),LEN(UPPER(TRIM(R46&amp;"")))-2)),UPPER(TRIM(R46&amp;""))))</f>
        <v/>
      </c>
      <c r="X46">
        <f>IF(W46="","",IF(ISNUMBER(U46),ROUND(U46,1),IF(AND(ISNUMBER(S46),ISNUMBER(T46)),IF(T46&gt;0,ROUND(S46/T46*100,1),""),"")))</f>
        <v/>
      </c>
      <c r="Y46">
        <f>IF(W46="","",IF(RIGHT(UPPER(TRIM(R46&amp;"")),2)="-N","비경쟁",""))</f>
        <v/>
      </c>
      <c r="Z46">
        <f>IF(W46="","",IF(COUNTIF(참가자!$A$3:$A$52,W46)=0,"명단에 없는 코드",""))</f>
        <v/>
      </c>
      <c r="AA46">
        <f>IF(W46="","",IF(ISNUMBER(U46),ROUND(U46*EVAL_ITEMS/100,1),IF(AND(ISNUMBER(S46),ISNUMBER(T46)),IF(T46&gt;0,S46,""),"")))</f>
        <v/>
      </c>
    </row>
    <row r="47">
      <c r="A47">
        <f>IF(참가자!A47="","",UPPER(TRIM(참가자!A47)))</f>
        <v/>
      </c>
      <c r="B47">
        <f>IF(A47="","",IF(참가자!B47="","(팀 없음)",TRIM(참가자!B47)))</f>
        <v/>
      </c>
      <c r="C47">
        <f>IF(A47="","",IFERROR(INDEX($AA$3:$AA$102,MATCH(A47,$W$3:$W$102,0)),""))</f>
        <v/>
      </c>
      <c r="D47">
        <f>IF(A47="","",IFERROR(INDEX($X$3:$X$102,MATCH(A47,$W$3:$W$102,0)),""))</f>
        <v/>
      </c>
      <c r="E47">
        <f>IF(A47="","",IF(D47="","결석",IF(IFERROR(INDEX($Y$3:$Y$102,MATCH(A47,$W$3:$W$102,0)),"")="비경쟁","비경쟁 응시","응시")))</f>
        <v/>
      </c>
      <c r="F47">
        <f>IF(A47="","",IF(COUNTIF($W$3:$W$102,A47)&gt;1,"중복! 확인",""))</f>
        <v/>
      </c>
      <c r="G47">
        <f>IF(A47="","",IF(ISNUMBER(D47),D47,IF(ISNUMBER(평가B!F47),평가B!F47,IF(ISNUMBER(평가C!G47),평가C!G47,""))))</f>
        <v/>
      </c>
      <c r="H47">
        <f>IF(A47="","",IF(ISNUMBER(D47),"평가A",IF(ISNUMBER(평가B!F47),"첫 응시(평가B)",IF(ISNUMBER(평가C!G47),"첫 응시(평가C)","기준 없음"))))</f>
        <v/>
      </c>
      <c r="I47">
        <f>IF(A47="","",IF(ISNUMBER(D47),C47,IF(ISNUMBER(평가B!F47),평가B!D47,IF(ISNUMBER(평가C!G47),평가C!E47,""))))</f>
        <v/>
      </c>
      <c r="J47">
        <f>IF(A47="","",진단!D47)</f>
        <v/>
      </c>
      <c r="K47">
        <f>IF(A47="","",IF(AND(ISNUMBER(D47),ISNUMBER(J47)),ROUND(J47-D47,1),""))</f>
        <v/>
      </c>
      <c r="L47">
        <f>IF(A47="","",IF(ISNUMBER(K47),IF(K47&gt;=DIAG_GAP,"교수 확인",""),""))</f>
        <v/>
      </c>
      <c r="M47">
        <f>IF(A47="","",IF(AND(NOT(ISNUMBER(D47)),NOT(ISNUMBER(J47))),"",ROUND((IF(ISNUMBER(D47),D47*EVAL_ITEMS,0)+IF(ISNUMBER(J47),J47*DIAG_ITEMS,0))/(IF(ISNUMBER(D47),EVAL_ITEMS,0)+IF(ISNUMBER(J47),DIAG_ITEMS,0)),1)))</f>
        <v/>
      </c>
      <c r="R47" s="3" t="n"/>
      <c r="S47" s="3" t="n"/>
      <c r="T47" s="3" t="n"/>
      <c r="U47" s="3" t="n"/>
      <c r="W47">
        <f>IF(UPPER(TRIM(R47&amp;""))="","",IF(RIGHT(UPPER(TRIM(R47&amp;"")),2)="-N",TRIM(LEFT(UPPER(TRIM(R47&amp;"")),LEN(UPPER(TRIM(R47&amp;"")))-2)),UPPER(TRIM(R47&amp;""))))</f>
        <v/>
      </c>
      <c r="X47">
        <f>IF(W47="","",IF(ISNUMBER(U47),ROUND(U47,1),IF(AND(ISNUMBER(S47),ISNUMBER(T47)),IF(T47&gt;0,ROUND(S47/T47*100,1),""),"")))</f>
        <v/>
      </c>
      <c r="Y47">
        <f>IF(W47="","",IF(RIGHT(UPPER(TRIM(R47&amp;"")),2)="-N","비경쟁",""))</f>
        <v/>
      </c>
      <c r="Z47">
        <f>IF(W47="","",IF(COUNTIF(참가자!$A$3:$A$52,W47)=0,"명단에 없는 코드",""))</f>
        <v/>
      </c>
      <c r="AA47">
        <f>IF(W47="","",IF(ISNUMBER(U47),ROUND(U47*EVAL_ITEMS/100,1),IF(AND(ISNUMBER(S47),ISNUMBER(T47)),IF(T47&gt;0,S47,""),"")))</f>
        <v/>
      </c>
    </row>
    <row r="48">
      <c r="A48">
        <f>IF(참가자!A48="","",UPPER(TRIM(참가자!A48)))</f>
        <v/>
      </c>
      <c r="B48">
        <f>IF(A48="","",IF(참가자!B48="","(팀 없음)",TRIM(참가자!B48)))</f>
        <v/>
      </c>
      <c r="C48">
        <f>IF(A48="","",IFERROR(INDEX($AA$3:$AA$102,MATCH(A48,$W$3:$W$102,0)),""))</f>
        <v/>
      </c>
      <c r="D48">
        <f>IF(A48="","",IFERROR(INDEX($X$3:$X$102,MATCH(A48,$W$3:$W$102,0)),""))</f>
        <v/>
      </c>
      <c r="E48">
        <f>IF(A48="","",IF(D48="","결석",IF(IFERROR(INDEX($Y$3:$Y$102,MATCH(A48,$W$3:$W$102,0)),"")="비경쟁","비경쟁 응시","응시")))</f>
        <v/>
      </c>
      <c r="F48">
        <f>IF(A48="","",IF(COUNTIF($W$3:$W$102,A48)&gt;1,"중복! 확인",""))</f>
        <v/>
      </c>
      <c r="G48">
        <f>IF(A48="","",IF(ISNUMBER(D48),D48,IF(ISNUMBER(평가B!F48),평가B!F48,IF(ISNUMBER(평가C!G48),평가C!G48,""))))</f>
        <v/>
      </c>
      <c r="H48">
        <f>IF(A48="","",IF(ISNUMBER(D48),"평가A",IF(ISNUMBER(평가B!F48),"첫 응시(평가B)",IF(ISNUMBER(평가C!G48),"첫 응시(평가C)","기준 없음"))))</f>
        <v/>
      </c>
      <c r="I48">
        <f>IF(A48="","",IF(ISNUMBER(D48),C48,IF(ISNUMBER(평가B!F48),평가B!D48,IF(ISNUMBER(평가C!G48),평가C!E48,""))))</f>
        <v/>
      </c>
      <c r="J48">
        <f>IF(A48="","",진단!D48)</f>
        <v/>
      </c>
      <c r="K48">
        <f>IF(A48="","",IF(AND(ISNUMBER(D48),ISNUMBER(J48)),ROUND(J48-D48,1),""))</f>
        <v/>
      </c>
      <c r="L48">
        <f>IF(A48="","",IF(ISNUMBER(K48),IF(K48&gt;=DIAG_GAP,"교수 확인",""),""))</f>
        <v/>
      </c>
      <c r="M48">
        <f>IF(A48="","",IF(AND(NOT(ISNUMBER(D48)),NOT(ISNUMBER(J48))),"",ROUND((IF(ISNUMBER(D48),D48*EVAL_ITEMS,0)+IF(ISNUMBER(J48),J48*DIAG_ITEMS,0))/(IF(ISNUMBER(D48),EVAL_ITEMS,0)+IF(ISNUMBER(J48),DIAG_ITEMS,0)),1)))</f>
        <v/>
      </c>
      <c r="R48" s="3" t="n"/>
      <c r="S48" s="3" t="n"/>
      <c r="T48" s="3" t="n"/>
      <c r="U48" s="3" t="n"/>
      <c r="W48">
        <f>IF(UPPER(TRIM(R48&amp;""))="","",IF(RIGHT(UPPER(TRIM(R48&amp;"")),2)="-N",TRIM(LEFT(UPPER(TRIM(R48&amp;"")),LEN(UPPER(TRIM(R48&amp;"")))-2)),UPPER(TRIM(R48&amp;""))))</f>
        <v/>
      </c>
      <c r="X48">
        <f>IF(W48="","",IF(ISNUMBER(U48),ROUND(U48,1),IF(AND(ISNUMBER(S48),ISNUMBER(T48)),IF(T48&gt;0,ROUND(S48/T48*100,1),""),"")))</f>
        <v/>
      </c>
      <c r="Y48">
        <f>IF(W48="","",IF(RIGHT(UPPER(TRIM(R48&amp;"")),2)="-N","비경쟁",""))</f>
        <v/>
      </c>
      <c r="Z48">
        <f>IF(W48="","",IF(COUNTIF(참가자!$A$3:$A$52,W48)=0,"명단에 없는 코드",""))</f>
        <v/>
      </c>
      <c r="AA48">
        <f>IF(W48="","",IF(ISNUMBER(U48),ROUND(U48*EVAL_ITEMS/100,1),IF(AND(ISNUMBER(S48),ISNUMBER(T48)),IF(T48&gt;0,S48,""),"")))</f>
        <v/>
      </c>
    </row>
    <row r="49">
      <c r="A49">
        <f>IF(참가자!A49="","",UPPER(TRIM(참가자!A49)))</f>
        <v/>
      </c>
      <c r="B49">
        <f>IF(A49="","",IF(참가자!B49="","(팀 없음)",TRIM(참가자!B49)))</f>
        <v/>
      </c>
      <c r="C49">
        <f>IF(A49="","",IFERROR(INDEX($AA$3:$AA$102,MATCH(A49,$W$3:$W$102,0)),""))</f>
        <v/>
      </c>
      <c r="D49">
        <f>IF(A49="","",IFERROR(INDEX($X$3:$X$102,MATCH(A49,$W$3:$W$102,0)),""))</f>
        <v/>
      </c>
      <c r="E49">
        <f>IF(A49="","",IF(D49="","결석",IF(IFERROR(INDEX($Y$3:$Y$102,MATCH(A49,$W$3:$W$102,0)),"")="비경쟁","비경쟁 응시","응시")))</f>
        <v/>
      </c>
      <c r="F49">
        <f>IF(A49="","",IF(COUNTIF($W$3:$W$102,A49)&gt;1,"중복! 확인",""))</f>
        <v/>
      </c>
      <c r="G49">
        <f>IF(A49="","",IF(ISNUMBER(D49),D49,IF(ISNUMBER(평가B!F49),평가B!F49,IF(ISNUMBER(평가C!G49),평가C!G49,""))))</f>
        <v/>
      </c>
      <c r="H49">
        <f>IF(A49="","",IF(ISNUMBER(D49),"평가A",IF(ISNUMBER(평가B!F49),"첫 응시(평가B)",IF(ISNUMBER(평가C!G49),"첫 응시(평가C)","기준 없음"))))</f>
        <v/>
      </c>
      <c r="I49">
        <f>IF(A49="","",IF(ISNUMBER(D49),C49,IF(ISNUMBER(평가B!F49),평가B!D49,IF(ISNUMBER(평가C!G49),평가C!E49,""))))</f>
        <v/>
      </c>
      <c r="J49">
        <f>IF(A49="","",진단!D49)</f>
        <v/>
      </c>
      <c r="K49">
        <f>IF(A49="","",IF(AND(ISNUMBER(D49),ISNUMBER(J49)),ROUND(J49-D49,1),""))</f>
        <v/>
      </c>
      <c r="L49">
        <f>IF(A49="","",IF(ISNUMBER(K49),IF(K49&gt;=DIAG_GAP,"교수 확인",""),""))</f>
        <v/>
      </c>
      <c r="M49">
        <f>IF(A49="","",IF(AND(NOT(ISNUMBER(D49)),NOT(ISNUMBER(J49))),"",ROUND((IF(ISNUMBER(D49),D49*EVAL_ITEMS,0)+IF(ISNUMBER(J49),J49*DIAG_ITEMS,0))/(IF(ISNUMBER(D49),EVAL_ITEMS,0)+IF(ISNUMBER(J49),DIAG_ITEMS,0)),1)))</f>
        <v/>
      </c>
      <c r="R49" s="3" t="n"/>
      <c r="S49" s="3" t="n"/>
      <c r="T49" s="3" t="n"/>
      <c r="U49" s="3" t="n"/>
      <c r="W49">
        <f>IF(UPPER(TRIM(R49&amp;""))="","",IF(RIGHT(UPPER(TRIM(R49&amp;"")),2)="-N",TRIM(LEFT(UPPER(TRIM(R49&amp;"")),LEN(UPPER(TRIM(R49&amp;"")))-2)),UPPER(TRIM(R49&amp;""))))</f>
        <v/>
      </c>
      <c r="X49">
        <f>IF(W49="","",IF(ISNUMBER(U49),ROUND(U49,1),IF(AND(ISNUMBER(S49),ISNUMBER(T49)),IF(T49&gt;0,ROUND(S49/T49*100,1),""),"")))</f>
        <v/>
      </c>
      <c r="Y49">
        <f>IF(W49="","",IF(RIGHT(UPPER(TRIM(R49&amp;"")),2)="-N","비경쟁",""))</f>
        <v/>
      </c>
      <c r="Z49">
        <f>IF(W49="","",IF(COUNTIF(참가자!$A$3:$A$52,W49)=0,"명단에 없는 코드",""))</f>
        <v/>
      </c>
      <c r="AA49">
        <f>IF(W49="","",IF(ISNUMBER(U49),ROUND(U49*EVAL_ITEMS/100,1),IF(AND(ISNUMBER(S49),ISNUMBER(T49)),IF(T49&gt;0,S49,""),"")))</f>
        <v/>
      </c>
    </row>
    <row r="50">
      <c r="A50">
        <f>IF(참가자!A50="","",UPPER(TRIM(참가자!A50)))</f>
        <v/>
      </c>
      <c r="B50">
        <f>IF(A50="","",IF(참가자!B50="","(팀 없음)",TRIM(참가자!B50)))</f>
        <v/>
      </c>
      <c r="C50">
        <f>IF(A50="","",IFERROR(INDEX($AA$3:$AA$102,MATCH(A50,$W$3:$W$102,0)),""))</f>
        <v/>
      </c>
      <c r="D50">
        <f>IF(A50="","",IFERROR(INDEX($X$3:$X$102,MATCH(A50,$W$3:$W$102,0)),""))</f>
        <v/>
      </c>
      <c r="E50">
        <f>IF(A50="","",IF(D50="","결석",IF(IFERROR(INDEX($Y$3:$Y$102,MATCH(A50,$W$3:$W$102,0)),"")="비경쟁","비경쟁 응시","응시")))</f>
        <v/>
      </c>
      <c r="F50">
        <f>IF(A50="","",IF(COUNTIF($W$3:$W$102,A50)&gt;1,"중복! 확인",""))</f>
        <v/>
      </c>
      <c r="G50">
        <f>IF(A50="","",IF(ISNUMBER(D50),D50,IF(ISNUMBER(평가B!F50),평가B!F50,IF(ISNUMBER(평가C!G50),평가C!G50,""))))</f>
        <v/>
      </c>
      <c r="H50">
        <f>IF(A50="","",IF(ISNUMBER(D50),"평가A",IF(ISNUMBER(평가B!F50),"첫 응시(평가B)",IF(ISNUMBER(평가C!G50),"첫 응시(평가C)","기준 없음"))))</f>
        <v/>
      </c>
      <c r="I50">
        <f>IF(A50="","",IF(ISNUMBER(D50),C50,IF(ISNUMBER(평가B!F50),평가B!D50,IF(ISNUMBER(평가C!G50),평가C!E50,""))))</f>
        <v/>
      </c>
      <c r="J50">
        <f>IF(A50="","",진단!D50)</f>
        <v/>
      </c>
      <c r="K50">
        <f>IF(A50="","",IF(AND(ISNUMBER(D50),ISNUMBER(J50)),ROUND(J50-D50,1),""))</f>
        <v/>
      </c>
      <c r="L50">
        <f>IF(A50="","",IF(ISNUMBER(K50),IF(K50&gt;=DIAG_GAP,"교수 확인",""),""))</f>
        <v/>
      </c>
      <c r="M50">
        <f>IF(A50="","",IF(AND(NOT(ISNUMBER(D50)),NOT(ISNUMBER(J50))),"",ROUND((IF(ISNUMBER(D50),D50*EVAL_ITEMS,0)+IF(ISNUMBER(J50),J50*DIAG_ITEMS,0))/(IF(ISNUMBER(D50),EVAL_ITEMS,0)+IF(ISNUMBER(J50),DIAG_ITEMS,0)),1)))</f>
        <v/>
      </c>
      <c r="R50" s="3" t="n"/>
      <c r="S50" s="3" t="n"/>
      <c r="T50" s="3" t="n"/>
      <c r="U50" s="3" t="n"/>
      <c r="W50">
        <f>IF(UPPER(TRIM(R50&amp;""))="","",IF(RIGHT(UPPER(TRIM(R50&amp;"")),2)="-N",TRIM(LEFT(UPPER(TRIM(R50&amp;"")),LEN(UPPER(TRIM(R50&amp;"")))-2)),UPPER(TRIM(R50&amp;""))))</f>
        <v/>
      </c>
      <c r="X50">
        <f>IF(W50="","",IF(ISNUMBER(U50),ROUND(U50,1),IF(AND(ISNUMBER(S50),ISNUMBER(T50)),IF(T50&gt;0,ROUND(S50/T50*100,1),""),"")))</f>
        <v/>
      </c>
      <c r="Y50">
        <f>IF(W50="","",IF(RIGHT(UPPER(TRIM(R50&amp;"")),2)="-N","비경쟁",""))</f>
        <v/>
      </c>
      <c r="Z50">
        <f>IF(W50="","",IF(COUNTIF(참가자!$A$3:$A$52,W50)=0,"명단에 없는 코드",""))</f>
        <v/>
      </c>
      <c r="AA50">
        <f>IF(W50="","",IF(ISNUMBER(U50),ROUND(U50*EVAL_ITEMS/100,1),IF(AND(ISNUMBER(S50),ISNUMBER(T50)),IF(T50&gt;0,S50,""),"")))</f>
        <v/>
      </c>
    </row>
    <row r="51">
      <c r="A51">
        <f>IF(참가자!A51="","",UPPER(TRIM(참가자!A51)))</f>
        <v/>
      </c>
      <c r="B51">
        <f>IF(A51="","",IF(참가자!B51="","(팀 없음)",TRIM(참가자!B51)))</f>
        <v/>
      </c>
      <c r="C51">
        <f>IF(A51="","",IFERROR(INDEX($AA$3:$AA$102,MATCH(A51,$W$3:$W$102,0)),""))</f>
        <v/>
      </c>
      <c r="D51">
        <f>IF(A51="","",IFERROR(INDEX($X$3:$X$102,MATCH(A51,$W$3:$W$102,0)),""))</f>
        <v/>
      </c>
      <c r="E51">
        <f>IF(A51="","",IF(D51="","결석",IF(IFERROR(INDEX($Y$3:$Y$102,MATCH(A51,$W$3:$W$102,0)),"")="비경쟁","비경쟁 응시","응시")))</f>
        <v/>
      </c>
      <c r="F51">
        <f>IF(A51="","",IF(COUNTIF($W$3:$W$102,A51)&gt;1,"중복! 확인",""))</f>
        <v/>
      </c>
      <c r="G51">
        <f>IF(A51="","",IF(ISNUMBER(D51),D51,IF(ISNUMBER(평가B!F51),평가B!F51,IF(ISNUMBER(평가C!G51),평가C!G51,""))))</f>
        <v/>
      </c>
      <c r="H51">
        <f>IF(A51="","",IF(ISNUMBER(D51),"평가A",IF(ISNUMBER(평가B!F51),"첫 응시(평가B)",IF(ISNUMBER(평가C!G51),"첫 응시(평가C)","기준 없음"))))</f>
        <v/>
      </c>
      <c r="I51">
        <f>IF(A51="","",IF(ISNUMBER(D51),C51,IF(ISNUMBER(평가B!F51),평가B!D51,IF(ISNUMBER(평가C!G51),평가C!E51,""))))</f>
        <v/>
      </c>
      <c r="J51">
        <f>IF(A51="","",진단!D51)</f>
        <v/>
      </c>
      <c r="K51">
        <f>IF(A51="","",IF(AND(ISNUMBER(D51),ISNUMBER(J51)),ROUND(J51-D51,1),""))</f>
        <v/>
      </c>
      <c r="L51">
        <f>IF(A51="","",IF(ISNUMBER(K51),IF(K51&gt;=DIAG_GAP,"교수 확인",""),""))</f>
        <v/>
      </c>
      <c r="M51">
        <f>IF(A51="","",IF(AND(NOT(ISNUMBER(D51)),NOT(ISNUMBER(J51))),"",ROUND((IF(ISNUMBER(D51),D51*EVAL_ITEMS,0)+IF(ISNUMBER(J51),J51*DIAG_ITEMS,0))/(IF(ISNUMBER(D51),EVAL_ITEMS,0)+IF(ISNUMBER(J51),DIAG_ITEMS,0)),1)))</f>
        <v/>
      </c>
      <c r="R51" s="3" t="n"/>
      <c r="S51" s="3" t="n"/>
      <c r="T51" s="3" t="n"/>
      <c r="U51" s="3" t="n"/>
      <c r="W51">
        <f>IF(UPPER(TRIM(R51&amp;""))="","",IF(RIGHT(UPPER(TRIM(R51&amp;"")),2)="-N",TRIM(LEFT(UPPER(TRIM(R51&amp;"")),LEN(UPPER(TRIM(R51&amp;"")))-2)),UPPER(TRIM(R51&amp;""))))</f>
        <v/>
      </c>
      <c r="X51">
        <f>IF(W51="","",IF(ISNUMBER(U51),ROUND(U51,1),IF(AND(ISNUMBER(S51),ISNUMBER(T51)),IF(T51&gt;0,ROUND(S51/T51*100,1),""),"")))</f>
        <v/>
      </c>
      <c r="Y51">
        <f>IF(W51="","",IF(RIGHT(UPPER(TRIM(R51&amp;"")),2)="-N","비경쟁",""))</f>
        <v/>
      </c>
      <c r="Z51">
        <f>IF(W51="","",IF(COUNTIF(참가자!$A$3:$A$52,W51)=0,"명단에 없는 코드",""))</f>
        <v/>
      </c>
      <c r="AA51">
        <f>IF(W51="","",IF(ISNUMBER(U51),ROUND(U51*EVAL_ITEMS/100,1),IF(AND(ISNUMBER(S51),ISNUMBER(T51)),IF(T51&gt;0,S51,""),"")))</f>
        <v/>
      </c>
    </row>
    <row r="52">
      <c r="A52">
        <f>IF(참가자!A52="","",UPPER(TRIM(참가자!A52)))</f>
        <v/>
      </c>
      <c r="B52">
        <f>IF(A52="","",IF(참가자!B52="","(팀 없음)",TRIM(참가자!B52)))</f>
        <v/>
      </c>
      <c r="C52">
        <f>IF(A52="","",IFERROR(INDEX($AA$3:$AA$102,MATCH(A52,$W$3:$W$102,0)),""))</f>
        <v/>
      </c>
      <c r="D52">
        <f>IF(A52="","",IFERROR(INDEX($X$3:$X$102,MATCH(A52,$W$3:$W$102,0)),""))</f>
        <v/>
      </c>
      <c r="E52">
        <f>IF(A52="","",IF(D52="","결석",IF(IFERROR(INDEX($Y$3:$Y$102,MATCH(A52,$W$3:$W$102,0)),"")="비경쟁","비경쟁 응시","응시")))</f>
        <v/>
      </c>
      <c r="F52">
        <f>IF(A52="","",IF(COUNTIF($W$3:$W$102,A52)&gt;1,"중복! 확인",""))</f>
        <v/>
      </c>
      <c r="G52">
        <f>IF(A52="","",IF(ISNUMBER(D52),D52,IF(ISNUMBER(평가B!F52),평가B!F52,IF(ISNUMBER(평가C!G52),평가C!G52,""))))</f>
        <v/>
      </c>
      <c r="H52">
        <f>IF(A52="","",IF(ISNUMBER(D52),"평가A",IF(ISNUMBER(평가B!F52),"첫 응시(평가B)",IF(ISNUMBER(평가C!G52),"첫 응시(평가C)","기준 없음"))))</f>
        <v/>
      </c>
      <c r="I52">
        <f>IF(A52="","",IF(ISNUMBER(D52),C52,IF(ISNUMBER(평가B!F52),평가B!D52,IF(ISNUMBER(평가C!G52),평가C!E52,""))))</f>
        <v/>
      </c>
      <c r="J52">
        <f>IF(A52="","",진단!D52)</f>
        <v/>
      </c>
      <c r="K52">
        <f>IF(A52="","",IF(AND(ISNUMBER(D52),ISNUMBER(J52)),ROUND(J52-D52,1),""))</f>
        <v/>
      </c>
      <c r="L52">
        <f>IF(A52="","",IF(ISNUMBER(K52),IF(K52&gt;=DIAG_GAP,"교수 확인",""),""))</f>
        <v/>
      </c>
      <c r="M52">
        <f>IF(A52="","",IF(AND(NOT(ISNUMBER(D52)),NOT(ISNUMBER(J52))),"",ROUND((IF(ISNUMBER(D52),D52*EVAL_ITEMS,0)+IF(ISNUMBER(J52),J52*DIAG_ITEMS,0))/(IF(ISNUMBER(D52),EVAL_ITEMS,0)+IF(ISNUMBER(J52),DIAG_ITEMS,0)),1)))</f>
        <v/>
      </c>
      <c r="R52" s="3" t="n"/>
      <c r="S52" s="3" t="n"/>
      <c r="T52" s="3" t="n"/>
      <c r="U52" s="3" t="n"/>
      <c r="W52">
        <f>IF(UPPER(TRIM(R52&amp;""))="","",IF(RIGHT(UPPER(TRIM(R52&amp;"")),2)="-N",TRIM(LEFT(UPPER(TRIM(R52&amp;"")),LEN(UPPER(TRIM(R52&amp;"")))-2)),UPPER(TRIM(R52&amp;""))))</f>
        <v/>
      </c>
      <c r="X52">
        <f>IF(W52="","",IF(ISNUMBER(U52),ROUND(U52,1),IF(AND(ISNUMBER(S52),ISNUMBER(T52)),IF(T52&gt;0,ROUND(S52/T52*100,1),""),"")))</f>
        <v/>
      </c>
      <c r="Y52">
        <f>IF(W52="","",IF(RIGHT(UPPER(TRIM(R52&amp;"")),2)="-N","비경쟁",""))</f>
        <v/>
      </c>
      <c r="Z52">
        <f>IF(W52="","",IF(COUNTIF(참가자!$A$3:$A$52,W52)=0,"명단에 없는 코드",""))</f>
        <v/>
      </c>
      <c r="AA52">
        <f>IF(W52="","",IF(ISNUMBER(U52),ROUND(U52*EVAL_ITEMS/100,1),IF(AND(ISNUMBER(S52),ISNUMBER(T52)),IF(T52&gt;0,S52,""),"")))</f>
        <v/>
      </c>
    </row>
    <row r="53">
      <c r="R53" s="3" t="n"/>
      <c r="S53" s="3" t="n"/>
      <c r="T53" s="3" t="n"/>
      <c r="U53" s="3" t="n"/>
      <c r="W53">
        <f>IF(UPPER(TRIM(R53&amp;""))="","",IF(RIGHT(UPPER(TRIM(R53&amp;"")),2)="-N",TRIM(LEFT(UPPER(TRIM(R53&amp;"")),LEN(UPPER(TRIM(R53&amp;"")))-2)),UPPER(TRIM(R53&amp;""))))</f>
        <v/>
      </c>
      <c r="X53">
        <f>IF(W53="","",IF(ISNUMBER(U53),ROUND(U53,1),IF(AND(ISNUMBER(S53),ISNUMBER(T53)),IF(T53&gt;0,ROUND(S53/T53*100,1),""),"")))</f>
        <v/>
      </c>
      <c r="Y53">
        <f>IF(W53="","",IF(RIGHT(UPPER(TRIM(R53&amp;"")),2)="-N","비경쟁",""))</f>
        <v/>
      </c>
      <c r="Z53">
        <f>IF(W53="","",IF(COUNTIF(참가자!$A$3:$A$52,W53)=0,"명단에 없는 코드",""))</f>
        <v/>
      </c>
      <c r="AA53">
        <f>IF(W53="","",IF(ISNUMBER(U53),ROUND(U53*EVAL_ITEMS/100,1),IF(AND(ISNUMBER(S53),ISNUMBER(T53)),IF(T53&gt;0,S53,""),"")))</f>
        <v/>
      </c>
    </row>
    <row r="54">
      <c r="R54" s="3" t="n"/>
      <c r="S54" s="3" t="n"/>
      <c r="T54" s="3" t="n"/>
      <c r="U54" s="3" t="n"/>
      <c r="W54">
        <f>IF(UPPER(TRIM(R54&amp;""))="","",IF(RIGHT(UPPER(TRIM(R54&amp;"")),2)="-N",TRIM(LEFT(UPPER(TRIM(R54&amp;"")),LEN(UPPER(TRIM(R54&amp;"")))-2)),UPPER(TRIM(R54&amp;""))))</f>
        <v/>
      </c>
      <c r="X54">
        <f>IF(W54="","",IF(ISNUMBER(U54),ROUND(U54,1),IF(AND(ISNUMBER(S54),ISNUMBER(T54)),IF(T54&gt;0,ROUND(S54/T54*100,1),""),"")))</f>
        <v/>
      </c>
      <c r="Y54">
        <f>IF(W54="","",IF(RIGHT(UPPER(TRIM(R54&amp;"")),2)="-N","비경쟁",""))</f>
        <v/>
      </c>
      <c r="Z54">
        <f>IF(W54="","",IF(COUNTIF(참가자!$A$3:$A$52,W54)=0,"명단에 없는 코드",""))</f>
        <v/>
      </c>
      <c r="AA54">
        <f>IF(W54="","",IF(ISNUMBER(U54),ROUND(U54*EVAL_ITEMS/100,1),IF(AND(ISNUMBER(S54),ISNUMBER(T54)),IF(T54&gt;0,S54,""),"")))</f>
        <v/>
      </c>
    </row>
    <row r="55">
      <c r="R55" s="3" t="n"/>
      <c r="S55" s="3" t="n"/>
      <c r="T55" s="3" t="n"/>
      <c r="U55" s="3" t="n"/>
      <c r="W55">
        <f>IF(UPPER(TRIM(R55&amp;""))="","",IF(RIGHT(UPPER(TRIM(R55&amp;"")),2)="-N",TRIM(LEFT(UPPER(TRIM(R55&amp;"")),LEN(UPPER(TRIM(R55&amp;"")))-2)),UPPER(TRIM(R55&amp;""))))</f>
        <v/>
      </c>
      <c r="X55">
        <f>IF(W55="","",IF(ISNUMBER(U55),ROUND(U55,1),IF(AND(ISNUMBER(S55),ISNUMBER(T55)),IF(T55&gt;0,ROUND(S55/T55*100,1),""),"")))</f>
        <v/>
      </c>
      <c r="Y55">
        <f>IF(W55="","",IF(RIGHT(UPPER(TRIM(R55&amp;"")),2)="-N","비경쟁",""))</f>
        <v/>
      </c>
      <c r="Z55">
        <f>IF(W55="","",IF(COUNTIF(참가자!$A$3:$A$52,W55)=0,"명단에 없는 코드",""))</f>
        <v/>
      </c>
      <c r="AA55">
        <f>IF(W55="","",IF(ISNUMBER(U55),ROUND(U55*EVAL_ITEMS/100,1),IF(AND(ISNUMBER(S55),ISNUMBER(T55)),IF(T55&gt;0,S55,""),"")))</f>
        <v/>
      </c>
    </row>
    <row r="56">
      <c r="R56" s="3" t="n"/>
      <c r="S56" s="3" t="n"/>
      <c r="T56" s="3" t="n"/>
      <c r="U56" s="3" t="n"/>
      <c r="W56">
        <f>IF(UPPER(TRIM(R56&amp;""))="","",IF(RIGHT(UPPER(TRIM(R56&amp;"")),2)="-N",TRIM(LEFT(UPPER(TRIM(R56&amp;"")),LEN(UPPER(TRIM(R56&amp;"")))-2)),UPPER(TRIM(R56&amp;""))))</f>
        <v/>
      </c>
      <c r="X56">
        <f>IF(W56="","",IF(ISNUMBER(U56),ROUND(U56,1),IF(AND(ISNUMBER(S56),ISNUMBER(T56)),IF(T56&gt;0,ROUND(S56/T56*100,1),""),"")))</f>
        <v/>
      </c>
      <c r="Y56">
        <f>IF(W56="","",IF(RIGHT(UPPER(TRIM(R56&amp;"")),2)="-N","비경쟁",""))</f>
        <v/>
      </c>
      <c r="Z56">
        <f>IF(W56="","",IF(COUNTIF(참가자!$A$3:$A$52,W56)=0,"명단에 없는 코드",""))</f>
        <v/>
      </c>
      <c r="AA56">
        <f>IF(W56="","",IF(ISNUMBER(U56),ROUND(U56*EVAL_ITEMS/100,1),IF(AND(ISNUMBER(S56),ISNUMBER(T56)),IF(T56&gt;0,S56,""),"")))</f>
        <v/>
      </c>
    </row>
    <row r="57">
      <c r="R57" s="3" t="n"/>
      <c r="S57" s="3" t="n"/>
      <c r="T57" s="3" t="n"/>
      <c r="U57" s="3" t="n"/>
      <c r="W57">
        <f>IF(UPPER(TRIM(R57&amp;""))="","",IF(RIGHT(UPPER(TRIM(R57&amp;"")),2)="-N",TRIM(LEFT(UPPER(TRIM(R57&amp;"")),LEN(UPPER(TRIM(R57&amp;"")))-2)),UPPER(TRIM(R57&amp;""))))</f>
        <v/>
      </c>
      <c r="X57">
        <f>IF(W57="","",IF(ISNUMBER(U57),ROUND(U57,1),IF(AND(ISNUMBER(S57),ISNUMBER(T57)),IF(T57&gt;0,ROUND(S57/T57*100,1),""),"")))</f>
        <v/>
      </c>
      <c r="Y57">
        <f>IF(W57="","",IF(RIGHT(UPPER(TRIM(R57&amp;"")),2)="-N","비경쟁",""))</f>
        <v/>
      </c>
      <c r="Z57">
        <f>IF(W57="","",IF(COUNTIF(참가자!$A$3:$A$52,W57)=0,"명단에 없는 코드",""))</f>
        <v/>
      </c>
      <c r="AA57">
        <f>IF(W57="","",IF(ISNUMBER(U57),ROUND(U57*EVAL_ITEMS/100,1),IF(AND(ISNUMBER(S57),ISNUMBER(T57)),IF(T57&gt;0,S57,""),"")))</f>
        <v/>
      </c>
    </row>
    <row r="58">
      <c r="R58" s="3" t="n"/>
      <c r="S58" s="3" t="n"/>
      <c r="T58" s="3" t="n"/>
      <c r="U58" s="3" t="n"/>
      <c r="W58">
        <f>IF(UPPER(TRIM(R58&amp;""))="","",IF(RIGHT(UPPER(TRIM(R58&amp;"")),2)="-N",TRIM(LEFT(UPPER(TRIM(R58&amp;"")),LEN(UPPER(TRIM(R58&amp;"")))-2)),UPPER(TRIM(R58&amp;""))))</f>
        <v/>
      </c>
      <c r="X58">
        <f>IF(W58="","",IF(ISNUMBER(U58),ROUND(U58,1),IF(AND(ISNUMBER(S58),ISNUMBER(T58)),IF(T58&gt;0,ROUND(S58/T58*100,1),""),"")))</f>
        <v/>
      </c>
      <c r="Y58">
        <f>IF(W58="","",IF(RIGHT(UPPER(TRIM(R58&amp;"")),2)="-N","비경쟁",""))</f>
        <v/>
      </c>
      <c r="Z58">
        <f>IF(W58="","",IF(COUNTIF(참가자!$A$3:$A$52,W58)=0,"명단에 없는 코드",""))</f>
        <v/>
      </c>
      <c r="AA58">
        <f>IF(W58="","",IF(ISNUMBER(U58),ROUND(U58*EVAL_ITEMS/100,1),IF(AND(ISNUMBER(S58),ISNUMBER(T58)),IF(T58&gt;0,S58,""),"")))</f>
        <v/>
      </c>
    </row>
    <row r="59">
      <c r="R59" s="3" t="n"/>
      <c r="S59" s="3" t="n"/>
      <c r="T59" s="3" t="n"/>
      <c r="U59" s="3" t="n"/>
      <c r="W59">
        <f>IF(UPPER(TRIM(R59&amp;""))="","",IF(RIGHT(UPPER(TRIM(R59&amp;"")),2)="-N",TRIM(LEFT(UPPER(TRIM(R59&amp;"")),LEN(UPPER(TRIM(R59&amp;"")))-2)),UPPER(TRIM(R59&amp;""))))</f>
        <v/>
      </c>
      <c r="X59">
        <f>IF(W59="","",IF(ISNUMBER(U59),ROUND(U59,1),IF(AND(ISNUMBER(S59),ISNUMBER(T59)),IF(T59&gt;0,ROUND(S59/T59*100,1),""),"")))</f>
        <v/>
      </c>
      <c r="Y59">
        <f>IF(W59="","",IF(RIGHT(UPPER(TRIM(R59&amp;"")),2)="-N","비경쟁",""))</f>
        <v/>
      </c>
      <c r="Z59">
        <f>IF(W59="","",IF(COUNTIF(참가자!$A$3:$A$52,W59)=0,"명단에 없는 코드",""))</f>
        <v/>
      </c>
      <c r="AA59">
        <f>IF(W59="","",IF(ISNUMBER(U59),ROUND(U59*EVAL_ITEMS/100,1),IF(AND(ISNUMBER(S59),ISNUMBER(T59)),IF(T59&gt;0,S59,""),"")))</f>
        <v/>
      </c>
    </row>
    <row r="60">
      <c r="R60" s="3" t="n"/>
      <c r="S60" s="3" t="n"/>
      <c r="T60" s="3" t="n"/>
      <c r="U60" s="3" t="n"/>
      <c r="W60">
        <f>IF(UPPER(TRIM(R60&amp;""))="","",IF(RIGHT(UPPER(TRIM(R60&amp;"")),2)="-N",TRIM(LEFT(UPPER(TRIM(R60&amp;"")),LEN(UPPER(TRIM(R60&amp;"")))-2)),UPPER(TRIM(R60&amp;""))))</f>
        <v/>
      </c>
      <c r="X60">
        <f>IF(W60="","",IF(ISNUMBER(U60),ROUND(U60,1),IF(AND(ISNUMBER(S60),ISNUMBER(T60)),IF(T60&gt;0,ROUND(S60/T60*100,1),""),"")))</f>
        <v/>
      </c>
      <c r="Y60">
        <f>IF(W60="","",IF(RIGHT(UPPER(TRIM(R60&amp;"")),2)="-N","비경쟁",""))</f>
        <v/>
      </c>
      <c r="Z60">
        <f>IF(W60="","",IF(COUNTIF(참가자!$A$3:$A$52,W60)=0,"명단에 없는 코드",""))</f>
        <v/>
      </c>
      <c r="AA60">
        <f>IF(W60="","",IF(ISNUMBER(U60),ROUND(U60*EVAL_ITEMS/100,1),IF(AND(ISNUMBER(S60),ISNUMBER(T60)),IF(T60&gt;0,S60,""),"")))</f>
        <v/>
      </c>
    </row>
    <row r="61">
      <c r="R61" s="3" t="n"/>
      <c r="S61" s="3" t="n"/>
      <c r="T61" s="3" t="n"/>
      <c r="U61" s="3" t="n"/>
      <c r="W61">
        <f>IF(UPPER(TRIM(R61&amp;""))="","",IF(RIGHT(UPPER(TRIM(R61&amp;"")),2)="-N",TRIM(LEFT(UPPER(TRIM(R61&amp;"")),LEN(UPPER(TRIM(R61&amp;"")))-2)),UPPER(TRIM(R61&amp;""))))</f>
        <v/>
      </c>
      <c r="X61">
        <f>IF(W61="","",IF(ISNUMBER(U61),ROUND(U61,1),IF(AND(ISNUMBER(S61),ISNUMBER(T61)),IF(T61&gt;0,ROUND(S61/T61*100,1),""),"")))</f>
        <v/>
      </c>
      <c r="Y61">
        <f>IF(W61="","",IF(RIGHT(UPPER(TRIM(R61&amp;"")),2)="-N","비경쟁",""))</f>
        <v/>
      </c>
      <c r="Z61">
        <f>IF(W61="","",IF(COUNTIF(참가자!$A$3:$A$52,W61)=0,"명단에 없는 코드",""))</f>
        <v/>
      </c>
      <c r="AA61">
        <f>IF(W61="","",IF(ISNUMBER(U61),ROUND(U61*EVAL_ITEMS/100,1),IF(AND(ISNUMBER(S61),ISNUMBER(T61)),IF(T61&gt;0,S61,""),"")))</f>
        <v/>
      </c>
    </row>
    <row r="62">
      <c r="R62" s="3" t="n"/>
      <c r="S62" s="3" t="n"/>
      <c r="T62" s="3" t="n"/>
      <c r="U62" s="3" t="n"/>
      <c r="W62">
        <f>IF(UPPER(TRIM(R62&amp;""))="","",IF(RIGHT(UPPER(TRIM(R62&amp;"")),2)="-N",TRIM(LEFT(UPPER(TRIM(R62&amp;"")),LEN(UPPER(TRIM(R62&amp;"")))-2)),UPPER(TRIM(R62&amp;""))))</f>
        <v/>
      </c>
      <c r="X62">
        <f>IF(W62="","",IF(ISNUMBER(U62),ROUND(U62,1),IF(AND(ISNUMBER(S62),ISNUMBER(T62)),IF(T62&gt;0,ROUND(S62/T62*100,1),""),"")))</f>
        <v/>
      </c>
      <c r="Y62">
        <f>IF(W62="","",IF(RIGHT(UPPER(TRIM(R62&amp;"")),2)="-N","비경쟁",""))</f>
        <v/>
      </c>
      <c r="Z62">
        <f>IF(W62="","",IF(COUNTIF(참가자!$A$3:$A$52,W62)=0,"명단에 없는 코드",""))</f>
        <v/>
      </c>
      <c r="AA62">
        <f>IF(W62="","",IF(ISNUMBER(U62),ROUND(U62*EVAL_ITEMS/100,1),IF(AND(ISNUMBER(S62),ISNUMBER(T62)),IF(T62&gt;0,S62,""),"")))</f>
        <v/>
      </c>
    </row>
    <row r="63">
      <c r="R63" s="3" t="n"/>
      <c r="S63" s="3" t="n"/>
      <c r="T63" s="3" t="n"/>
      <c r="U63" s="3" t="n"/>
      <c r="W63">
        <f>IF(UPPER(TRIM(R63&amp;""))="","",IF(RIGHT(UPPER(TRIM(R63&amp;"")),2)="-N",TRIM(LEFT(UPPER(TRIM(R63&amp;"")),LEN(UPPER(TRIM(R63&amp;"")))-2)),UPPER(TRIM(R63&amp;""))))</f>
        <v/>
      </c>
      <c r="X63">
        <f>IF(W63="","",IF(ISNUMBER(U63),ROUND(U63,1),IF(AND(ISNUMBER(S63),ISNUMBER(T63)),IF(T63&gt;0,ROUND(S63/T63*100,1),""),"")))</f>
        <v/>
      </c>
      <c r="Y63">
        <f>IF(W63="","",IF(RIGHT(UPPER(TRIM(R63&amp;"")),2)="-N","비경쟁",""))</f>
        <v/>
      </c>
      <c r="Z63">
        <f>IF(W63="","",IF(COUNTIF(참가자!$A$3:$A$52,W63)=0,"명단에 없는 코드",""))</f>
        <v/>
      </c>
      <c r="AA63">
        <f>IF(W63="","",IF(ISNUMBER(U63),ROUND(U63*EVAL_ITEMS/100,1),IF(AND(ISNUMBER(S63),ISNUMBER(T63)),IF(T63&gt;0,S63,""),"")))</f>
        <v/>
      </c>
    </row>
    <row r="64">
      <c r="R64" s="3" t="n"/>
      <c r="S64" s="3" t="n"/>
      <c r="T64" s="3" t="n"/>
      <c r="U64" s="3" t="n"/>
      <c r="W64">
        <f>IF(UPPER(TRIM(R64&amp;""))="","",IF(RIGHT(UPPER(TRIM(R64&amp;"")),2)="-N",TRIM(LEFT(UPPER(TRIM(R64&amp;"")),LEN(UPPER(TRIM(R64&amp;"")))-2)),UPPER(TRIM(R64&amp;""))))</f>
        <v/>
      </c>
      <c r="X64">
        <f>IF(W64="","",IF(ISNUMBER(U64),ROUND(U64,1),IF(AND(ISNUMBER(S64),ISNUMBER(T64)),IF(T64&gt;0,ROUND(S64/T64*100,1),""),"")))</f>
        <v/>
      </c>
      <c r="Y64">
        <f>IF(W64="","",IF(RIGHT(UPPER(TRIM(R64&amp;"")),2)="-N","비경쟁",""))</f>
        <v/>
      </c>
      <c r="Z64">
        <f>IF(W64="","",IF(COUNTIF(참가자!$A$3:$A$52,W64)=0,"명단에 없는 코드",""))</f>
        <v/>
      </c>
      <c r="AA64">
        <f>IF(W64="","",IF(ISNUMBER(U64),ROUND(U64*EVAL_ITEMS/100,1),IF(AND(ISNUMBER(S64),ISNUMBER(T64)),IF(T64&gt;0,S64,""),"")))</f>
        <v/>
      </c>
    </row>
    <row r="65">
      <c r="R65" s="3" t="n"/>
      <c r="S65" s="3" t="n"/>
      <c r="T65" s="3" t="n"/>
      <c r="U65" s="3" t="n"/>
      <c r="W65">
        <f>IF(UPPER(TRIM(R65&amp;""))="","",IF(RIGHT(UPPER(TRIM(R65&amp;"")),2)="-N",TRIM(LEFT(UPPER(TRIM(R65&amp;"")),LEN(UPPER(TRIM(R65&amp;"")))-2)),UPPER(TRIM(R65&amp;""))))</f>
        <v/>
      </c>
      <c r="X65">
        <f>IF(W65="","",IF(ISNUMBER(U65),ROUND(U65,1),IF(AND(ISNUMBER(S65),ISNUMBER(T65)),IF(T65&gt;0,ROUND(S65/T65*100,1),""),"")))</f>
        <v/>
      </c>
      <c r="Y65">
        <f>IF(W65="","",IF(RIGHT(UPPER(TRIM(R65&amp;"")),2)="-N","비경쟁",""))</f>
        <v/>
      </c>
      <c r="Z65">
        <f>IF(W65="","",IF(COUNTIF(참가자!$A$3:$A$52,W65)=0,"명단에 없는 코드",""))</f>
        <v/>
      </c>
      <c r="AA65">
        <f>IF(W65="","",IF(ISNUMBER(U65),ROUND(U65*EVAL_ITEMS/100,1),IF(AND(ISNUMBER(S65),ISNUMBER(T65)),IF(T65&gt;0,S65,""),"")))</f>
        <v/>
      </c>
    </row>
    <row r="66">
      <c r="R66" s="3" t="n"/>
      <c r="S66" s="3" t="n"/>
      <c r="T66" s="3" t="n"/>
      <c r="U66" s="3" t="n"/>
      <c r="W66">
        <f>IF(UPPER(TRIM(R66&amp;""))="","",IF(RIGHT(UPPER(TRIM(R66&amp;"")),2)="-N",TRIM(LEFT(UPPER(TRIM(R66&amp;"")),LEN(UPPER(TRIM(R66&amp;"")))-2)),UPPER(TRIM(R66&amp;""))))</f>
        <v/>
      </c>
      <c r="X66">
        <f>IF(W66="","",IF(ISNUMBER(U66),ROUND(U66,1),IF(AND(ISNUMBER(S66),ISNUMBER(T66)),IF(T66&gt;0,ROUND(S66/T66*100,1),""),"")))</f>
        <v/>
      </c>
      <c r="Y66">
        <f>IF(W66="","",IF(RIGHT(UPPER(TRIM(R66&amp;"")),2)="-N","비경쟁",""))</f>
        <v/>
      </c>
      <c r="Z66">
        <f>IF(W66="","",IF(COUNTIF(참가자!$A$3:$A$52,W66)=0,"명단에 없는 코드",""))</f>
        <v/>
      </c>
      <c r="AA66">
        <f>IF(W66="","",IF(ISNUMBER(U66),ROUND(U66*EVAL_ITEMS/100,1),IF(AND(ISNUMBER(S66),ISNUMBER(T66)),IF(T66&gt;0,S66,""),"")))</f>
        <v/>
      </c>
    </row>
    <row r="67">
      <c r="R67" s="3" t="n"/>
      <c r="S67" s="3" t="n"/>
      <c r="T67" s="3" t="n"/>
      <c r="U67" s="3" t="n"/>
      <c r="W67">
        <f>IF(UPPER(TRIM(R67&amp;""))="","",IF(RIGHT(UPPER(TRIM(R67&amp;"")),2)="-N",TRIM(LEFT(UPPER(TRIM(R67&amp;"")),LEN(UPPER(TRIM(R67&amp;"")))-2)),UPPER(TRIM(R67&amp;""))))</f>
        <v/>
      </c>
      <c r="X67">
        <f>IF(W67="","",IF(ISNUMBER(U67),ROUND(U67,1),IF(AND(ISNUMBER(S67),ISNUMBER(T67)),IF(T67&gt;0,ROUND(S67/T67*100,1),""),"")))</f>
        <v/>
      </c>
      <c r="Y67">
        <f>IF(W67="","",IF(RIGHT(UPPER(TRIM(R67&amp;"")),2)="-N","비경쟁",""))</f>
        <v/>
      </c>
      <c r="Z67">
        <f>IF(W67="","",IF(COUNTIF(참가자!$A$3:$A$52,W67)=0,"명단에 없는 코드",""))</f>
        <v/>
      </c>
      <c r="AA67">
        <f>IF(W67="","",IF(ISNUMBER(U67),ROUND(U67*EVAL_ITEMS/100,1),IF(AND(ISNUMBER(S67),ISNUMBER(T67)),IF(T67&gt;0,S67,""),"")))</f>
        <v/>
      </c>
    </row>
    <row r="68">
      <c r="R68" s="3" t="n"/>
      <c r="S68" s="3" t="n"/>
      <c r="T68" s="3" t="n"/>
      <c r="U68" s="3" t="n"/>
      <c r="W68">
        <f>IF(UPPER(TRIM(R68&amp;""))="","",IF(RIGHT(UPPER(TRIM(R68&amp;"")),2)="-N",TRIM(LEFT(UPPER(TRIM(R68&amp;"")),LEN(UPPER(TRIM(R68&amp;"")))-2)),UPPER(TRIM(R68&amp;""))))</f>
        <v/>
      </c>
      <c r="X68">
        <f>IF(W68="","",IF(ISNUMBER(U68),ROUND(U68,1),IF(AND(ISNUMBER(S68),ISNUMBER(T68)),IF(T68&gt;0,ROUND(S68/T68*100,1),""),"")))</f>
        <v/>
      </c>
      <c r="Y68">
        <f>IF(W68="","",IF(RIGHT(UPPER(TRIM(R68&amp;"")),2)="-N","비경쟁",""))</f>
        <v/>
      </c>
      <c r="Z68">
        <f>IF(W68="","",IF(COUNTIF(참가자!$A$3:$A$52,W68)=0,"명단에 없는 코드",""))</f>
        <v/>
      </c>
      <c r="AA68">
        <f>IF(W68="","",IF(ISNUMBER(U68),ROUND(U68*EVAL_ITEMS/100,1),IF(AND(ISNUMBER(S68),ISNUMBER(T68)),IF(T68&gt;0,S68,""),"")))</f>
        <v/>
      </c>
    </row>
    <row r="69">
      <c r="R69" s="3" t="n"/>
      <c r="S69" s="3" t="n"/>
      <c r="T69" s="3" t="n"/>
      <c r="U69" s="3" t="n"/>
      <c r="W69">
        <f>IF(UPPER(TRIM(R69&amp;""))="","",IF(RIGHT(UPPER(TRIM(R69&amp;"")),2)="-N",TRIM(LEFT(UPPER(TRIM(R69&amp;"")),LEN(UPPER(TRIM(R69&amp;"")))-2)),UPPER(TRIM(R69&amp;""))))</f>
        <v/>
      </c>
      <c r="X69">
        <f>IF(W69="","",IF(ISNUMBER(U69),ROUND(U69,1),IF(AND(ISNUMBER(S69),ISNUMBER(T69)),IF(T69&gt;0,ROUND(S69/T69*100,1),""),"")))</f>
        <v/>
      </c>
      <c r="Y69">
        <f>IF(W69="","",IF(RIGHT(UPPER(TRIM(R69&amp;"")),2)="-N","비경쟁",""))</f>
        <v/>
      </c>
      <c r="Z69">
        <f>IF(W69="","",IF(COUNTIF(참가자!$A$3:$A$52,W69)=0,"명단에 없는 코드",""))</f>
        <v/>
      </c>
      <c r="AA69">
        <f>IF(W69="","",IF(ISNUMBER(U69),ROUND(U69*EVAL_ITEMS/100,1),IF(AND(ISNUMBER(S69),ISNUMBER(T69)),IF(T69&gt;0,S69,""),"")))</f>
        <v/>
      </c>
    </row>
    <row r="70">
      <c r="R70" s="3" t="n"/>
      <c r="S70" s="3" t="n"/>
      <c r="T70" s="3" t="n"/>
      <c r="U70" s="3" t="n"/>
      <c r="W70">
        <f>IF(UPPER(TRIM(R70&amp;""))="","",IF(RIGHT(UPPER(TRIM(R70&amp;"")),2)="-N",TRIM(LEFT(UPPER(TRIM(R70&amp;"")),LEN(UPPER(TRIM(R70&amp;"")))-2)),UPPER(TRIM(R70&amp;""))))</f>
        <v/>
      </c>
      <c r="X70">
        <f>IF(W70="","",IF(ISNUMBER(U70),ROUND(U70,1),IF(AND(ISNUMBER(S70),ISNUMBER(T70)),IF(T70&gt;0,ROUND(S70/T70*100,1),""),"")))</f>
        <v/>
      </c>
      <c r="Y70">
        <f>IF(W70="","",IF(RIGHT(UPPER(TRIM(R70&amp;"")),2)="-N","비경쟁",""))</f>
        <v/>
      </c>
      <c r="Z70">
        <f>IF(W70="","",IF(COUNTIF(참가자!$A$3:$A$52,W70)=0,"명단에 없는 코드",""))</f>
        <v/>
      </c>
      <c r="AA70">
        <f>IF(W70="","",IF(ISNUMBER(U70),ROUND(U70*EVAL_ITEMS/100,1),IF(AND(ISNUMBER(S70),ISNUMBER(T70)),IF(T70&gt;0,S70,""),"")))</f>
        <v/>
      </c>
    </row>
    <row r="71">
      <c r="R71" s="3" t="n"/>
      <c r="S71" s="3" t="n"/>
      <c r="T71" s="3" t="n"/>
      <c r="U71" s="3" t="n"/>
      <c r="W71">
        <f>IF(UPPER(TRIM(R71&amp;""))="","",IF(RIGHT(UPPER(TRIM(R71&amp;"")),2)="-N",TRIM(LEFT(UPPER(TRIM(R71&amp;"")),LEN(UPPER(TRIM(R71&amp;"")))-2)),UPPER(TRIM(R71&amp;""))))</f>
        <v/>
      </c>
      <c r="X71">
        <f>IF(W71="","",IF(ISNUMBER(U71),ROUND(U71,1),IF(AND(ISNUMBER(S71),ISNUMBER(T71)),IF(T71&gt;0,ROUND(S71/T71*100,1),""),"")))</f>
        <v/>
      </c>
      <c r="Y71">
        <f>IF(W71="","",IF(RIGHT(UPPER(TRIM(R71&amp;"")),2)="-N","비경쟁",""))</f>
        <v/>
      </c>
      <c r="Z71">
        <f>IF(W71="","",IF(COUNTIF(참가자!$A$3:$A$52,W71)=0,"명단에 없는 코드",""))</f>
        <v/>
      </c>
      <c r="AA71">
        <f>IF(W71="","",IF(ISNUMBER(U71),ROUND(U71*EVAL_ITEMS/100,1),IF(AND(ISNUMBER(S71),ISNUMBER(T71)),IF(T71&gt;0,S71,""),"")))</f>
        <v/>
      </c>
    </row>
    <row r="72">
      <c r="R72" s="3" t="n"/>
      <c r="S72" s="3" t="n"/>
      <c r="T72" s="3" t="n"/>
      <c r="U72" s="3" t="n"/>
      <c r="W72">
        <f>IF(UPPER(TRIM(R72&amp;""))="","",IF(RIGHT(UPPER(TRIM(R72&amp;"")),2)="-N",TRIM(LEFT(UPPER(TRIM(R72&amp;"")),LEN(UPPER(TRIM(R72&amp;"")))-2)),UPPER(TRIM(R72&amp;""))))</f>
        <v/>
      </c>
      <c r="X72">
        <f>IF(W72="","",IF(ISNUMBER(U72),ROUND(U72,1),IF(AND(ISNUMBER(S72),ISNUMBER(T72)),IF(T72&gt;0,ROUND(S72/T72*100,1),""),"")))</f>
        <v/>
      </c>
      <c r="Y72">
        <f>IF(W72="","",IF(RIGHT(UPPER(TRIM(R72&amp;"")),2)="-N","비경쟁",""))</f>
        <v/>
      </c>
      <c r="Z72">
        <f>IF(W72="","",IF(COUNTIF(참가자!$A$3:$A$52,W72)=0,"명단에 없는 코드",""))</f>
        <v/>
      </c>
      <c r="AA72">
        <f>IF(W72="","",IF(ISNUMBER(U72),ROUND(U72*EVAL_ITEMS/100,1),IF(AND(ISNUMBER(S72),ISNUMBER(T72)),IF(T72&gt;0,S72,""),"")))</f>
        <v/>
      </c>
    </row>
    <row r="73">
      <c r="R73" s="3" t="n"/>
      <c r="S73" s="3" t="n"/>
      <c r="T73" s="3" t="n"/>
      <c r="U73" s="3" t="n"/>
      <c r="W73">
        <f>IF(UPPER(TRIM(R73&amp;""))="","",IF(RIGHT(UPPER(TRIM(R73&amp;"")),2)="-N",TRIM(LEFT(UPPER(TRIM(R73&amp;"")),LEN(UPPER(TRIM(R73&amp;"")))-2)),UPPER(TRIM(R73&amp;""))))</f>
        <v/>
      </c>
      <c r="X73">
        <f>IF(W73="","",IF(ISNUMBER(U73),ROUND(U73,1),IF(AND(ISNUMBER(S73),ISNUMBER(T73)),IF(T73&gt;0,ROUND(S73/T73*100,1),""),"")))</f>
        <v/>
      </c>
      <c r="Y73">
        <f>IF(W73="","",IF(RIGHT(UPPER(TRIM(R73&amp;"")),2)="-N","비경쟁",""))</f>
        <v/>
      </c>
      <c r="Z73">
        <f>IF(W73="","",IF(COUNTIF(참가자!$A$3:$A$52,W73)=0,"명단에 없는 코드",""))</f>
        <v/>
      </c>
      <c r="AA73">
        <f>IF(W73="","",IF(ISNUMBER(U73),ROUND(U73*EVAL_ITEMS/100,1),IF(AND(ISNUMBER(S73),ISNUMBER(T73)),IF(T73&gt;0,S73,""),"")))</f>
        <v/>
      </c>
    </row>
    <row r="74">
      <c r="R74" s="3" t="n"/>
      <c r="S74" s="3" t="n"/>
      <c r="T74" s="3" t="n"/>
      <c r="U74" s="3" t="n"/>
      <c r="W74">
        <f>IF(UPPER(TRIM(R74&amp;""))="","",IF(RIGHT(UPPER(TRIM(R74&amp;"")),2)="-N",TRIM(LEFT(UPPER(TRIM(R74&amp;"")),LEN(UPPER(TRIM(R74&amp;"")))-2)),UPPER(TRIM(R74&amp;""))))</f>
        <v/>
      </c>
      <c r="X74">
        <f>IF(W74="","",IF(ISNUMBER(U74),ROUND(U74,1),IF(AND(ISNUMBER(S74),ISNUMBER(T74)),IF(T74&gt;0,ROUND(S74/T74*100,1),""),"")))</f>
        <v/>
      </c>
      <c r="Y74">
        <f>IF(W74="","",IF(RIGHT(UPPER(TRIM(R74&amp;"")),2)="-N","비경쟁",""))</f>
        <v/>
      </c>
      <c r="Z74">
        <f>IF(W74="","",IF(COUNTIF(참가자!$A$3:$A$52,W74)=0,"명단에 없는 코드",""))</f>
        <v/>
      </c>
      <c r="AA74">
        <f>IF(W74="","",IF(ISNUMBER(U74),ROUND(U74*EVAL_ITEMS/100,1),IF(AND(ISNUMBER(S74),ISNUMBER(T74)),IF(T74&gt;0,S74,""),"")))</f>
        <v/>
      </c>
    </row>
    <row r="75">
      <c r="R75" s="3" t="n"/>
      <c r="S75" s="3" t="n"/>
      <c r="T75" s="3" t="n"/>
      <c r="U75" s="3" t="n"/>
      <c r="W75">
        <f>IF(UPPER(TRIM(R75&amp;""))="","",IF(RIGHT(UPPER(TRIM(R75&amp;"")),2)="-N",TRIM(LEFT(UPPER(TRIM(R75&amp;"")),LEN(UPPER(TRIM(R75&amp;"")))-2)),UPPER(TRIM(R75&amp;""))))</f>
        <v/>
      </c>
      <c r="X75">
        <f>IF(W75="","",IF(ISNUMBER(U75),ROUND(U75,1),IF(AND(ISNUMBER(S75),ISNUMBER(T75)),IF(T75&gt;0,ROUND(S75/T75*100,1),""),"")))</f>
        <v/>
      </c>
      <c r="Y75">
        <f>IF(W75="","",IF(RIGHT(UPPER(TRIM(R75&amp;"")),2)="-N","비경쟁",""))</f>
        <v/>
      </c>
      <c r="Z75">
        <f>IF(W75="","",IF(COUNTIF(참가자!$A$3:$A$52,W75)=0,"명단에 없는 코드",""))</f>
        <v/>
      </c>
      <c r="AA75">
        <f>IF(W75="","",IF(ISNUMBER(U75),ROUND(U75*EVAL_ITEMS/100,1),IF(AND(ISNUMBER(S75),ISNUMBER(T75)),IF(T75&gt;0,S75,""),"")))</f>
        <v/>
      </c>
    </row>
    <row r="76">
      <c r="R76" s="3" t="n"/>
      <c r="S76" s="3" t="n"/>
      <c r="T76" s="3" t="n"/>
      <c r="U76" s="3" t="n"/>
      <c r="W76">
        <f>IF(UPPER(TRIM(R76&amp;""))="","",IF(RIGHT(UPPER(TRIM(R76&amp;"")),2)="-N",TRIM(LEFT(UPPER(TRIM(R76&amp;"")),LEN(UPPER(TRIM(R76&amp;"")))-2)),UPPER(TRIM(R76&amp;""))))</f>
        <v/>
      </c>
      <c r="X76">
        <f>IF(W76="","",IF(ISNUMBER(U76),ROUND(U76,1),IF(AND(ISNUMBER(S76),ISNUMBER(T76)),IF(T76&gt;0,ROUND(S76/T76*100,1),""),"")))</f>
        <v/>
      </c>
      <c r="Y76">
        <f>IF(W76="","",IF(RIGHT(UPPER(TRIM(R76&amp;"")),2)="-N","비경쟁",""))</f>
        <v/>
      </c>
      <c r="Z76">
        <f>IF(W76="","",IF(COUNTIF(참가자!$A$3:$A$52,W76)=0,"명단에 없는 코드",""))</f>
        <v/>
      </c>
      <c r="AA76">
        <f>IF(W76="","",IF(ISNUMBER(U76),ROUND(U76*EVAL_ITEMS/100,1),IF(AND(ISNUMBER(S76),ISNUMBER(T76)),IF(T76&gt;0,S76,""),"")))</f>
        <v/>
      </c>
    </row>
    <row r="77">
      <c r="R77" s="3" t="n"/>
      <c r="S77" s="3" t="n"/>
      <c r="T77" s="3" t="n"/>
      <c r="U77" s="3" t="n"/>
      <c r="W77">
        <f>IF(UPPER(TRIM(R77&amp;""))="","",IF(RIGHT(UPPER(TRIM(R77&amp;"")),2)="-N",TRIM(LEFT(UPPER(TRIM(R77&amp;"")),LEN(UPPER(TRIM(R77&amp;"")))-2)),UPPER(TRIM(R77&amp;""))))</f>
        <v/>
      </c>
      <c r="X77">
        <f>IF(W77="","",IF(ISNUMBER(U77),ROUND(U77,1),IF(AND(ISNUMBER(S77),ISNUMBER(T77)),IF(T77&gt;0,ROUND(S77/T77*100,1),""),"")))</f>
        <v/>
      </c>
      <c r="Y77">
        <f>IF(W77="","",IF(RIGHT(UPPER(TRIM(R77&amp;"")),2)="-N","비경쟁",""))</f>
        <v/>
      </c>
      <c r="Z77">
        <f>IF(W77="","",IF(COUNTIF(참가자!$A$3:$A$52,W77)=0,"명단에 없는 코드",""))</f>
        <v/>
      </c>
      <c r="AA77">
        <f>IF(W77="","",IF(ISNUMBER(U77),ROUND(U77*EVAL_ITEMS/100,1),IF(AND(ISNUMBER(S77),ISNUMBER(T77)),IF(T77&gt;0,S77,""),"")))</f>
        <v/>
      </c>
    </row>
    <row r="78">
      <c r="R78" s="3" t="n"/>
      <c r="S78" s="3" t="n"/>
      <c r="T78" s="3" t="n"/>
      <c r="U78" s="3" t="n"/>
      <c r="W78">
        <f>IF(UPPER(TRIM(R78&amp;""))="","",IF(RIGHT(UPPER(TRIM(R78&amp;"")),2)="-N",TRIM(LEFT(UPPER(TRIM(R78&amp;"")),LEN(UPPER(TRIM(R78&amp;"")))-2)),UPPER(TRIM(R78&amp;""))))</f>
        <v/>
      </c>
      <c r="X78">
        <f>IF(W78="","",IF(ISNUMBER(U78),ROUND(U78,1),IF(AND(ISNUMBER(S78),ISNUMBER(T78)),IF(T78&gt;0,ROUND(S78/T78*100,1),""),"")))</f>
        <v/>
      </c>
      <c r="Y78">
        <f>IF(W78="","",IF(RIGHT(UPPER(TRIM(R78&amp;"")),2)="-N","비경쟁",""))</f>
        <v/>
      </c>
      <c r="Z78">
        <f>IF(W78="","",IF(COUNTIF(참가자!$A$3:$A$52,W78)=0,"명단에 없는 코드",""))</f>
        <v/>
      </c>
      <c r="AA78">
        <f>IF(W78="","",IF(ISNUMBER(U78),ROUND(U78*EVAL_ITEMS/100,1),IF(AND(ISNUMBER(S78),ISNUMBER(T78)),IF(T78&gt;0,S78,""),"")))</f>
        <v/>
      </c>
    </row>
    <row r="79">
      <c r="R79" s="3" t="n"/>
      <c r="S79" s="3" t="n"/>
      <c r="T79" s="3" t="n"/>
      <c r="U79" s="3" t="n"/>
      <c r="W79">
        <f>IF(UPPER(TRIM(R79&amp;""))="","",IF(RIGHT(UPPER(TRIM(R79&amp;"")),2)="-N",TRIM(LEFT(UPPER(TRIM(R79&amp;"")),LEN(UPPER(TRIM(R79&amp;"")))-2)),UPPER(TRIM(R79&amp;""))))</f>
        <v/>
      </c>
      <c r="X79">
        <f>IF(W79="","",IF(ISNUMBER(U79),ROUND(U79,1),IF(AND(ISNUMBER(S79),ISNUMBER(T79)),IF(T79&gt;0,ROUND(S79/T79*100,1),""),"")))</f>
        <v/>
      </c>
      <c r="Y79">
        <f>IF(W79="","",IF(RIGHT(UPPER(TRIM(R79&amp;"")),2)="-N","비경쟁",""))</f>
        <v/>
      </c>
      <c r="Z79">
        <f>IF(W79="","",IF(COUNTIF(참가자!$A$3:$A$52,W79)=0,"명단에 없는 코드",""))</f>
        <v/>
      </c>
      <c r="AA79">
        <f>IF(W79="","",IF(ISNUMBER(U79),ROUND(U79*EVAL_ITEMS/100,1),IF(AND(ISNUMBER(S79),ISNUMBER(T79)),IF(T79&gt;0,S79,""),"")))</f>
        <v/>
      </c>
    </row>
    <row r="80">
      <c r="R80" s="3" t="n"/>
      <c r="S80" s="3" t="n"/>
      <c r="T80" s="3" t="n"/>
      <c r="U80" s="3" t="n"/>
      <c r="W80">
        <f>IF(UPPER(TRIM(R80&amp;""))="","",IF(RIGHT(UPPER(TRIM(R80&amp;"")),2)="-N",TRIM(LEFT(UPPER(TRIM(R80&amp;"")),LEN(UPPER(TRIM(R80&amp;"")))-2)),UPPER(TRIM(R80&amp;""))))</f>
        <v/>
      </c>
      <c r="X80">
        <f>IF(W80="","",IF(ISNUMBER(U80),ROUND(U80,1),IF(AND(ISNUMBER(S80),ISNUMBER(T80)),IF(T80&gt;0,ROUND(S80/T80*100,1),""),"")))</f>
        <v/>
      </c>
      <c r="Y80">
        <f>IF(W80="","",IF(RIGHT(UPPER(TRIM(R80&amp;"")),2)="-N","비경쟁",""))</f>
        <v/>
      </c>
      <c r="Z80">
        <f>IF(W80="","",IF(COUNTIF(참가자!$A$3:$A$52,W80)=0,"명단에 없는 코드",""))</f>
        <v/>
      </c>
      <c r="AA80">
        <f>IF(W80="","",IF(ISNUMBER(U80),ROUND(U80*EVAL_ITEMS/100,1),IF(AND(ISNUMBER(S80),ISNUMBER(T80)),IF(T80&gt;0,S80,""),"")))</f>
        <v/>
      </c>
    </row>
    <row r="81">
      <c r="R81" s="3" t="n"/>
      <c r="S81" s="3" t="n"/>
      <c r="T81" s="3" t="n"/>
      <c r="U81" s="3" t="n"/>
      <c r="W81">
        <f>IF(UPPER(TRIM(R81&amp;""))="","",IF(RIGHT(UPPER(TRIM(R81&amp;"")),2)="-N",TRIM(LEFT(UPPER(TRIM(R81&amp;"")),LEN(UPPER(TRIM(R81&amp;"")))-2)),UPPER(TRIM(R81&amp;""))))</f>
        <v/>
      </c>
      <c r="X81">
        <f>IF(W81="","",IF(ISNUMBER(U81),ROUND(U81,1),IF(AND(ISNUMBER(S81),ISNUMBER(T81)),IF(T81&gt;0,ROUND(S81/T81*100,1),""),"")))</f>
        <v/>
      </c>
      <c r="Y81">
        <f>IF(W81="","",IF(RIGHT(UPPER(TRIM(R81&amp;"")),2)="-N","비경쟁",""))</f>
        <v/>
      </c>
      <c r="Z81">
        <f>IF(W81="","",IF(COUNTIF(참가자!$A$3:$A$52,W81)=0,"명단에 없는 코드",""))</f>
        <v/>
      </c>
      <c r="AA81">
        <f>IF(W81="","",IF(ISNUMBER(U81),ROUND(U81*EVAL_ITEMS/100,1),IF(AND(ISNUMBER(S81),ISNUMBER(T81)),IF(T81&gt;0,S81,""),"")))</f>
        <v/>
      </c>
    </row>
    <row r="82">
      <c r="R82" s="3" t="n"/>
      <c r="S82" s="3" t="n"/>
      <c r="T82" s="3" t="n"/>
      <c r="U82" s="3" t="n"/>
      <c r="W82">
        <f>IF(UPPER(TRIM(R82&amp;""))="","",IF(RIGHT(UPPER(TRIM(R82&amp;"")),2)="-N",TRIM(LEFT(UPPER(TRIM(R82&amp;"")),LEN(UPPER(TRIM(R82&amp;"")))-2)),UPPER(TRIM(R82&amp;""))))</f>
        <v/>
      </c>
      <c r="X82">
        <f>IF(W82="","",IF(ISNUMBER(U82),ROUND(U82,1),IF(AND(ISNUMBER(S82),ISNUMBER(T82)),IF(T82&gt;0,ROUND(S82/T82*100,1),""),"")))</f>
        <v/>
      </c>
      <c r="Y82">
        <f>IF(W82="","",IF(RIGHT(UPPER(TRIM(R82&amp;"")),2)="-N","비경쟁",""))</f>
        <v/>
      </c>
      <c r="Z82">
        <f>IF(W82="","",IF(COUNTIF(참가자!$A$3:$A$52,W82)=0,"명단에 없는 코드",""))</f>
        <v/>
      </c>
      <c r="AA82">
        <f>IF(W82="","",IF(ISNUMBER(U82),ROUND(U82*EVAL_ITEMS/100,1),IF(AND(ISNUMBER(S82),ISNUMBER(T82)),IF(T82&gt;0,S82,""),"")))</f>
        <v/>
      </c>
    </row>
    <row r="83">
      <c r="R83" s="3" t="n"/>
      <c r="S83" s="3" t="n"/>
      <c r="T83" s="3" t="n"/>
      <c r="U83" s="3" t="n"/>
      <c r="W83">
        <f>IF(UPPER(TRIM(R83&amp;""))="","",IF(RIGHT(UPPER(TRIM(R83&amp;"")),2)="-N",TRIM(LEFT(UPPER(TRIM(R83&amp;"")),LEN(UPPER(TRIM(R83&amp;"")))-2)),UPPER(TRIM(R83&amp;""))))</f>
        <v/>
      </c>
      <c r="X83">
        <f>IF(W83="","",IF(ISNUMBER(U83),ROUND(U83,1),IF(AND(ISNUMBER(S83),ISNUMBER(T83)),IF(T83&gt;0,ROUND(S83/T83*100,1),""),"")))</f>
        <v/>
      </c>
      <c r="Y83">
        <f>IF(W83="","",IF(RIGHT(UPPER(TRIM(R83&amp;"")),2)="-N","비경쟁",""))</f>
        <v/>
      </c>
      <c r="Z83">
        <f>IF(W83="","",IF(COUNTIF(참가자!$A$3:$A$52,W83)=0,"명단에 없는 코드",""))</f>
        <v/>
      </c>
      <c r="AA83">
        <f>IF(W83="","",IF(ISNUMBER(U83),ROUND(U83*EVAL_ITEMS/100,1),IF(AND(ISNUMBER(S83),ISNUMBER(T83)),IF(T83&gt;0,S83,""),"")))</f>
        <v/>
      </c>
    </row>
    <row r="84">
      <c r="R84" s="3" t="n"/>
      <c r="S84" s="3" t="n"/>
      <c r="T84" s="3" t="n"/>
      <c r="U84" s="3" t="n"/>
      <c r="W84">
        <f>IF(UPPER(TRIM(R84&amp;""))="","",IF(RIGHT(UPPER(TRIM(R84&amp;"")),2)="-N",TRIM(LEFT(UPPER(TRIM(R84&amp;"")),LEN(UPPER(TRIM(R84&amp;"")))-2)),UPPER(TRIM(R84&amp;""))))</f>
        <v/>
      </c>
      <c r="X84">
        <f>IF(W84="","",IF(ISNUMBER(U84),ROUND(U84,1),IF(AND(ISNUMBER(S84),ISNUMBER(T84)),IF(T84&gt;0,ROUND(S84/T84*100,1),""),"")))</f>
        <v/>
      </c>
      <c r="Y84">
        <f>IF(W84="","",IF(RIGHT(UPPER(TRIM(R84&amp;"")),2)="-N","비경쟁",""))</f>
        <v/>
      </c>
      <c r="Z84">
        <f>IF(W84="","",IF(COUNTIF(참가자!$A$3:$A$52,W84)=0,"명단에 없는 코드",""))</f>
        <v/>
      </c>
      <c r="AA84">
        <f>IF(W84="","",IF(ISNUMBER(U84),ROUND(U84*EVAL_ITEMS/100,1),IF(AND(ISNUMBER(S84),ISNUMBER(T84)),IF(T84&gt;0,S84,""),"")))</f>
        <v/>
      </c>
    </row>
    <row r="85">
      <c r="R85" s="3" t="n"/>
      <c r="S85" s="3" t="n"/>
      <c r="T85" s="3" t="n"/>
      <c r="U85" s="3" t="n"/>
      <c r="W85">
        <f>IF(UPPER(TRIM(R85&amp;""))="","",IF(RIGHT(UPPER(TRIM(R85&amp;"")),2)="-N",TRIM(LEFT(UPPER(TRIM(R85&amp;"")),LEN(UPPER(TRIM(R85&amp;"")))-2)),UPPER(TRIM(R85&amp;""))))</f>
        <v/>
      </c>
      <c r="X85">
        <f>IF(W85="","",IF(ISNUMBER(U85),ROUND(U85,1),IF(AND(ISNUMBER(S85),ISNUMBER(T85)),IF(T85&gt;0,ROUND(S85/T85*100,1),""),"")))</f>
        <v/>
      </c>
      <c r="Y85">
        <f>IF(W85="","",IF(RIGHT(UPPER(TRIM(R85&amp;"")),2)="-N","비경쟁",""))</f>
        <v/>
      </c>
      <c r="Z85">
        <f>IF(W85="","",IF(COUNTIF(참가자!$A$3:$A$52,W85)=0,"명단에 없는 코드",""))</f>
        <v/>
      </c>
      <c r="AA85">
        <f>IF(W85="","",IF(ISNUMBER(U85),ROUND(U85*EVAL_ITEMS/100,1),IF(AND(ISNUMBER(S85),ISNUMBER(T85)),IF(T85&gt;0,S85,""),"")))</f>
        <v/>
      </c>
    </row>
    <row r="86">
      <c r="R86" s="3" t="n"/>
      <c r="S86" s="3" t="n"/>
      <c r="T86" s="3" t="n"/>
      <c r="U86" s="3" t="n"/>
      <c r="W86">
        <f>IF(UPPER(TRIM(R86&amp;""))="","",IF(RIGHT(UPPER(TRIM(R86&amp;"")),2)="-N",TRIM(LEFT(UPPER(TRIM(R86&amp;"")),LEN(UPPER(TRIM(R86&amp;"")))-2)),UPPER(TRIM(R86&amp;""))))</f>
        <v/>
      </c>
      <c r="X86">
        <f>IF(W86="","",IF(ISNUMBER(U86),ROUND(U86,1),IF(AND(ISNUMBER(S86),ISNUMBER(T86)),IF(T86&gt;0,ROUND(S86/T86*100,1),""),"")))</f>
        <v/>
      </c>
      <c r="Y86">
        <f>IF(W86="","",IF(RIGHT(UPPER(TRIM(R86&amp;"")),2)="-N","비경쟁",""))</f>
        <v/>
      </c>
      <c r="Z86">
        <f>IF(W86="","",IF(COUNTIF(참가자!$A$3:$A$52,W86)=0,"명단에 없는 코드",""))</f>
        <v/>
      </c>
      <c r="AA86">
        <f>IF(W86="","",IF(ISNUMBER(U86),ROUND(U86*EVAL_ITEMS/100,1),IF(AND(ISNUMBER(S86),ISNUMBER(T86)),IF(T86&gt;0,S86,""),"")))</f>
        <v/>
      </c>
    </row>
    <row r="87">
      <c r="R87" s="3" t="n"/>
      <c r="S87" s="3" t="n"/>
      <c r="T87" s="3" t="n"/>
      <c r="U87" s="3" t="n"/>
      <c r="W87">
        <f>IF(UPPER(TRIM(R87&amp;""))="","",IF(RIGHT(UPPER(TRIM(R87&amp;"")),2)="-N",TRIM(LEFT(UPPER(TRIM(R87&amp;"")),LEN(UPPER(TRIM(R87&amp;"")))-2)),UPPER(TRIM(R87&amp;""))))</f>
        <v/>
      </c>
      <c r="X87">
        <f>IF(W87="","",IF(ISNUMBER(U87),ROUND(U87,1),IF(AND(ISNUMBER(S87),ISNUMBER(T87)),IF(T87&gt;0,ROUND(S87/T87*100,1),""),"")))</f>
        <v/>
      </c>
      <c r="Y87">
        <f>IF(W87="","",IF(RIGHT(UPPER(TRIM(R87&amp;"")),2)="-N","비경쟁",""))</f>
        <v/>
      </c>
      <c r="Z87">
        <f>IF(W87="","",IF(COUNTIF(참가자!$A$3:$A$52,W87)=0,"명단에 없는 코드",""))</f>
        <v/>
      </c>
      <c r="AA87">
        <f>IF(W87="","",IF(ISNUMBER(U87),ROUND(U87*EVAL_ITEMS/100,1),IF(AND(ISNUMBER(S87),ISNUMBER(T87)),IF(T87&gt;0,S87,""),"")))</f>
        <v/>
      </c>
    </row>
    <row r="88">
      <c r="R88" s="3" t="n"/>
      <c r="S88" s="3" t="n"/>
      <c r="T88" s="3" t="n"/>
      <c r="U88" s="3" t="n"/>
      <c r="W88">
        <f>IF(UPPER(TRIM(R88&amp;""))="","",IF(RIGHT(UPPER(TRIM(R88&amp;"")),2)="-N",TRIM(LEFT(UPPER(TRIM(R88&amp;"")),LEN(UPPER(TRIM(R88&amp;"")))-2)),UPPER(TRIM(R88&amp;""))))</f>
        <v/>
      </c>
      <c r="X88">
        <f>IF(W88="","",IF(ISNUMBER(U88),ROUND(U88,1),IF(AND(ISNUMBER(S88),ISNUMBER(T88)),IF(T88&gt;0,ROUND(S88/T88*100,1),""),"")))</f>
        <v/>
      </c>
      <c r="Y88">
        <f>IF(W88="","",IF(RIGHT(UPPER(TRIM(R88&amp;"")),2)="-N","비경쟁",""))</f>
        <v/>
      </c>
      <c r="Z88">
        <f>IF(W88="","",IF(COUNTIF(참가자!$A$3:$A$52,W88)=0,"명단에 없는 코드",""))</f>
        <v/>
      </c>
      <c r="AA88">
        <f>IF(W88="","",IF(ISNUMBER(U88),ROUND(U88*EVAL_ITEMS/100,1),IF(AND(ISNUMBER(S88),ISNUMBER(T88)),IF(T88&gt;0,S88,""),"")))</f>
        <v/>
      </c>
    </row>
    <row r="89">
      <c r="R89" s="3" t="n"/>
      <c r="S89" s="3" t="n"/>
      <c r="T89" s="3" t="n"/>
      <c r="U89" s="3" t="n"/>
      <c r="W89">
        <f>IF(UPPER(TRIM(R89&amp;""))="","",IF(RIGHT(UPPER(TRIM(R89&amp;"")),2)="-N",TRIM(LEFT(UPPER(TRIM(R89&amp;"")),LEN(UPPER(TRIM(R89&amp;"")))-2)),UPPER(TRIM(R89&amp;""))))</f>
        <v/>
      </c>
      <c r="X89">
        <f>IF(W89="","",IF(ISNUMBER(U89),ROUND(U89,1),IF(AND(ISNUMBER(S89),ISNUMBER(T89)),IF(T89&gt;0,ROUND(S89/T89*100,1),""),"")))</f>
        <v/>
      </c>
      <c r="Y89">
        <f>IF(W89="","",IF(RIGHT(UPPER(TRIM(R89&amp;"")),2)="-N","비경쟁",""))</f>
        <v/>
      </c>
      <c r="Z89">
        <f>IF(W89="","",IF(COUNTIF(참가자!$A$3:$A$52,W89)=0,"명단에 없는 코드",""))</f>
        <v/>
      </c>
      <c r="AA89">
        <f>IF(W89="","",IF(ISNUMBER(U89),ROUND(U89*EVAL_ITEMS/100,1),IF(AND(ISNUMBER(S89),ISNUMBER(T89)),IF(T89&gt;0,S89,""),"")))</f>
        <v/>
      </c>
    </row>
    <row r="90">
      <c r="R90" s="3" t="n"/>
      <c r="S90" s="3" t="n"/>
      <c r="T90" s="3" t="n"/>
      <c r="U90" s="3" t="n"/>
      <c r="W90">
        <f>IF(UPPER(TRIM(R90&amp;""))="","",IF(RIGHT(UPPER(TRIM(R90&amp;"")),2)="-N",TRIM(LEFT(UPPER(TRIM(R90&amp;"")),LEN(UPPER(TRIM(R90&amp;"")))-2)),UPPER(TRIM(R90&amp;""))))</f>
        <v/>
      </c>
      <c r="X90">
        <f>IF(W90="","",IF(ISNUMBER(U90),ROUND(U90,1),IF(AND(ISNUMBER(S90),ISNUMBER(T90)),IF(T90&gt;0,ROUND(S90/T90*100,1),""),"")))</f>
        <v/>
      </c>
      <c r="Y90">
        <f>IF(W90="","",IF(RIGHT(UPPER(TRIM(R90&amp;"")),2)="-N","비경쟁",""))</f>
        <v/>
      </c>
      <c r="Z90">
        <f>IF(W90="","",IF(COUNTIF(참가자!$A$3:$A$52,W90)=0,"명단에 없는 코드",""))</f>
        <v/>
      </c>
      <c r="AA90">
        <f>IF(W90="","",IF(ISNUMBER(U90),ROUND(U90*EVAL_ITEMS/100,1),IF(AND(ISNUMBER(S90),ISNUMBER(T90)),IF(T90&gt;0,S90,""),"")))</f>
        <v/>
      </c>
    </row>
    <row r="91">
      <c r="R91" s="3" t="n"/>
      <c r="S91" s="3" t="n"/>
      <c r="T91" s="3" t="n"/>
      <c r="U91" s="3" t="n"/>
      <c r="W91">
        <f>IF(UPPER(TRIM(R91&amp;""))="","",IF(RIGHT(UPPER(TRIM(R91&amp;"")),2)="-N",TRIM(LEFT(UPPER(TRIM(R91&amp;"")),LEN(UPPER(TRIM(R91&amp;"")))-2)),UPPER(TRIM(R91&amp;""))))</f>
        <v/>
      </c>
      <c r="X91">
        <f>IF(W91="","",IF(ISNUMBER(U91),ROUND(U91,1),IF(AND(ISNUMBER(S91),ISNUMBER(T91)),IF(T91&gt;0,ROUND(S91/T91*100,1),""),"")))</f>
        <v/>
      </c>
      <c r="Y91">
        <f>IF(W91="","",IF(RIGHT(UPPER(TRIM(R91&amp;"")),2)="-N","비경쟁",""))</f>
        <v/>
      </c>
      <c r="Z91">
        <f>IF(W91="","",IF(COUNTIF(참가자!$A$3:$A$52,W91)=0,"명단에 없는 코드",""))</f>
        <v/>
      </c>
      <c r="AA91">
        <f>IF(W91="","",IF(ISNUMBER(U91),ROUND(U91*EVAL_ITEMS/100,1),IF(AND(ISNUMBER(S91),ISNUMBER(T91)),IF(T91&gt;0,S91,""),"")))</f>
        <v/>
      </c>
    </row>
    <row r="92">
      <c r="R92" s="3" t="n"/>
      <c r="S92" s="3" t="n"/>
      <c r="T92" s="3" t="n"/>
      <c r="U92" s="3" t="n"/>
      <c r="W92">
        <f>IF(UPPER(TRIM(R92&amp;""))="","",IF(RIGHT(UPPER(TRIM(R92&amp;"")),2)="-N",TRIM(LEFT(UPPER(TRIM(R92&amp;"")),LEN(UPPER(TRIM(R92&amp;"")))-2)),UPPER(TRIM(R92&amp;""))))</f>
        <v/>
      </c>
      <c r="X92">
        <f>IF(W92="","",IF(ISNUMBER(U92),ROUND(U92,1),IF(AND(ISNUMBER(S92),ISNUMBER(T92)),IF(T92&gt;0,ROUND(S92/T92*100,1),""),"")))</f>
        <v/>
      </c>
      <c r="Y92">
        <f>IF(W92="","",IF(RIGHT(UPPER(TRIM(R92&amp;"")),2)="-N","비경쟁",""))</f>
        <v/>
      </c>
      <c r="Z92">
        <f>IF(W92="","",IF(COUNTIF(참가자!$A$3:$A$52,W92)=0,"명단에 없는 코드",""))</f>
        <v/>
      </c>
      <c r="AA92">
        <f>IF(W92="","",IF(ISNUMBER(U92),ROUND(U92*EVAL_ITEMS/100,1),IF(AND(ISNUMBER(S92),ISNUMBER(T92)),IF(T92&gt;0,S92,""),"")))</f>
        <v/>
      </c>
    </row>
    <row r="93">
      <c r="R93" s="3" t="n"/>
      <c r="S93" s="3" t="n"/>
      <c r="T93" s="3" t="n"/>
      <c r="U93" s="3" t="n"/>
      <c r="W93">
        <f>IF(UPPER(TRIM(R93&amp;""))="","",IF(RIGHT(UPPER(TRIM(R93&amp;"")),2)="-N",TRIM(LEFT(UPPER(TRIM(R93&amp;"")),LEN(UPPER(TRIM(R93&amp;"")))-2)),UPPER(TRIM(R93&amp;""))))</f>
        <v/>
      </c>
      <c r="X93">
        <f>IF(W93="","",IF(ISNUMBER(U93),ROUND(U93,1),IF(AND(ISNUMBER(S93),ISNUMBER(T93)),IF(T93&gt;0,ROUND(S93/T93*100,1),""),"")))</f>
        <v/>
      </c>
      <c r="Y93">
        <f>IF(W93="","",IF(RIGHT(UPPER(TRIM(R93&amp;"")),2)="-N","비경쟁",""))</f>
        <v/>
      </c>
      <c r="Z93">
        <f>IF(W93="","",IF(COUNTIF(참가자!$A$3:$A$52,W93)=0,"명단에 없는 코드",""))</f>
        <v/>
      </c>
      <c r="AA93">
        <f>IF(W93="","",IF(ISNUMBER(U93),ROUND(U93*EVAL_ITEMS/100,1),IF(AND(ISNUMBER(S93),ISNUMBER(T93)),IF(T93&gt;0,S93,""),"")))</f>
        <v/>
      </c>
    </row>
    <row r="94">
      <c r="R94" s="3" t="n"/>
      <c r="S94" s="3" t="n"/>
      <c r="T94" s="3" t="n"/>
      <c r="U94" s="3" t="n"/>
      <c r="W94">
        <f>IF(UPPER(TRIM(R94&amp;""))="","",IF(RIGHT(UPPER(TRIM(R94&amp;"")),2)="-N",TRIM(LEFT(UPPER(TRIM(R94&amp;"")),LEN(UPPER(TRIM(R94&amp;"")))-2)),UPPER(TRIM(R94&amp;""))))</f>
        <v/>
      </c>
      <c r="X94">
        <f>IF(W94="","",IF(ISNUMBER(U94),ROUND(U94,1),IF(AND(ISNUMBER(S94),ISNUMBER(T94)),IF(T94&gt;0,ROUND(S94/T94*100,1),""),"")))</f>
        <v/>
      </c>
      <c r="Y94">
        <f>IF(W94="","",IF(RIGHT(UPPER(TRIM(R94&amp;"")),2)="-N","비경쟁",""))</f>
        <v/>
      </c>
      <c r="Z94">
        <f>IF(W94="","",IF(COUNTIF(참가자!$A$3:$A$52,W94)=0,"명단에 없는 코드",""))</f>
        <v/>
      </c>
      <c r="AA94">
        <f>IF(W94="","",IF(ISNUMBER(U94),ROUND(U94*EVAL_ITEMS/100,1),IF(AND(ISNUMBER(S94),ISNUMBER(T94)),IF(T94&gt;0,S94,""),"")))</f>
        <v/>
      </c>
    </row>
    <row r="95">
      <c r="R95" s="3" t="n"/>
      <c r="S95" s="3" t="n"/>
      <c r="T95" s="3" t="n"/>
      <c r="U95" s="3" t="n"/>
      <c r="W95">
        <f>IF(UPPER(TRIM(R95&amp;""))="","",IF(RIGHT(UPPER(TRIM(R95&amp;"")),2)="-N",TRIM(LEFT(UPPER(TRIM(R95&amp;"")),LEN(UPPER(TRIM(R95&amp;"")))-2)),UPPER(TRIM(R95&amp;""))))</f>
        <v/>
      </c>
      <c r="X95">
        <f>IF(W95="","",IF(ISNUMBER(U95),ROUND(U95,1),IF(AND(ISNUMBER(S95),ISNUMBER(T95)),IF(T95&gt;0,ROUND(S95/T95*100,1),""),"")))</f>
        <v/>
      </c>
      <c r="Y95">
        <f>IF(W95="","",IF(RIGHT(UPPER(TRIM(R95&amp;"")),2)="-N","비경쟁",""))</f>
        <v/>
      </c>
      <c r="Z95">
        <f>IF(W95="","",IF(COUNTIF(참가자!$A$3:$A$52,W95)=0,"명단에 없는 코드",""))</f>
        <v/>
      </c>
      <c r="AA95">
        <f>IF(W95="","",IF(ISNUMBER(U95),ROUND(U95*EVAL_ITEMS/100,1),IF(AND(ISNUMBER(S95),ISNUMBER(T95)),IF(T95&gt;0,S95,""),"")))</f>
        <v/>
      </c>
    </row>
    <row r="96">
      <c r="R96" s="3" t="n"/>
      <c r="S96" s="3" t="n"/>
      <c r="T96" s="3" t="n"/>
      <c r="U96" s="3" t="n"/>
      <c r="W96">
        <f>IF(UPPER(TRIM(R96&amp;""))="","",IF(RIGHT(UPPER(TRIM(R96&amp;"")),2)="-N",TRIM(LEFT(UPPER(TRIM(R96&amp;"")),LEN(UPPER(TRIM(R96&amp;"")))-2)),UPPER(TRIM(R96&amp;""))))</f>
        <v/>
      </c>
      <c r="X96">
        <f>IF(W96="","",IF(ISNUMBER(U96),ROUND(U96,1),IF(AND(ISNUMBER(S96),ISNUMBER(T96)),IF(T96&gt;0,ROUND(S96/T96*100,1),""),"")))</f>
        <v/>
      </c>
      <c r="Y96">
        <f>IF(W96="","",IF(RIGHT(UPPER(TRIM(R96&amp;"")),2)="-N","비경쟁",""))</f>
        <v/>
      </c>
      <c r="Z96">
        <f>IF(W96="","",IF(COUNTIF(참가자!$A$3:$A$52,W96)=0,"명단에 없는 코드",""))</f>
        <v/>
      </c>
      <c r="AA96">
        <f>IF(W96="","",IF(ISNUMBER(U96),ROUND(U96*EVAL_ITEMS/100,1),IF(AND(ISNUMBER(S96),ISNUMBER(T96)),IF(T96&gt;0,S96,""),"")))</f>
        <v/>
      </c>
    </row>
    <row r="97">
      <c r="R97" s="3" t="n"/>
      <c r="S97" s="3" t="n"/>
      <c r="T97" s="3" t="n"/>
      <c r="U97" s="3" t="n"/>
      <c r="W97">
        <f>IF(UPPER(TRIM(R97&amp;""))="","",IF(RIGHT(UPPER(TRIM(R97&amp;"")),2)="-N",TRIM(LEFT(UPPER(TRIM(R97&amp;"")),LEN(UPPER(TRIM(R97&amp;"")))-2)),UPPER(TRIM(R97&amp;""))))</f>
        <v/>
      </c>
      <c r="X97">
        <f>IF(W97="","",IF(ISNUMBER(U97),ROUND(U97,1),IF(AND(ISNUMBER(S97),ISNUMBER(T97)),IF(T97&gt;0,ROUND(S97/T97*100,1),""),"")))</f>
        <v/>
      </c>
      <c r="Y97">
        <f>IF(W97="","",IF(RIGHT(UPPER(TRIM(R97&amp;"")),2)="-N","비경쟁",""))</f>
        <v/>
      </c>
      <c r="Z97">
        <f>IF(W97="","",IF(COUNTIF(참가자!$A$3:$A$52,W97)=0,"명단에 없는 코드",""))</f>
        <v/>
      </c>
      <c r="AA97">
        <f>IF(W97="","",IF(ISNUMBER(U97),ROUND(U97*EVAL_ITEMS/100,1),IF(AND(ISNUMBER(S97),ISNUMBER(T97)),IF(T97&gt;0,S97,""),"")))</f>
        <v/>
      </c>
    </row>
    <row r="98">
      <c r="R98" s="3" t="n"/>
      <c r="S98" s="3" t="n"/>
      <c r="T98" s="3" t="n"/>
      <c r="U98" s="3" t="n"/>
      <c r="W98">
        <f>IF(UPPER(TRIM(R98&amp;""))="","",IF(RIGHT(UPPER(TRIM(R98&amp;"")),2)="-N",TRIM(LEFT(UPPER(TRIM(R98&amp;"")),LEN(UPPER(TRIM(R98&amp;"")))-2)),UPPER(TRIM(R98&amp;""))))</f>
        <v/>
      </c>
      <c r="X98">
        <f>IF(W98="","",IF(ISNUMBER(U98),ROUND(U98,1),IF(AND(ISNUMBER(S98),ISNUMBER(T98)),IF(T98&gt;0,ROUND(S98/T98*100,1),""),"")))</f>
        <v/>
      </c>
      <c r="Y98">
        <f>IF(W98="","",IF(RIGHT(UPPER(TRIM(R98&amp;"")),2)="-N","비경쟁",""))</f>
        <v/>
      </c>
      <c r="Z98">
        <f>IF(W98="","",IF(COUNTIF(참가자!$A$3:$A$52,W98)=0,"명단에 없는 코드",""))</f>
        <v/>
      </c>
      <c r="AA98">
        <f>IF(W98="","",IF(ISNUMBER(U98),ROUND(U98*EVAL_ITEMS/100,1),IF(AND(ISNUMBER(S98),ISNUMBER(T98)),IF(T98&gt;0,S98,""),"")))</f>
        <v/>
      </c>
    </row>
    <row r="99">
      <c r="R99" s="3" t="n"/>
      <c r="S99" s="3" t="n"/>
      <c r="T99" s="3" t="n"/>
      <c r="U99" s="3" t="n"/>
      <c r="W99">
        <f>IF(UPPER(TRIM(R99&amp;""))="","",IF(RIGHT(UPPER(TRIM(R99&amp;"")),2)="-N",TRIM(LEFT(UPPER(TRIM(R99&amp;"")),LEN(UPPER(TRIM(R99&amp;"")))-2)),UPPER(TRIM(R99&amp;""))))</f>
        <v/>
      </c>
      <c r="X99">
        <f>IF(W99="","",IF(ISNUMBER(U99),ROUND(U99,1),IF(AND(ISNUMBER(S99),ISNUMBER(T99)),IF(T99&gt;0,ROUND(S99/T99*100,1),""),"")))</f>
        <v/>
      </c>
      <c r="Y99">
        <f>IF(W99="","",IF(RIGHT(UPPER(TRIM(R99&amp;"")),2)="-N","비경쟁",""))</f>
        <v/>
      </c>
      <c r="Z99">
        <f>IF(W99="","",IF(COUNTIF(참가자!$A$3:$A$52,W99)=0,"명단에 없는 코드",""))</f>
        <v/>
      </c>
      <c r="AA99">
        <f>IF(W99="","",IF(ISNUMBER(U99),ROUND(U99*EVAL_ITEMS/100,1),IF(AND(ISNUMBER(S99),ISNUMBER(T99)),IF(T99&gt;0,S99,""),"")))</f>
        <v/>
      </c>
    </row>
    <row r="100">
      <c r="R100" s="3" t="n"/>
      <c r="S100" s="3" t="n"/>
      <c r="T100" s="3" t="n"/>
      <c r="U100" s="3" t="n"/>
      <c r="W100">
        <f>IF(UPPER(TRIM(R100&amp;""))="","",IF(RIGHT(UPPER(TRIM(R100&amp;"")),2)="-N",TRIM(LEFT(UPPER(TRIM(R100&amp;"")),LEN(UPPER(TRIM(R100&amp;"")))-2)),UPPER(TRIM(R100&amp;""))))</f>
        <v/>
      </c>
      <c r="X100">
        <f>IF(W100="","",IF(ISNUMBER(U100),ROUND(U100,1),IF(AND(ISNUMBER(S100),ISNUMBER(T100)),IF(T100&gt;0,ROUND(S100/T100*100,1),""),"")))</f>
        <v/>
      </c>
      <c r="Y100">
        <f>IF(W100="","",IF(RIGHT(UPPER(TRIM(R100&amp;"")),2)="-N","비경쟁",""))</f>
        <v/>
      </c>
      <c r="Z100">
        <f>IF(W100="","",IF(COUNTIF(참가자!$A$3:$A$52,W100)=0,"명단에 없는 코드",""))</f>
        <v/>
      </c>
      <c r="AA100">
        <f>IF(W100="","",IF(ISNUMBER(U100),ROUND(U100*EVAL_ITEMS/100,1),IF(AND(ISNUMBER(S100),ISNUMBER(T100)),IF(T100&gt;0,S100,""),"")))</f>
        <v/>
      </c>
    </row>
    <row r="101">
      <c r="R101" s="3" t="n"/>
      <c r="S101" s="3" t="n"/>
      <c r="T101" s="3" t="n"/>
      <c r="U101" s="3" t="n"/>
      <c r="W101">
        <f>IF(UPPER(TRIM(R101&amp;""))="","",IF(RIGHT(UPPER(TRIM(R101&amp;"")),2)="-N",TRIM(LEFT(UPPER(TRIM(R101&amp;"")),LEN(UPPER(TRIM(R101&amp;"")))-2)),UPPER(TRIM(R101&amp;""))))</f>
        <v/>
      </c>
      <c r="X101">
        <f>IF(W101="","",IF(ISNUMBER(U101),ROUND(U101,1),IF(AND(ISNUMBER(S101),ISNUMBER(T101)),IF(T101&gt;0,ROUND(S101/T101*100,1),""),"")))</f>
        <v/>
      </c>
      <c r="Y101">
        <f>IF(W101="","",IF(RIGHT(UPPER(TRIM(R101&amp;"")),2)="-N","비경쟁",""))</f>
        <v/>
      </c>
      <c r="Z101">
        <f>IF(W101="","",IF(COUNTIF(참가자!$A$3:$A$52,W101)=0,"명단에 없는 코드",""))</f>
        <v/>
      </c>
      <c r="AA101">
        <f>IF(W101="","",IF(ISNUMBER(U101),ROUND(U101*EVAL_ITEMS/100,1),IF(AND(ISNUMBER(S101),ISNUMBER(T101)),IF(T101&gt;0,S101,""),"")))</f>
        <v/>
      </c>
    </row>
    <row r="102">
      <c r="R102" s="3" t="n"/>
      <c r="S102" s="3" t="n"/>
      <c r="T102" s="3" t="n"/>
      <c r="U102" s="3" t="n"/>
      <c r="W102">
        <f>IF(UPPER(TRIM(R102&amp;""))="","",IF(RIGHT(UPPER(TRIM(R102&amp;"")),2)="-N",TRIM(LEFT(UPPER(TRIM(R102&amp;"")),LEN(UPPER(TRIM(R102&amp;"")))-2)),UPPER(TRIM(R102&amp;""))))</f>
        <v/>
      </c>
      <c r="X102">
        <f>IF(W102="","",IF(ISNUMBER(U102),ROUND(U102,1),IF(AND(ISNUMBER(S102),ISNUMBER(T102)),IF(T102&gt;0,ROUND(S102/T102*100,1),""),"")))</f>
        <v/>
      </c>
      <c r="Y102">
        <f>IF(W102="","",IF(RIGHT(UPPER(TRIM(R102&amp;"")),2)="-N","비경쟁",""))</f>
        <v/>
      </c>
      <c r="Z102">
        <f>IF(W102="","",IF(COUNTIF(참가자!$A$3:$A$52,W102)=0,"명단에 없는 코드",""))</f>
        <v/>
      </c>
      <c r="AA102">
        <f>IF(W102="","",IF(ISNUMBER(U102),ROUND(U102*EVAL_ITEMS/100,1),IF(AND(ISNUMBER(S102),ISNUMBER(T102)),IF(T102&gt;0,S102,""),"")))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15" customWidth="1" min="10" max="10"/>
    <col width="9" customWidth="1" min="11" max="11"/>
    <col width="9" customWidth="1" min="12" max="12"/>
    <col width="10" customWidth="1" min="13" max="13"/>
    <col width="9" customWidth="1" min="14" max="14"/>
    <col width="40" customWidth="1" min="15" max="15"/>
    <col width="3" customWidth="1" min="17" max="17"/>
    <col width="12" customWidth="1" min="18" max="18"/>
    <col width="8" customWidth="1" min="19" max="19"/>
    <col width="8" customWidth="1" min="20" max="20"/>
    <col width="10" customWidth="1" min="21" max="21"/>
    <col width="3" customWidth="1" min="22" max="22"/>
    <col width="12" customWidth="1" min="23" max="23"/>
    <col width="10" customWidth="1" min="24" max="24"/>
    <col width="10" customWidth="1" min="25" max="25"/>
    <col width="16" customWidth="1" min="26" max="26"/>
    <col width="10" customWidth="1" min="27" max="27"/>
  </cols>
  <sheetData>
    <row r="1">
      <c r="A1" s="1" t="inlineStr">
        <is>
          <t>평가B (2회차 공통 평가, 8문항) — 기준점수 대비 향상점수. 개인 결과는 교수님만 봄</t>
        </is>
      </c>
      <c r="R1" s="4" t="inlineStr">
        <is>
          <t>붙여넣기 영역 (노란 칸, 3행부터)</t>
        </is>
      </c>
    </row>
    <row r="2">
      <c r="A2" s="5" t="inlineStr">
        <is>
          <t>참가자 코드</t>
        </is>
      </c>
      <c r="B2" s="5" t="inlineStr">
        <is>
          <t>팀</t>
        </is>
      </c>
      <c r="C2" s="5" t="inlineStr">
        <is>
          <t>A 맞힌 수</t>
        </is>
      </c>
      <c r="D2" s="5" t="inlineStr">
        <is>
          <t>B 맞힌 수(이번)</t>
        </is>
      </c>
      <c r="E2" s="5" t="inlineStr">
        <is>
          <t>변화(개, 기준 대비)</t>
        </is>
      </c>
      <c r="F2" s="5" t="inlineStr">
        <is>
          <t>정답률(%)</t>
        </is>
      </c>
      <c r="G2" s="5" t="inlineStr">
        <is>
          <t>상태</t>
        </is>
      </c>
      <c r="H2" s="5" t="inlineStr">
        <is>
          <t>중복 점검</t>
        </is>
      </c>
      <c r="I2" s="5" t="inlineStr">
        <is>
          <t>기준점수(%)</t>
        </is>
      </c>
      <c r="J2" s="5" t="inlineStr">
        <is>
          <t>기준 출처</t>
        </is>
      </c>
      <c r="K2" s="5" t="inlineStr">
        <is>
          <t>변화(%p)</t>
        </is>
      </c>
      <c r="L2" s="5" t="inlineStr">
        <is>
          <t>향상점수</t>
        </is>
      </c>
      <c r="M2" s="5" t="inlineStr">
        <is>
          <t>결과 명칭</t>
        </is>
      </c>
      <c r="N2" s="5" t="inlineStr">
        <is>
          <t>팀 반영 점수</t>
        </is>
      </c>
      <c r="O2" s="5" t="inlineStr">
        <is>
          <t>판정 이유</t>
        </is>
      </c>
      <c r="R2" s="6" t="inlineStr">
        <is>
          <t>참가자 코드</t>
        </is>
      </c>
      <c r="S2" s="6" t="inlineStr">
        <is>
          <t>맞힌 수</t>
        </is>
      </c>
      <c r="T2" s="6" t="inlineStr">
        <is>
          <t>문항 수</t>
        </is>
      </c>
      <c r="U2" s="6" t="inlineStr">
        <is>
          <t>정답률(%)</t>
        </is>
      </c>
      <c r="W2" s="2" t="inlineStr">
        <is>
          <t>정리된 코드(자동)</t>
        </is>
      </c>
      <c r="X2" s="2" t="inlineStr">
        <is>
          <t>계산 정답률(자동)</t>
        </is>
      </c>
      <c r="Y2" s="2" t="inlineStr">
        <is>
          <t>비경쟁(자동)</t>
        </is>
      </c>
      <c r="Z2" s="2" t="inlineStr">
        <is>
          <t>명단 점검(자동)</t>
        </is>
      </c>
      <c r="AA2" s="2" t="inlineStr">
        <is>
          <t>맞힌 수(자동)</t>
        </is>
      </c>
    </row>
    <row r="3">
      <c r="A3">
        <f>IF(참가자!A3="","",UPPER(TRIM(참가자!A3)))</f>
        <v/>
      </c>
      <c r="B3">
        <f>IF(A3="","",IF(참가자!B3="","(팀 없음)",TRIM(참가자!B3)))</f>
        <v/>
      </c>
      <c r="C3">
        <f>IF(A3="","",평가A!C3)</f>
        <v/>
      </c>
      <c r="D3">
        <f>IF(A3="","",IFERROR(INDEX($AA$3:$AA$102,MATCH(A3,$W$3:$W$102,0)),""))</f>
        <v/>
      </c>
      <c r="E3">
        <f>IF(A3="","",IF(OR(NOT(ISNUMBER(D3)),J3="첫 응시(평가B)",NOT(ISNUMBER(평가A!I3))),"",ROUND(D3-평가A!I3,1)))</f>
        <v/>
      </c>
      <c r="F3">
        <f>IF(A3="","",IFERROR(INDEX($X$3:$X$102,MATCH(A3,$W$3:$W$102,0)),""))</f>
        <v/>
      </c>
      <c r="G3">
        <f>IF(A3="","",IF(F3="","결석",IF(IFERROR(INDEX($Y$3:$Y$102,MATCH(A3,$W$3:$W$102,0)),"")="비경쟁","비경쟁 응시","응시")))</f>
        <v/>
      </c>
      <c r="H3">
        <f>IF(A3="","",IF(COUNTIF($W$3:$W$102,A3)&gt;1,"중복! 확인",""))</f>
        <v/>
      </c>
      <c r="I3">
        <f>IF(A3="","",평가A!G3)</f>
        <v/>
      </c>
      <c r="J3">
        <f>IF(A3="","",평가A!H3)</f>
        <v/>
      </c>
      <c r="K3">
        <f>IF(A3="","",IF(OR(F3="",I3="",J3="첫 응시(평가B)"),"",ROUND(F3-I3,1)))</f>
        <v/>
      </c>
      <c r="L3">
        <f>IF(A3="","",IF(OR(F3="",I3="",J3="첫 응시(평가B)"),"",IF(F3&gt;=HIGH_CUT,PTS_HIGH,IF(K3&gt;=STEP2,PTS_HIGH,IF(K3&gt;=STEP1,PTS_MID,PTS_LOW)))))</f>
        <v/>
      </c>
      <c r="M3">
        <f>IF(A3="","",IF(F3="","",IF(J3="첫 응시(평가B)","보류",IF(I3="","",IF(F3&gt;=HIGH_CUT,"숙달",IF(K3&gt;=STEP2,"향상",IF(K3&gt;=STEP1,"유지","보완 필요")))))))</f>
        <v/>
      </c>
      <c r="N3">
        <f>IF(A3="","",IF(AND(G3="응시",ISNUMBER(L3)),L3,""))</f>
        <v/>
      </c>
      <c r="O3">
        <f>IF(A3="","",IF(F3="","결석 - 기록 없음",IF(J3="첫 응시(평가B)","판정 보류 - 평가A가 없어 이번 결과가 기준점수(평가C부터 판정)",IF(I3="","기준점수 없음",IF(F3&gt;=HIGH_CUT,"숙달 - 이번 정답률이 숙달 기준 이상",IF(K3&gt;=STEP2,"향상 - 기준보다 크게 오름",IF(K3&gt;=STEP1,"유지 - 기준과 비슷함","보완 필요 - 기준보다 크게 내려감"))))))&amp;IF(G3="비경쟁 응시"," / 비경쟁: 팀 점수 제외",""))</f>
        <v/>
      </c>
      <c r="R3" s="3" t="inlineStr">
        <is>
          <t xml:space="preserve"> k7m2qx </t>
        </is>
      </c>
      <c r="S3" s="3" t="n">
        <v>6</v>
      </c>
      <c r="T3" s="3" t="n">
        <v>8</v>
      </c>
      <c r="U3" s="3" t="n"/>
      <c r="W3">
        <f>IF(UPPER(TRIM(R3&amp;""))="","",IF(RIGHT(UPPER(TRIM(R3&amp;"")),2)="-N",TRIM(LEFT(UPPER(TRIM(R3&amp;"")),LEN(UPPER(TRIM(R3&amp;"")))-2)),UPPER(TRIM(R3&amp;""))))</f>
        <v/>
      </c>
      <c r="X3">
        <f>IF(W3="","",IF(ISNUMBER(U3),ROUND(U3,1),IF(AND(ISNUMBER(S3),ISNUMBER(T3)),IF(T3&gt;0,ROUND(S3/T3*100,1),""),"")))</f>
        <v/>
      </c>
      <c r="Y3">
        <f>IF(W3="","",IF(RIGHT(UPPER(TRIM(R3&amp;"")),2)="-N","비경쟁",""))</f>
        <v/>
      </c>
      <c r="Z3">
        <f>IF(W3="","",IF(COUNTIF(참가자!$A$3:$A$52,W3)=0,"명단에 없는 코드",""))</f>
        <v/>
      </c>
      <c r="AA3">
        <f>IF(W3="","",IF(ISNUMBER(U3),ROUND(U3*EVAL_ITEMS/100,1),IF(AND(ISNUMBER(S3),ISNUMBER(T3)),IF(T3&gt;0,S3,""),"")))</f>
        <v/>
      </c>
    </row>
    <row r="4">
      <c r="A4">
        <f>IF(참가자!A4="","",UPPER(TRIM(참가자!A4)))</f>
        <v/>
      </c>
      <c r="B4">
        <f>IF(A4="","",IF(참가자!B4="","(팀 없음)",TRIM(참가자!B4)))</f>
        <v/>
      </c>
      <c r="C4">
        <f>IF(A4="","",평가A!C4)</f>
        <v/>
      </c>
      <c r="D4">
        <f>IF(A4="","",IFERROR(INDEX($AA$3:$AA$102,MATCH(A4,$W$3:$W$102,0)),""))</f>
        <v/>
      </c>
      <c r="E4">
        <f>IF(A4="","",IF(OR(NOT(ISNUMBER(D4)),J4="첫 응시(평가B)",NOT(ISNUMBER(평가A!I4))),"",ROUND(D4-평가A!I4,1)))</f>
        <v/>
      </c>
      <c r="F4">
        <f>IF(A4="","",IFERROR(INDEX($X$3:$X$102,MATCH(A4,$W$3:$W$102,0)),""))</f>
        <v/>
      </c>
      <c r="G4">
        <f>IF(A4="","",IF(F4="","결석",IF(IFERROR(INDEX($Y$3:$Y$102,MATCH(A4,$W$3:$W$102,0)),"")="비경쟁","비경쟁 응시","응시")))</f>
        <v/>
      </c>
      <c r="H4">
        <f>IF(A4="","",IF(COUNTIF($W$3:$W$102,A4)&gt;1,"중복! 확인",""))</f>
        <v/>
      </c>
      <c r="I4">
        <f>IF(A4="","",평가A!G4)</f>
        <v/>
      </c>
      <c r="J4">
        <f>IF(A4="","",평가A!H4)</f>
        <v/>
      </c>
      <c r="K4">
        <f>IF(A4="","",IF(OR(F4="",I4="",J4="첫 응시(평가B)"),"",ROUND(F4-I4,1)))</f>
        <v/>
      </c>
      <c r="L4">
        <f>IF(A4="","",IF(OR(F4="",I4="",J4="첫 응시(평가B)"),"",IF(F4&gt;=HIGH_CUT,PTS_HIGH,IF(K4&gt;=STEP2,PTS_HIGH,IF(K4&gt;=STEP1,PTS_MID,PTS_LOW)))))</f>
        <v/>
      </c>
      <c r="M4">
        <f>IF(A4="","",IF(F4="","",IF(J4="첫 응시(평가B)","보류",IF(I4="","",IF(F4&gt;=HIGH_CUT,"숙달",IF(K4&gt;=STEP2,"향상",IF(K4&gt;=STEP1,"유지","보완 필요")))))))</f>
        <v/>
      </c>
      <c r="N4">
        <f>IF(A4="","",IF(AND(G4="응시",ISNUMBER(L4)),L4,""))</f>
        <v/>
      </c>
      <c r="O4">
        <f>IF(A4="","",IF(F4="","결석 - 기록 없음",IF(J4="첫 응시(평가B)","판정 보류 - 평가A가 없어 이번 결과가 기준점수(평가C부터 판정)",IF(I4="","기준점수 없음",IF(F4&gt;=HIGH_CUT,"숙달 - 이번 정답률이 숙달 기준 이상",IF(K4&gt;=STEP2,"향상 - 기준보다 크게 오름",IF(K4&gt;=STEP1,"유지 - 기준과 비슷함","보완 필요 - 기준보다 크게 내려감"))))))&amp;IF(G4="비경쟁 응시"," / 비경쟁: 팀 점수 제외",""))</f>
        <v/>
      </c>
      <c r="R4" s="3" t="inlineStr">
        <is>
          <t>R4XT9H</t>
        </is>
      </c>
      <c r="S4" s="3" t="n">
        <v>6</v>
      </c>
      <c r="T4" s="3" t="n">
        <v>8</v>
      </c>
      <c r="U4" s="3" t="n"/>
      <c r="W4">
        <f>IF(UPPER(TRIM(R4&amp;""))="","",IF(RIGHT(UPPER(TRIM(R4&amp;"")),2)="-N",TRIM(LEFT(UPPER(TRIM(R4&amp;"")),LEN(UPPER(TRIM(R4&amp;"")))-2)),UPPER(TRIM(R4&amp;""))))</f>
        <v/>
      </c>
      <c r="X4">
        <f>IF(W4="","",IF(ISNUMBER(U4),ROUND(U4,1),IF(AND(ISNUMBER(S4),ISNUMBER(T4)),IF(T4&gt;0,ROUND(S4/T4*100,1),""),"")))</f>
        <v/>
      </c>
      <c r="Y4">
        <f>IF(W4="","",IF(RIGHT(UPPER(TRIM(R4&amp;"")),2)="-N","비경쟁",""))</f>
        <v/>
      </c>
      <c r="Z4">
        <f>IF(W4="","",IF(COUNTIF(참가자!$A$3:$A$52,W4)=0,"명단에 없는 코드",""))</f>
        <v/>
      </c>
      <c r="AA4">
        <f>IF(W4="","",IF(ISNUMBER(U4),ROUND(U4*EVAL_ITEMS/100,1),IF(AND(ISNUMBER(S4),ISNUMBER(T4)),IF(T4&gt;0,S4,""),"")))</f>
        <v/>
      </c>
    </row>
    <row r="5">
      <c r="A5">
        <f>IF(참가자!A5="","",UPPER(TRIM(참가자!A5)))</f>
        <v/>
      </c>
      <c r="B5">
        <f>IF(A5="","",IF(참가자!B5="","(팀 없음)",TRIM(참가자!B5)))</f>
        <v/>
      </c>
      <c r="C5">
        <f>IF(A5="","",평가A!C5)</f>
        <v/>
      </c>
      <c r="D5">
        <f>IF(A5="","",IFERROR(INDEX($AA$3:$AA$102,MATCH(A5,$W$3:$W$102,0)),""))</f>
        <v/>
      </c>
      <c r="E5">
        <f>IF(A5="","",IF(OR(NOT(ISNUMBER(D5)),J5="첫 응시(평가B)",NOT(ISNUMBER(평가A!I5))),"",ROUND(D5-평가A!I5,1)))</f>
        <v/>
      </c>
      <c r="F5">
        <f>IF(A5="","",IFERROR(INDEX($X$3:$X$102,MATCH(A5,$W$3:$W$102,0)),""))</f>
        <v/>
      </c>
      <c r="G5">
        <f>IF(A5="","",IF(F5="","결석",IF(IFERROR(INDEX($Y$3:$Y$102,MATCH(A5,$W$3:$W$102,0)),"")="비경쟁","비경쟁 응시","응시")))</f>
        <v/>
      </c>
      <c r="H5">
        <f>IF(A5="","",IF(COUNTIF($W$3:$W$102,A5)&gt;1,"중복! 확인",""))</f>
        <v/>
      </c>
      <c r="I5">
        <f>IF(A5="","",평가A!G5)</f>
        <v/>
      </c>
      <c r="J5">
        <f>IF(A5="","",평가A!H5)</f>
        <v/>
      </c>
      <c r="K5">
        <f>IF(A5="","",IF(OR(F5="",I5="",J5="첫 응시(평가B)"),"",ROUND(F5-I5,1)))</f>
        <v/>
      </c>
      <c r="L5">
        <f>IF(A5="","",IF(OR(F5="",I5="",J5="첫 응시(평가B)"),"",IF(F5&gt;=HIGH_CUT,PTS_HIGH,IF(K5&gt;=STEP2,PTS_HIGH,IF(K5&gt;=STEP1,PTS_MID,PTS_LOW)))))</f>
        <v/>
      </c>
      <c r="M5">
        <f>IF(A5="","",IF(F5="","",IF(J5="첫 응시(평가B)","보류",IF(I5="","",IF(F5&gt;=HIGH_CUT,"숙달",IF(K5&gt;=STEP2,"향상",IF(K5&gt;=STEP1,"유지","보완 필요")))))))</f>
        <v/>
      </c>
      <c r="N5">
        <f>IF(A5="","",IF(AND(G5="응시",ISNUMBER(L5)),L5,""))</f>
        <v/>
      </c>
      <c r="O5">
        <f>IF(A5="","",IF(F5="","결석 - 기록 없음",IF(J5="첫 응시(평가B)","판정 보류 - 평가A가 없어 이번 결과가 기준점수(평가C부터 판정)",IF(I5="","기준점수 없음",IF(F5&gt;=HIGH_CUT,"숙달 - 이번 정답률이 숙달 기준 이상",IF(K5&gt;=STEP2,"향상 - 기준보다 크게 오름",IF(K5&gt;=STEP1,"유지 - 기준과 비슷함","보완 필요 - 기준보다 크게 내려감"))))))&amp;IF(G5="비경쟁 응시"," / 비경쟁: 팀 점수 제외",""))</f>
        <v/>
      </c>
      <c r="R5" s="3" t="inlineStr">
        <is>
          <t>H9WC3P</t>
        </is>
      </c>
      <c r="S5" s="3" t="n">
        <v>0</v>
      </c>
      <c r="T5" s="3" t="n">
        <v>8</v>
      </c>
      <c r="U5" s="3" t="n"/>
      <c r="W5">
        <f>IF(UPPER(TRIM(R5&amp;""))="","",IF(RIGHT(UPPER(TRIM(R5&amp;"")),2)="-N",TRIM(LEFT(UPPER(TRIM(R5&amp;"")),LEN(UPPER(TRIM(R5&amp;"")))-2)),UPPER(TRIM(R5&amp;""))))</f>
        <v/>
      </c>
      <c r="X5">
        <f>IF(W5="","",IF(ISNUMBER(U5),ROUND(U5,1),IF(AND(ISNUMBER(S5),ISNUMBER(T5)),IF(T5&gt;0,ROUND(S5/T5*100,1),""),"")))</f>
        <v/>
      </c>
      <c r="Y5">
        <f>IF(W5="","",IF(RIGHT(UPPER(TRIM(R5&amp;"")),2)="-N","비경쟁",""))</f>
        <v/>
      </c>
      <c r="Z5">
        <f>IF(W5="","",IF(COUNTIF(참가자!$A$3:$A$52,W5)=0,"명단에 없는 코드",""))</f>
        <v/>
      </c>
      <c r="AA5">
        <f>IF(W5="","",IF(ISNUMBER(U5),ROUND(U5*EVAL_ITEMS/100,1),IF(AND(ISNUMBER(S5),ISNUMBER(T5)),IF(T5&gt;0,S5,""),"")))</f>
        <v/>
      </c>
    </row>
    <row r="6">
      <c r="A6">
        <f>IF(참가자!A6="","",UPPER(TRIM(참가자!A6)))</f>
        <v/>
      </c>
      <c r="B6">
        <f>IF(A6="","",IF(참가자!B6="","(팀 없음)",TRIM(참가자!B6)))</f>
        <v/>
      </c>
      <c r="C6">
        <f>IF(A6="","",평가A!C6)</f>
        <v/>
      </c>
      <c r="D6">
        <f>IF(A6="","",IFERROR(INDEX($AA$3:$AA$102,MATCH(A6,$W$3:$W$102,0)),""))</f>
        <v/>
      </c>
      <c r="E6">
        <f>IF(A6="","",IF(OR(NOT(ISNUMBER(D6)),J6="첫 응시(평가B)",NOT(ISNUMBER(평가A!I6))),"",ROUND(D6-평가A!I6,1)))</f>
        <v/>
      </c>
      <c r="F6">
        <f>IF(A6="","",IFERROR(INDEX($X$3:$X$102,MATCH(A6,$W$3:$W$102,0)),""))</f>
        <v/>
      </c>
      <c r="G6">
        <f>IF(A6="","",IF(F6="","결석",IF(IFERROR(INDEX($Y$3:$Y$102,MATCH(A6,$W$3:$W$102,0)),"")="비경쟁","비경쟁 응시","응시")))</f>
        <v/>
      </c>
      <c r="H6">
        <f>IF(A6="","",IF(COUNTIF($W$3:$W$102,A6)&gt;1,"중복! 확인",""))</f>
        <v/>
      </c>
      <c r="I6">
        <f>IF(A6="","",평가A!G6)</f>
        <v/>
      </c>
      <c r="J6">
        <f>IF(A6="","",평가A!H6)</f>
        <v/>
      </c>
      <c r="K6">
        <f>IF(A6="","",IF(OR(F6="",I6="",J6="첫 응시(평가B)"),"",ROUND(F6-I6,1)))</f>
        <v/>
      </c>
      <c r="L6">
        <f>IF(A6="","",IF(OR(F6="",I6="",J6="첫 응시(평가B)"),"",IF(F6&gt;=HIGH_CUT,PTS_HIGH,IF(K6&gt;=STEP2,PTS_HIGH,IF(K6&gt;=STEP1,PTS_MID,PTS_LOW)))))</f>
        <v/>
      </c>
      <c r="M6">
        <f>IF(A6="","",IF(F6="","",IF(J6="첫 응시(평가B)","보류",IF(I6="","",IF(F6&gt;=HIGH_CUT,"숙달",IF(K6&gt;=STEP2,"향상",IF(K6&gt;=STEP1,"유지","보완 필요")))))))</f>
        <v/>
      </c>
      <c r="N6">
        <f>IF(A6="","",IF(AND(G6="응시",ISNUMBER(L6)),L6,""))</f>
        <v/>
      </c>
      <c r="O6">
        <f>IF(A6="","",IF(F6="","결석 - 기록 없음",IF(J6="첫 응시(평가B)","판정 보류 - 평가A가 없어 이번 결과가 기준점수(평가C부터 판정)",IF(I6="","기준점수 없음",IF(F6&gt;=HIGH_CUT,"숙달 - 이번 정답률이 숙달 기준 이상",IF(K6&gt;=STEP2,"향상 - 기준보다 크게 오름",IF(K6&gt;=STEP1,"유지 - 기준과 비슷함","보완 필요 - 기준보다 크게 내려감"))))))&amp;IF(G6="비경쟁 응시"," / 비경쟁: 팀 점수 제외",""))</f>
        <v/>
      </c>
      <c r="R6" s="3" t="inlineStr">
        <is>
          <t>B3NV7K</t>
        </is>
      </c>
      <c r="S6" s="3" t="n">
        <v>3</v>
      </c>
      <c r="T6" s="3" t="n">
        <v>8</v>
      </c>
      <c r="U6" s="3" t="n"/>
      <c r="W6">
        <f>IF(UPPER(TRIM(R6&amp;""))="","",IF(RIGHT(UPPER(TRIM(R6&amp;"")),2)="-N",TRIM(LEFT(UPPER(TRIM(R6&amp;"")),LEN(UPPER(TRIM(R6&amp;"")))-2)),UPPER(TRIM(R6&amp;""))))</f>
        <v/>
      </c>
      <c r="X6">
        <f>IF(W6="","",IF(ISNUMBER(U6),ROUND(U6,1),IF(AND(ISNUMBER(S6),ISNUMBER(T6)),IF(T6&gt;0,ROUND(S6/T6*100,1),""),"")))</f>
        <v/>
      </c>
      <c r="Y6">
        <f>IF(W6="","",IF(RIGHT(UPPER(TRIM(R6&amp;"")),2)="-N","비경쟁",""))</f>
        <v/>
      </c>
      <c r="Z6">
        <f>IF(W6="","",IF(COUNTIF(참가자!$A$3:$A$52,W6)=0,"명단에 없는 코드",""))</f>
        <v/>
      </c>
      <c r="AA6">
        <f>IF(W6="","",IF(ISNUMBER(U6),ROUND(U6*EVAL_ITEMS/100,1),IF(AND(ISNUMBER(S6),ISNUMBER(T6)),IF(T6&gt;0,S6,""),"")))</f>
        <v/>
      </c>
    </row>
    <row r="7">
      <c r="A7">
        <f>IF(참가자!A7="","",UPPER(TRIM(참가자!A7)))</f>
        <v/>
      </c>
      <c r="B7">
        <f>IF(A7="","",IF(참가자!B7="","(팀 없음)",TRIM(참가자!B7)))</f>
        <v/>
      </c>
      <c r="C7">
        <f>IF(A7="","",평가A!C7)</f>
        <v/>
      </c>
      <c r="D7">
        <f>IF(A7="","",IFERROR(INDEX($AA$3:$AA$102,MATCH(A7,$W$3:$W$102,0)),""))</f>
        <v/>
      </c>
      <c r="E7">
        <f>IF(A7="","",IF(OR(NOT(ISNUMBER(D7)),J7="첫 응시(평가B)",NOT(ISNUMBER(평가A!I7))),"",ROUND(D7-평가A!I7,1)))</f>
        <v/>
      </c>
      <c r="F7">
        <f>IF(A7="","",IFERROR(INDEX($X$3:$X$102,MATCH(A7,$W$3:$W$102,0)),""))</f>
        <v/>
      </c>
      <c r="G7">
        <f>IF(A7="","",IF(F7="","결석",IF(IFERROR(INDEX($Y$3:$Y$102,MATCH(A7,$W$3:$W$102,0)),"")="비경쟁","비경쟁 응시","응시")))</f>
        <v/>
      </c>
      <c r="H7">
        <f>IF(A7="","",IF(COUNTIF($W$3:$W$102,A7)&gt;1,"중복! 확인",""))</f>
        <v/>
      </c>
      <c r="I7">
        <f>IF(A7="","",평가A!G7)</f>
        <v/>
      </c>
      <c r="J7">
        <f>IF(A7="","",평가A!H7)</f>
        <v/>
      </c>
      <c r="K7">
        <f>IF(A7="","",IF(OR(F7="",I7="",J7="첫 응시(평가B)"),"",ROUND(F7-I7,1)))</f>
        <v/>
      </c>
      <c r="L7">
        <f>IF(A7="","",IF(OR(F7="",I7="",J7="첫 응시(평가B)"),"",IF(F7&gt;=HIGH_CUT,PTS_HIGH,IF(K7&gt;=STEP2,PTS_HIGH,IF(K7&gt;=STEP1,PTS_MID,PTS_LOW)))))</f>
        <v/>
      </c>
      <c r="M7">
        <f>IF(A7="","",IF(F7="","",IF(J7="첫 응시(평가B)","보류",IF(I7="","",IF(F7&gt;=HIGH_CUT,"숙달",IF(K7&gt;=STEP2,"향상",IF(K7&gt;=STEP1,"유지","보완 필요")))))))</f>
        <v/>
      </c>
      <c r="N7">
        <f>IF(A7="","",IF(AND(G7="응시",ISNUMBER(L7)),L7,""))</f>
        <v/>
      </c>
      <c r="O7">
        <f>IF(A7="","",IF(F7="","결석 - 기록 없음",IF(J7="첫 응시(평가B)","판정 보류 - 평가A가 없어 이번 결과가 기준점수(평가C부터 판정)",IF(I7="","기준점수 없음",IF(F7&gt;=HIGH_CUT,"숙달 - 이번 정답률이 숙달 기준 이상",IF(K7&gt;=STEP2,"향상 - 기준보다 크게 오름",IF(K7&gt;=STEP1,"유지 - 기준과 비슷함","보완 필요 - 기준보다 크게 내려감"))))))&amp;IF(G7="비경쟁 응시"," / 비경쟁: 팀 점수 제외",""))</f>
        <v/>
      </c>
      <c r="R7" s="3" t="inlineStr">
        <is>
          <t>Z8DQ4T</t>
        </is>
      </c>
      <c r="S7" s="3" t="n">
        <v>5</v>
      </c>
      <c r="T7" s="3" t="n">
        <v>8</v>
      </c>
      <c r="U7" s="3" t="n"/>
      <c r="W7">
        <f>IF(UPPER(TRIM(R7&amp;""))="","",IF(RIGHT(UPPER(TRIM(R7&amp;"")),2)="-N",TRIM(LEFT(UPPER(TRIM(R7&amp;"")),LEN(UPPER(TRIM(R7&amp;"")))-2)),UPPER(TRIM(R7&amp;""))))</f>
        <v/>
      </c>
      <c r="X7">
        <f>IF(W7="","",IF(ISNUMBER(U7),ROUND(U7,1),IF(AND(ISNUMBER(S7),ISNUMBER(T7)),IF(T7&gt;0,ROUND(S7/T7*100,1),""),"")))</f>
        <v/>
      </c>
      <c r="Y7">
        <f>IF(W7="","",IF(RIGHT(UPPER(TRIM(R7&amp;"")),2)="-N","비경쟁",""))</f>
        <v/>
      </c>
      <c r="Z7">
        <f>IF(W7="","",IF(COUNTIF(참가자!$A$3:$A$52,W7)=0,"명단에 없는 코드",""))</f>
        <v/>
      </c>
      <c r="AA7">
        <f>IF(W7="","",IF(ISNUMBER(U7),ROUND(U7*EVAL_ITEMS/100,1),IF(AND(ISNUMBER(S7),ISNUMBER(T7)),IF(T7&gt;0,S7,""),"")))</f>
        <v/>
      </c>
    </row>
    <row r="8">
      <c r="A8">
        <f>IF(참가자!A8="","",UPPER(TRIM(참가자!A8)))</f>
        <v/>
      </c>
      <c r="B8">
        <f>IF(A8="","",IF(참가자!B8="","(팀 없음)",TRIM(참가자!B8)))</f>
        <v/>
      </c>
      <c r="C8">
        <f>IF(A8="","",평가A!C8)</f>
        <v/>
      </c>
      <c r="D8">
        <f>IF(A8="","",IFERROR(INDEX($AA$3:$AA$102,MATCH(A8,$W$3:$W$102,0)),""))</f>
        <v/>
      </c>
      <c r="E8">
        <f>IF(A8="","",IF(OR(NOT(ISNUMBER(D8)),J8="첫 응시(평가B)",NOT(ISNUMBER(평가A!I8))),"",ROUND(D8-평가A!I8,1)))</f>
        <v/>
      </c>
      <c r="F8">
        <f>IF(A8="","",IFERROR(INDEX($X$3:$X$102,MATCH(A8,$W$3:$W$102,0)),""))</f>
        <v/>
      </c>
      <c r="G8">
        <f>IF(A8="","",IF(F8="","결석",IF(IFERROR(INDEX($Y$3:$Y$102,MATCH(A8,$W$3:$W$102,0)),"")="비경쟁","비경쟁 응시","응시")))</f>
        <v/>
      </c>
      <c r="H8">
        <f>IF(A8="","",IF(COUNTIF($W$3:$W$102,A8)&gt;1,"중복! 확인",""))</f>
        <v/>
      </c>
      <c r="I8">
        <f>IF(A8="","",평가A!G8)</f>
        <v/>
      </c>
      <c r="J8">
        <f>IF(A8="","",평가A!H8)</f>
        <v/>
      </c>
      <c r="K8">
        <f>IF(A8="","",IF(OR(F8="",I8="",J8="첫 응시(평가B)"),"",ROUND(F8-I8,1)))</f>
        <v/>
      </c>
      <c r="L8">
        <f>IF(A8="","",IF(OR(F8="",I8="",J8="첫 응시(평가B)"),"",IF(F8&gt;=HIGH_CUT,PTS_HIGH,IF(K8&gt;=STEP2,PTS_HIGH,IF(K8&gt;=STEP1,PTS_MID,PTS_LOW)))))</f>
        <v/>
      </c>
      <c r="M8">
        <f>IF(A8="","",IF(F8="","",IF(J8="첫 응시(평가B)","보류",IF(I8="","",IF(F8&gt;=HIGH_CUT,"숙달",IF(K8&gt;=STEP2,"향상",IF(K8&gt;=STEP1,"유지","보완 필요")))))))</f>
        <v/>
      </c>
      <c r="N8">
        <f>IF(A8="","",IF(AND(G8="응시",ISNUMBER(L8)),L8,""))</f>
        <v/>
      </c>
      <c r="O8">
        <f>IF(A8="","",IF(F8="","결석 - 기록 없음",IF(J8="첫 응시(평가B)","판정 보류 - 평가A가 없어 이번 결과가 기준점수(평가C부터 판정)",IF(I8="","기준점수 없음",IF(F8&gt;=HIGH_CUT,"숙달 - 이번 정답률이 숙달 기준 이상",IF(K8&gt;=STEP2,"향상 - 기준보다 크게 오름",IF(K8&gt;=STEP1,"유지 - 기준과 비슷함","보완 필요 - 기준보다 크게 내려감"))))))&amp;IF(G8="비경쟁 응시"," / 비경쟁: 팀 점수 제외",""))</f>
        <v/>
      </c>
      <c r="R8" s="3" t="inlineStr">
        <is>
          <t>M2PF6Y</t>
        </is>
      </c>
      <c r="S8" s="3" t="n">
        <v>4</v>
      </c>
      <c r="T8" s="3" t="n">
        <v>8</v>
      </c>
      <c r="U8" s="3" t="n"/>
      <c r="W8">
        <f>IF(UPPER(TRIM(R8&amp;""))="","",IF(RIGHT(UPPER(TRIM(R8&amp;"")),2)="-N",TRIM(LEFT(UPPER(TRIM(R8&amp;"")),LEN(UPPER(TRIM(R8&amp;"")))-2)),UPPER(TRIM(R8&amp;""))))</f>
        <v/>
      </c>
      <c r="X8">
        <f>IF(W8="","",IF(ISNUMBER(U8),ROUND(U8,1),IF(AND(ISNUMBER(S8),ISNUMBER(T8)),IF(T8&gt;0,ROUND(S8/T8*100,1),""),"")))</f>
        <v/>
      </c>
      <c r="Y8">
        <f>IF(W8="","",IF(RIGHT(UPPER(TRIM(R8&amp;"")),2)="-N","비경쟁",""))</f>
        <v/>
      </c>
      <c r="Z8">
        <f>IF(W8="","",IF(COUNTIF(참가자!$A$3:$A$52,W8)=0,"명단에 없는 코드",""))</f>
        <v/>
      </c>
      <c r="AA8">
        <f>IF(W8="","",IF(ISNUMBER(U8),ROUND(U8*EVAL_ITEMS/100,1),IF(AND(ISNUMBER(S8),ISNUMBER(T8)),IF(T8&gt;0,S8,""),"")))</f>
        <v/>
      </c>
    </row>
    <row r="9">
      <c r="A9">
        <f>IF(참가자!A9="","",UPPER(TRIM(참가자!A9)))</f>
        <v/>
      </c>
      <c r="B9">
        <f>IF(A9="","",IF(참가자!B9="","(팀 없음)",TRIM(참가자!B9)))</f>
        <v/>
      </c>
      <c r="C9">
        <f>IF(A9="","",평가A!C9)</f>
        <v/>
      </c>
      <c r="D9">
        <f>IF(A9="","",IFERROR(INDEX($AA$3:$AA$102,MATCH(A9,$W$3:$W$102,0)),""))</f>
        <v/>
      </c>
      <c r="E9">
        <f>IF(A9="","",IF(OR(NOT(ISNUMBER(D9)),J9="첫 응시(평가B)",NOT(ISNUMBER(평가A!I9))),"",ROUND(D9-평가A!I9,1)))</f>
        <v/>
      </c>
      <c r="F9">
        <f>IF(A9="","",IFERROR(INDEX($X$3:$X$102,MATCH(A9,$W$3:$W$102,0)),""))</f>
        <v/>
      </c>
      <c r="G9">
        <f>IF(A9="","",IF(F9="","결석",IF(IFERROR(INDEX($Y$3:$Y$102,MATCH(A9,$W$3:$W$102,0)),"")="비경쟁","비경쟁 응시","응시")))</f>
        <v/>
      </c>
      <c r="H9">
        <f>IF(A9="","",IF(COUNTIF($W$3:$W$102,A9)&gt;1,"중복! 확인",""))</f>
        <v/>
      </c>
      <c r="I9">
        <f>IF(A9="","",평가A!G9)</f>
        <v/>
      </c>
      <c r="J9">
        <f>IF(A9="","",평가A!H9)</f>
        <v/>
      </c>
      <c r="K9">
        <f>IF(A9="","",IF(OR(F9="",I9="",J9="첫 응시(평가B)"),"",ROUND(F9-I9,1)))</f>
        <v/>
      </c>
      <c r="L9">
        <f>IF(A9="","",IF(OR(F9="",I9="",J9="첫 응시(평가B)"),"",IF(F9&gt;=HIGH_CUT,PTS_HIGH,IF(K9&gt;=STEP2,PTS_HIGH,IF(K9&gt;=STEP1,PTS_MID,PTS_LOW)))))</f>
        <v/>
      </c>
      <c r="M9">
        <f>IF(A9="","",IF(F9="","",IF(J9="첫 응시(평가B)","보류",IF(I9="","",IF(F9&gt;=HIGH_CUT,"숙달",IF(K9&gt;=STEP2,"향상",IF(K9&gt;=STEP1,"유지","보완 필요")))))))</f>
        <v/>
      </c>
      <c r="N9">
        <f>IF(A9="","",IF(AND(G9="응시",ISNUMBER(L9)),L9,""))</f>
        <v/>
      </c>
      <c r="O9">
        <f>IF(A9="","",IF(F9="","결석 - 기록 없음",IF(J9="첫 응시(평가B)","판정 보류 - 평가A가 없어 이번 결과가 기준점수(평가C부터 판정)",IF(I9="","기준점수 없음",IF(F9&gt;=HIGH_CUT,"숙달 - 이번 정답률이 숙달 기준 이상",IF(K9&gt;=STEP2,"향상 - 기준보다 크게 오름",IF(K9&gt;=STEP1,"유지 - 기준과 비슷함","보완 필요 - 기준보다 크게 내려감"))))))&amp;IF(G9="비경쟁 응시"," / 비경쟁: 팀 점수 제외",""))</f>
        <v/>
      </c>
      <c r="R9" s="3" t="inlineStr">
        <is>
          <t>T6YH8R</t>
        </is>
      </c>
      <c r="S9" s="3" t="n">
        <v>7</v>
      </c>
      <c r="T9" s="3" t="n">
        <v>8</v>
      </c>
      <c r="U9" s="3" t="n"/>
      <c r="W9">
        <f>IF(UPPER(TRIM(R9&amp;""))="","",IF(RIGHT(UPPER(TRIM(R9&amp;"")),2)="-N",TRIM(LEFT(UPPER(TRIM(R9&amp;"")),LEN(UPPER(TRIM(R9&amp;"")))-2)),UPPER(TRIM(R9&amp;""))))</f>
        <v/>
      </c>
      <c r="X9">
        <f>IF(W9="","",IF(ISNUMBER(U9),ROUND(U9,1),IF(AND(ISNUMBER(S9),ISNUMBER(T9)),IF(T9&gt;0,ROUND(S9/T9*100,1),""),"")))</f>
        <v/>
      </c>
      <c r="Y9">
        <f>IF(W9="","",IF(RIGHT(UPPER(TRIM(R9&amp;"")),2)="-N","비경쟁",""))</f>
        <v/>
      </c>
      <c r="Z9">
        <f>IF(W9="","",IF(COUNTIF(참가자!$A$3:$A$52,W9)=0,"명단에 없는 코드",""))</f>
        <v/>
      </c>
      <c r="AA9">
        <f>IF(W9="","",IF(ISNUMBER(U9),ROUND(U9*EVAL_ITEMS/100,1),IF(AND(ISNUMBER(S9),ISNUMBER(T9)),IF(T9&gt;0,S9,""),"")))</f>
        <v/>
      </c>
    </row>
    <row r="10">
      <c r="A10">
        <f>IF(참가자!A10="","",UPPER(TRIM(참가자!A10)))</f>
        <v/>
      </c>
      <c r="B10">
        <f>IF(A10="","",IF(참가자!B10="","(팀 없음)",TRIM(참가자!B10)))</f>
        <v/>
      </c>
      <c r="C10">
        <f>IF(A10="","",평가A!C10)</f>
        <v/>
      </c>
      <c r="D10">
        <f>IF(A10="","",IFERROR(INDEX($AA$3:$AA$102,MATCH(A10,$W$3:$W$102,0)),""))</f>
        <v/>
      </c>
      <c r="E10">
        <f>IF(A10="","",IF(OR(NOT(ISNUMBER(D10)),J10="첫 응시(평가B)",NOT(ISNUMBER(평가A!I10))),"",ROUND(D10-평가A!I10,1)))</f>
        <v/>
      </c>
      <c r="F10">
        <f>IF(A10="","",IFERROR(INDEX($X$3:$X$102,MATCH(A10,$W$3:$W$102,0)),""))</f>
        <v/>
      </c>
      <c r="G10">
        <f>IF(A10="","",IF(F10="","결석",IF(IFERROR(INDEX($Y$3:$Y$102,MATCH(A10,$W$3:$W$102,0)),"")="비경쟁","비경쟁 응시","응시")))</f>
        <v/>
      </c>
      <c r="H10">
        <f>IF(A10="","",IF(COUNTIF($W$3:$W$102,A10)&gt;1,"중복! 확인",""))</f>
        <v/>
      </c>
      <c r="I10">
        <f>IF(A10="","",평가A!G10)</f>
        <v/>
      </c>
      <c r="J10">
        <f>IF(A10="","",평가A!H10)</f>
        <v/>
      </c>
      <c r="K10">
        <f>IF(A10="","",IF(OR(F10="",I10="",J10="첫 응시(평가B)"),"",ROUND(F10-I10,1)))</f>
        <v/>
      </c>
      <c r="L10">
        <f>IF(A10="","",IF(OR(F10="",I10="",J10="첫 응시(평가B)"),"",IF(F10&gt;=HIGH_CUT,PTS_HIGH,IF(K10&gt;=STEP2,PTS_HIGH,IF(K10&gt;=STEP1,PTS_MID,PTS_LOW)))))</f>
        <v/>
      </c>
      <c r="M10">
        <f>IF(A10="","",IF(F10="","",IF(J10="첫 응시(평가B)","보류",IF(I10="","",IF(F10&gt;=HIGH_CUT,"숙달",IF(K10&gt;=STEP2,"향상",IF(K10&gt;=STEP1,"유지","보완 필요")))))))</f>
        <v/>
      </c>
      <c r="N10">
        <f>IF(A10="","",IF(AND(G10="응시",ISNUMBER(L10)),L10,""))</f>
        <v/>
      </c>
      <c r="O10">
        <f>IF(A10="","",IF(F10="","결석 - 기록 없음",IF(J10="첫 응시(평가B)","판정 보류 - 평가A가 없어 이번 결과가 기준점수(평가C부터 판정)",IF(I10="","기준점수 없음",IF(F10&gt;=HIGH_CUT,"숙달 - 이번 정답률이 숙달 기준 이상",IF(K10&gt;=STEP2,"향상 - 기준보다 크게 오름",IF(K10&gt;=STEP1,"유지 - 기준과 비슷함","보완 필요 - 기준보다 크게 내려감"))))))&amp;IF(G10="비경쟁 응시"," / 비경쟁: 팀 점수 제외",""))</f>
        <v/>
      </c>
      <c r="R10" s="3" t="inlineStr">
        <is>
          <t>C5JR2W</t>
        </is>
      </c>
      <c r="S10" s="3" t="n">
        <v>3</v>
      </c>
      <c r="T10" s="3" t="n">
        <v>8</v>
      </c>
      <c r="U10" s="3" t="n"/>
      <c r="W10">
        <f>IF(UPPER(TRIM(R10&amp;""))="","",IF(RIGHT(UPPER(TRIM(R10&amp;"")),2)="-N",TRIM(LEFT(UPPER(TRIM(R10&amp;"")),LEN(UPPER(TRIM(R10&amp;"")))-2)),UPPER(TRIM(R10&amp;""))))</f>
        <v/>
      </c>
      <c r="X10">
        <f>IF(W10="","",IF(ISNUMBER(U10),ROUND(U10,1),IF(AND(ISNUMBER(S10),ISNUMBER(T10)),IF(T10&gt;0,ROUND(S10/T10*100,1),""),"")))</f>
        <v/>
      </c>
      <c r="Y10">
        <f>IF(W10="","",IF(RIGHT(UPPER(TRIM(R10&amp;"")),2)="-N","비경쟁",""))</f>
        <v/>
      </c>
      <c r="Z10">
        <f>IF(W10="","",IF(COUNTIF(참가자!$A$3:$A$52,W10)=0,"명단에 없는 코드",""))</f>
        <v/>
      </c>
      <c r="AA10">
        <f>IF(W10="","",IF(ISNUMBER(U10),ROUND(U10*EVAL_ITEMS/100,1),IF(AND(ISNUMBER(S10),ISNUMBER(T10)),IF(T10&gt;0,S10,""),"")))</f>
        <v/>
      </c>
    </row>
    <row r="11">
      <c r="A11">
        <f>IF(참가자!A11="","",UPPER(TRIM(참가자!A11)))</f>
        <v/>
      </c>
      <c r="B11">
        <f>IF(A11="","",IF(참가자!B11="","(팀 없음)",TRIM(참가자!B11)))</f>
        <v/>
      </c>
      <c r="C11">
        <f>IF(A11="","",평가A!C11)</f>
        <v/>
      </c>
      <c r="D11">
        <f>IF(A11="","",IFERROR(INDEX($AA$3:$AA$102,MATCH(A11,$W$3:$W$102,0)),""))</f>
        <v/>
      </c>
      <c r="E11">
        <f>IF(A11="","",IF(OR(NOT(ISNUMBER(D11)),J11="첫 응시(평가B)",NOT(ISNUMBER(평가A!I11))),"",ROUND(D11-평가A!I11,1)))</f>
        <v/>
      </c>
      <c r="F11">
        <f>IF(A11="","",IFERROR(INDEX($X$3:$X$102,MATCH(A11,$W$3:$W$102,0)),""))</f>
        <v/>
      </c>
      <c r="G11">
        <f>IF(A11="","",IF(F11="","결석",IF(IFERROR(INDEX($Y$3:$Y$102,MATCH(A11,$W$3:$W$102,0)),"")="비경쟁","비경쟁 응시","응시")))</f>
        <v/>
      </c>
      <c r="H11">
        <f>IF(A11="","",IF(COUNTIF($W$3:$W$102,A11)&gt;1,"중복! 확인",""))</f>
        <v/>
      </c>
      <c r="I11">
        <f>IF(A11="","",평가A!G11)</f>
        <v/>
      </c>
      <c r="J11">
        <f>IF(A11="","",평가A!H11)</f>
        <v/>
      </c>
      <c r="K11">
        <f>IF(A11="","",IF(OR(F11="",I11="",J11="첫 응시(평가B)"),"",ROUND(F11-I11,1)))</f>
        <v/>
      </c>
      <c r="L11">
        <f>IF(A11="","",IF(OR(F11="",I11="",J11="첫 응시(평가B)"),"",IF(F11&gt;=HIGH_CUT,PTS_HIGH,IF(K11&gt;=STEP2,PTS_HIGH,IF(K11&gt;=STEP1,PTS_MID,PTS_LOW)))))</f>
        <v/>
      </c>
      <c r="M11">
        <f>IF(A11="","",IF(F11="","",IF(J11="첫 응시(평가B)","보류",IF(I11="","",IF(F11&gt;=HIGH_CUT,"숙달",IF(K11&gt;=STEP2,"향상",IF(K11&gt;=STEP1,"유지","보완 필요")))))))</f>
        <v/>
      </c>
      <c r="N11">
        <f>IF(A11="","",IF(AND(G11="응시",ISNUMBER(L11)),L11,""))</f>
        <v/>
      </c>
      <c r="O11">
        <f>IF(A11="","",IF(F11="","결석 - 기록 없음",IF(J11="첫 응시(평가B)","판정 보류 - 평가A가 없어 이번 결과가 기준점수(평가C부터 판정)",IF(I11="","기준점수 없음",IF(F11&gt;=HIGH_CUT,"숙달 - 이번 정답률이 숙달 기준 이상",IF(K11&gt;=STEP2,"향상 - 기준보다 크게 오름",IF(K11&gt;=STEP1,"유지 - 기준과 비슷함","보완 필요 - 기준보다 크게 내려감"))))))&amp;IF(G11="비경쟁 응시"," / 비경쟁: 팀 점수 제외",""))</f>
        <v/>
      </c>
      <c r="R11" s="3" t="inlineStr">
        <is>
          <t>F8UA7G-n</t>
        </is>
      </c>
      <c r="S11" s="3" t="n">
        <v>5</v>
      </c>
      <c r="T11" s="3" t="n">
        <v>8</v>
      </c>
      <c r="U11" s="3" t="n"/>
      <c r="W11">
        <f>IF(UPPER(TRIM(R11&amp;""))="","",IF(RIGHT(UPPER(TRIM(R11&amp;"")),2)="-N",TRIM(LEFT(UPPER(TRIM(R11&amp;"")),LEN(UPPER(TRIM(R11&amp;"")))-2)),UPPER(TRIM(R11&amp;""))))</f>
        <v/>
      </c>
      <c r="X11">
        <f>IF(W11="","",IF(ISNUMBER(U11),ROUND(U11,1),IF(AND(ISNUMBER(S11),ISNUMBER(T11)),IF(T11&gt;0,ROUND(S11/T11*100,1),""),"")))</f>
        <v/>
      </c>
      <c r="Y11">
        <f>IF(W11="","",IF(RIGHT(UPPER(TRIM(R11&amp;"")),2)="-N","비경쟁",""))</f>
        <v/>
      </c>
      <c r="Z11">
        <f>IF(W11="","",IF(COUNTIF(참가자!$A$3:$A$52,W11)=0,"명단에 없는 코드",""))</f>
        <v/>
      </c>
      <c r="AA11">
        <f>IF(W11="","",IF(ISNUMBER(U11),ROUND(U11*EVAL_ITEMS/100,1),IF(AND(ISNUMBER(S11),ISNUMBER(T11)),IF(T11&gt;0,S11,""),"")))</f>
        <v/>
      </c>
    </row>
    <row r="12">
      <c r="A12">
        <f>IF(참가자!A12="","",UPPER(TRIM(참가자!A12)))</f>
        <v/>
      </c>
      <c r="B12">
        <f>IF(A12="","",IF(참가자!B12="","(팀 없음)",TRIM(참가자!B12)))</f>
        <v/>
      </c>
      <c r="C12">
        <f>IF(A12="","",평가A!C12)</f>
        <v/>
      </c>
      <c r="D12">
        <f>IF(A12="","",IFERROR(INDEX($AA$3:$AA$102,MATCH(A12,$W$3:$W$102,0)),""))</f>
        <v/>
      </c>
      <c r="E12">
        <f>IF(A12="","",IF(OR(NOT(ISNUMBER(D12)),J12="첫 응시(평가B)",NOT(ISNUMBER(평가A!I12))),"",ROUND(D12-평가A!I12,1)))</f>
        <v/>
      </c>
      <c r="F12">
        <f>IF(A12="","",IFERROR(INDEX($X$3:$X$102,MATCH(A12,$W$3:$W$102,0)),""))</f>
        <v/>
      </c>
      <c r="G12">
        <f>IF(A12="","",IF(F12="","결석",IF(IFERROR(INDEX($Y$3:$Y$102,MATCH(A12,$W$3:$W$102,0)),"")="비경쟁","비경쟁 응시","응시")))</f>
        <v/>
      </c>
      <c r="H12">
        <f>IF(A12="","",IF(COUNTIF($W$3:$W$102,A12)&gt;1,"중복! 확인",""))</f>
        <v/>
      </c>
      <c r="I12">
        <f>IF(A12="","",평가A!G12)</f>
        <v/>
      </c>
      <c r="J12">
        <f>IF(A12="","",평가A!H12)</f>
        <v/>
      </c>
      <c r="K12">
        <f>IF(A12="","",IF(OR(F12="",I12="",J12="첫 응시(평가B)"),"",ROUND(F12-I12,1)))</f>
        <v/>
      </c>
      <c r="L12">
        <f>IF(A12="","",IF(OR(F12="",I12="",J12="첫 응시(평가B)"),"",IF(F12&gt;=HIGH_CUT,PTS_HIGH,IF(K12&gt;=STEP2,PTS_HIGH,IF(K12&gt;=STEP1,PTS_MID,PTS_LOW)))))</f>
        <v/>
      </c>
      <c r="M12">
        <f>IF(A12="","",IF(F12="","",IF(J12="첫 응시(평가B)","보류",IF(I12="","",IF(F12&gt;=HIGH_CUT,"숙달",IF(K12&gt;=STEP2,"향상",IF(K12&gt;=STEP1,"유지","보완 필요")))))))</f>
        <v/>
      </c>
      <c r="N12">
        <f>IF(A12="","",IF(AND(G12="응시",ISNUMBER(L12)),L12,""))</f>
        <v/>
      </c>
      <c r="O12">
        <f>IF(A12="","",IF(F12="","결석 - 기록 없음",IF(J12="첫 응시(평가B)","판정 보류 - 평가A가 없어 이번 결과가 기준점수(평가C부터 판정)",IF(I12="","기준점수 없음",IF(F12&gt;=HIGH_CUT,"숙달 - 이번 정답률이 숙달 기준 이상",IF(K12&gt;=STEP2,"향상 - 기준보다 크게 오름",IF(K12&gt;=STEP1,"유지 - 기준과 비슷함","보완 필요 - 기준보다 크게 내려감"))))))&amp;IF(G12="비경쟁 응시"," / 비경쟁: 팀 점수 제외",""))</f>
        <v/>
      </c>
      <c r="R12" s="3" t="inlineStr">
        <is>
          <t>N4GS9B</t>
        </is>
      </c>
      <c r="S12" s="3" t="n">
        <v>6</v>
      </c>
      <c r="T12" s="3" t="n">
        <v>8</v>
      </c>
      <c r="U12" s="3" t="n"/>
      <c r="W12">
        <f>IF(UPPER(TRIM(R12&amp;""))="","",IF(RIGHT(UPPER(TRIM(R12&amp;"")),2)="-N",TRIM(LEFT(UPPER(TRIM(R12&amp;"")),LEN(UPPER(TRIM(R12&amp;"")))-2)),UPPER(TRIM(R12&amp;""))))</f>
        <v/>
      </c>
      <c r="X12">
        <f>IF(W12="","",IF(ISNUMBER(U12),ROUND(U12,1),IF(AND(ISNUMBER(S12),ISNUMBER(T12)),IF(T12&gt;0,ROUND(S12/T12*100,1),""),"")))</f>
        <v/>
      </c>
      <c r="Y12">
        <f>IF(W12="","",IF(RIGHT(UPPER(TRIM(R12&amp;"")),2)="-N","비경쟁",""))</f>
        <v/>
      </c>
      <c r="Z12">
        <f>IF(W12="","",IF(COUNTIF(참가자!$A$3:$A$52,W12)=0,"명단에 없는 코드",""))</f>
        <v/>
      </c>
      <c r="AA12">
        <f>IF(W12="","",IF(ISNUMBER(U12),ROUND(U12*EVAL_ITEMS/100,1),IF(AND(ISNUMBER(S12),ISNUMBER(T12)),IF(T12&gt;0,S12,""),"")))</f>
        <v/>
      </c>
    </row>
    <row r="13">
      <c r="A13">
        <f>IF(참가자!A13="","",UPPER(TRIM(참가자!A13)))</f>
        <v/>
      </c>
      <c r="B13">
        <f>IF(A13="","",IF(참가자!B13="","(팀 없음)",TRIM(참가자!B13)))</f>
        <v/>
      </c>
      <c r="C13">
        <f>IF(A13="","",평가A!C13)</f>
        <v/>
      </c>
      <c r="D13">
        <f>IF(A13="","",IFERROR(INDEX($AA$3:$AA$102,MATCH(A13,$W$3:$W$102,0)),""))</f>
        <v/>
      </c>
      <c r="E13">
        <f>IF(A13="","",IF(OR(NOT(ISNUMBER(D13)),J13="첫 응시(평가B)",NOT(ISNUMBER(평가A!I13))),"",ROUND(D13-평가A!I13,1)))</f>
        <v/>
      </c>
      <c r="F13">
        <f>IF(A13="","",IFERROR(INDEX($X$3:$X$102,MATCH(A13,$W$3:$W$102,0)),""))</f>
        <v/>
      </c>
      <c r="G13">
        <f>IF(A13="","",IF(F13="","결석",IF(IFERROR(INDEX($Y$3:$Y$102,MATCH(A13,$W$3:$W$102,0)),"")="비경쟁","비경쟁 응시","응시")))</f>
        <v/>
      </c>
      <c r="H13">
        <f>IF(A13="","",IF(COUNTIF($W$3:$W$102,A13)&gt;1,"중복! 확인",""))</f>
        <v/>
      </c>
      <c r="I13">
        <f>IF(A13="","",평가A!G13)</f>
        <v/>
      </c>
      <c r="J13">
        <f>IF(A13="","",평가A!H13)</f>
        <v/>
      </c>
      <c r="K13">
        <f>IF(A13="","",IF(OR(F13="",I13="",J13="첫 응시(평가B)"),"",ROUND(F13-I13,1)))</f>
        <v/>
      </c>
      <c r="L13">
        <f>IF(A13="","",IF(OR(F13="",I13="",J13="첫 응시(평가B)"),"",IF(F13&gt;=HIGH_CUT,PTS_HIGH,IF(K13&gt;=STEP2,PTS_HIGH,IF(K13&gt;=STEP1,PTS_MID,PTS_LOW)))))</f>
        <v/>
      </c>
      <c r="M13">
        <f>IF(A13="","",IF(F13="","",IF(J13="첫 응시(평가B)","보류",IF(I13="","",IF(F13&gt;=HIGH_CUT,"숙달",IF(K13&gt;=STEP2,"향상",IF(K13&gt;=STEP1,"유지","보완 필요")))))))</f>
        <v/>
      </c>
      <c r="N13">
        <f>IF(A13="","",IF(AND(G13="응시",ISNUMBER(L13)),L13,""))</f>
        <v/>
      </c>
      <c r="O13">
        <f>IF(A13="","",IF(F13="","결석 - 기록 없음",IF(J13="첫 응시(평가B)","판정 보류 - 평가A가 없어 이번 결과가 기준점수(평가C부터 판정)",IF(I13="","기준점수 없음",IF(F13&gt;=HIGH_CUT,"숙달 - 이번 정답률이 숙달 기준 이상",IF(K13&gt;=STEP2,"향상 - 기준보다 크게 오름",IF(K13&gt;=STEP1,"유지 - 기준과 비슷함","보완 필요 - 기준보다 크게 내려감"))))))&amp;IF(G13="비경쟁 응시"," / 비경쟁: 팀 점수 제외",""))</f>
        <v/>
      </c>
      <c r="R13" s="3" t="inlineStr">
        <is>
          <t>D7VB3M</t>
        </is>
      </c>
      <c r="S13" s="3" t="n">
        <v>2</v>
      </c>
      <c r="T13" s="3" t="n">
        <v>8</v>
      </c>
      <c r="U13" s="3" t="n"/>
      <c r="W13">
        <f>IF(UPPER(TRIM(R13&amp;""))="","",IF(RIGHT(UPPER(TRIM(R13&amp;"")),2)="-N",TRIM(LEFT(UPPER(TRIM(R13&amp;"")),LEN(UPPER(TRIM(R13&amp;"")))-2)),UPPER(TRIM(R13&amp;""))))</f>
        <v/>
      </c>
      <c r="X13">
        <f>IF(W13="","",IF(ISNUMBER(U13),ROUND(U13,1),IF(AND(ISNUMBER(S13),ISNUMBER(T13)),IF(T13&gt;0,ROUND(S13/T13*100,1),""),"")))</f>
        <v/>
      </c>
      <c r="Y13">
        <f>IF(W13="","",IF(RIGHT(UPPER(TRIM(R13&amp;"")),2)="-N","비경쟁",""))</f>
        <v/>
      </c>
      <c r="Z13">
        <f>IF(W13="","",IF(COUNTIF(참가자!$A$3:$A$52,W13)=0,"명단에 없는 코드",""))</f>
        <v/>
      </c>
      <c r="AA13">
        <f>IF(W13="","",IF(ISNUMBER(U13),ROUND(U13*EVAL_ITEMS/100,1),IF(AND(ISNUMBER(S13),ISNUMBER(T13)),IF(T13&gt;0,S13,""),"")))</f>
        <v/>
      </c>
    </row>
    <row r="14">
      <c r="A14">
        <f>IF(참가자!A14="","",UPPER(TRIM(참가자!A14)))</f>
        <v/>
      </c>
      <c r="B14">
        <f>IF(A14="","",IF(참가자!B14="","(팀 없음)",TRIM(참가자!B14)))</f>
        <v/>
      </c>
      <c r="C14">
        <f>IF(A14="","",평가A!C14)</f>
        <v/>
      </c>
      <c r="D14">
        <f>IF(A14="","",IFERROR(INDEX($AA$3:$AA$102,MATCH(A14,$W$3:$W$102,0)),""))</f>
        <v/>
      </c>
      <c r="E14">
        <f>IF(A14="","",IF(OR(NOT(ISNUMBER(D14)),J14="첫 응시(평가B)",NOT(ISNUMBER(평가A!I14))),"",ROUND(D14-평가A!I14,1)))</f>
        <v/>
      </c>
      <c r="F14">
        <f>IF(A14="","",IFERROR(INDEX($X$3:$X$102,MATCH(A14,$W$3:$W$102,0)),""))</f>
        <v/>
      </c>
      <c r="G14">
        <f>IF(A14="","",IF(F14="","결석",IF(IFERROR(INDEX($Y$3:$Y$102,MATCH(A14,$W$3:$W$102,0)),"")="비경쟁","비경쟁 응시","응시")))</f>
        <v/>
      </c>
      <c r="H14">
        <f>IF(A14="","",IF(COUNTIF($W$3:$W$102,A14)&gt;1,"중복! 확인",""))</f>
        <v/>
      </c>
      <c r="I14">
        <f>IF(A14="","",평가A!G14)</f>
        <v/>
      </c>
      <c r="J14">
        <f>IF(A14="","",평가A!H14)</f>
        <v/>
      </c>
      <c r="K14">
        <f>IF(A14="","",IF(OR(F14="",I14="",J14="첫 응시(평가B)"),"",ROUND(F14-I14,1)))</f>
        <v/>
      </c>
      <c r="L14">
        <f>IF(A14="","",IF(OR(F14="",I14="",J14="첫 응시(평가B)"),"",IF(F14&gt;=HIGH_CUT,PTS_HIGH,IF(K14&gt;=STEP2,PTS_HIGH,IF(K14&gt;=STEP1,PTS_MID,PTS_LOW)))))</f>
        <v/>
      </c>
      <c r="M14">
        <f>IF(A14="","",IF(F14="","",IF(J14="첫 응시(평가B)","보류",IF(I14="","",IF(F14&gt;=HIGH_CUT,"숙달",IF(K14&gt;=STEP2,"향상",IF(K14&gt;=STEP1,"유지","보완 필요")))))))</f>
        <v/>
      </c>
      <c r="N14">
        <f>IF(A14="","",IF(AND(G14="응시",ISNUMBER(L14)),L14,""))</f>
        <v/>
      </c>
      <c r="O14">
        <f>IF(A14="","",IF(F14="","결석 - 기록 없음",IF(J14="첫 응시(평가B)","판정 보류 - 평가A가 없어 이번 결과가 기준점수(평가C부터 판정)",IF(I14="","기준점수 없음",IF(F14&gt;=HIGH_CUT,"숙달 - 이번 정답률이 숙달 기준 이상",IF(K14&gt;=STEP2,"향상 - 기준보다 크게 오름",IF(K14&gt;=STEP1,"유지 - 기준과 비슷함","보완 필요 - 기준보다 크게 내려감"))))))&amp;IF(G14="비경쟁 응시"," / 비경쟁: 팀 점수 제외",""))</f>
        <v/>
      </c>
      <c r="R14" s="3" t="inlineStr">
        <is>
          <t>M2PF6Y</t>
        </is>
      </c>
      <c r="S14" s="3" t="n">
        <v>8</v>
      </c>
      <c r="T14" s="3" t="n">
        <v>8</v>
      </c>
      <c r="U14" s="3" t="n"/>
      <c r="W14">
        <f>IF(UPPER(TRIM(R14&amp;""))="","",IF(RIGHT(UPPER(TRIM(R14&amp;"")),2)="-N",TRIM(LEFT(UPPER(TRIM(R14&amp;"")),LEN(UPPER(TRIM(R14&amp;"")))-2)),UPPER(TRIM(R14&amp;""))))</f>
        <v/>
      </c>
      <c r="X14">
        <f>IF(W14="","",IF(ISNUMBER(U14),ROUND(U14,1),IF(AND(ISNUMBER(S14),ISNUMBER(T14)),IF(T14&gt;0,ROUND(S14/T14*100,1),""),"")))</f>
        <v/>
      </c>
      <c r="Y14">
        <f>IF(W14="","",IF(RIGHT(UPPER(TRIM(R14&amp;"")),2)="-N","비경쟁",""))</f>
        <v/>
      </c>
      <c r="Z14">
        <f>IF(W14="","",IF(COUNTIF(참가자!$A$3:$A$52,W14)=0,"명단에 없는 코드",""))</f>
        <v/>
      </c>
      <c r="AA14">
        <f>IF(W14="","",IF(ISNUMBER(U14),ROUND(U14*EVAL_ITEMS/100,1),IF(AND(ISNUMBER(S14),ISNUMBER(T14)),IF(T14&gt;0,S14,""),"")))</f>
        <v/>
      </c>
    </row>
    <row r="15">
      <c r="A15">
        <f>IF(참가자!A15="","",UPPER(TRIM(참가자!A15)))</f>
        <v/>
      </c>
      <c r="B15">
        <f>IF(A15="","",IF(참가자!B15="","(팀 없음)",TRIM(참가자!B15)))</f>
        <v/>
      </c>
      <c r="C15">
        <f>IF(A15="","",평가A!C15)</f>
        <v/>
      </c>
      <c r="D15">
        <f>IF(A15="","",IFERROR(INDEX($AA$3:$AA$102,MATCH(A15,$W$3:$W$102,0)),""))</f>
        <v/>
      </c>
      <c r="E15">
        <f>IF(A15="","",IF(OR(NOT(ISNUMBER(D15)),J15="첫 응시(평가B)",NOT(ISNUMBER(평가A!I15))),"",ROUND(D15-평가A!I15,1)))</f>
        <v/>
      </c>
      <c r="F15">
        <f>IF(A15="","",IFERROR(INDEX($X$3:$X$102,MATCH(A15,$W$3:$W$102,0)),""))</f>
        <v/>
      </c>
      <c r="G15">
        <f>IF(A15="","",IF(F15="","결석",IF(IFERROR(INDEX($Y$3:$Y$102,MATCH(A15,$W$3:$W$102,0)),"")="비경쟁","비경쟁 응시","응시")))</f>
        <v/>
      </c>
      <c r="H15">
        <f>IF(A15="","",IF(COUNTIF($W$3:$W$102,A15)&gt;1,"중복! 확인",""))</f>
        <v/>
      </c>
      <c r="I15">
        <f>IF(A15="","",평가A!G15)</f>
        <v/>
      </c>
      <c r="J15">
        <f>IF(A15="","",평가A!H15)</f>
        <v/>
      </c>
      <c r="K15">
        <f>IF(A15="","",IF(OR(F15="",I15="",J15="첫 응시(평가B)"),"",ROUND(F15-I15,1)))</f>
        <v/>
      </c>
      <c r="L15">
        <f>IF(A15="","",IF(OR(F15="",I15="",J15="첫 응시(평가B)"),"",IF(F15&gt;=HIGH_CUT,PTS_HIGH,IF(K15&gt;=STEP2,PTS_HIGH,IF(K15&gt;=STEP1,PTS_MID,PTS_LOW)))))</f>
        <v/>
      </c>
      <c r="M15">
        <f>IF(A15="","",IF(F15="","",IF(J15="첫 응시(평가B)","보류",IF(I15="","",IF(F15&gt;=HIGH_CUT,"숙달",IF(K15&gt;=STEP2,"향상",IF(K15&gt;=STEP1,"유지","보완 필요")))))))</f>
        <v/>
      </c>
      <c r="N15">
        <f>IF(A15="","",IF(AND(G15="응시",ISNUMBER(L15)),L15,""))</f>
        <v/>
      </c>
      <c r="O15">
        <f>IF(A15="","",IF(F15="","결석 - 기록 없음",IF(J15="첫 응시(평가B)","판정 보류 - 평가A가 없어 이번 결과가 기준점수(평가C부터 판정)",IF(I15="","기준점수 없음",IF(F15&gt;=HIGH_CUT,"숙달 - 이번 정답률이 숙달 기준 이상",IF(K15&gt;=STEP2,"향상 - 기준보다 크게 오름",IF(K15&gt;=STEP1,"유지 - 기준과 비슷함","보완 필요 - 기준보다 크게 내려감"))))))&amp;IF(G15="비경쟁 응시"," / 비경쟁: 팀 점수 제외",""))</f>
        <v/>
      </c>
      <c r="R15" s="3" t="n"/>
      <c r="S15" s="3" t="n"/>
      <c r="T15" s="3" t="n"/>
      <c r="U15" s="3" t="n"/>
      <c r="W15">
        <f>IF(UPPER(TRIM(R15&amp;""))="","",IF(RIGHT(UPPER(TRIM(R15&amp;"")),2)="-N",TRIM(LEFT(UPPER(TRIM(R15&amp;"")),LEN(UPPER(TRIM(R15&amp;"")))-2)),UPPER(TRIM(R15&amp;""))))</f>
        <v/>
      </c>
      <c r="X15">
        <f>IF(W15="","",IF(ISNUMBER(U15),ROUND(U15,1),IF(AND(ISNUMBER(S15),ISNUMBER(T15)),IF(T15&gt;0,ROUND(S15/T15*100,1),""),"")))</f>
        <v/>
      </c>
      <c r="Y15">
        <f>IF(W15="","",IF(RIGHT(UPPER(TRIM(R15&amp;"")),2)="-N","비경쟁",""))</f>
        <v/>
      </c>
      <c r="Z15">
        <f>IF(W15="","",IF(COUNTIF(참가자!$A$3:$A$52,W15)=0,"명단에 없는 코드",""))</f>
        <v/>
      </c>
      <c r="AA15">
        <f>IF(W15="","",IF(ISNUMBER(U15),ROUND(U15*EVAL_ITEMS/100,1),IF(AND(ISNUMBER(S15),ISNUMBER(T15)),IF(T15&gt;0,S15,""),"")))</f>
        <v/>
      </c>
    </row>
    <row r="16">
      <c r="A16">
        <f>IF(참가자!A16="","",UPPER(TRIM(참가자!A16)))</f>
        <v/>
      </c>
      <c r="B16">
        <f>IF(A16="","",IF(참가자!B16="","(팀 없음)",TRIM(참가자!B16)))</f>
        <v/>
      </c>
      <c r="C16">
        <f>IF(A16="","",평가A!C16)</f>
        <v/>
      </c>
      <c r="D16">
        <f>IF(A16="","",IFERROR(INDEX($AA$3:$AA$102,MATCH(A16,$W$3:$W$102,0)),""))</f>
        <v/>
      </c>
      <c r="E16">
        <f>IF(A16="","",IF(OR(NOT(ISNUMBER(D16)),J16="첫 응시(평가B)",NOT(ISNUMBER(평가A!I16))),"",ROUND(D16-평가A!I16,1)))</f>
        <v/>
      </c>
      <c r="F16">
        <f>IF(A16="","",IFERROR(INDEX($X$3:$X$102,MATCH(A16,$W$3:$W$102,0)),""))</f>
        <v/>
      </c>
      <c r="G16">
        <f>IF(A16="","",IF(F16="","결석",IF(IFERROR(INDEX($Y$3:$Y$102,MATCH(A16,$W$3:$W$102,0)),"")="비경쟁","비경쟁 응시","응시")))</f>
        <v/>
      </c>
      <c r="H16">
        <f>IF(A16="","",IF(COUNTIF($W$3:$W$102,A16)&gt;1,"중복! 확인",""))</f>
        <v/>
      </c>
      <c r="I16">
        <f>IF(A16="","",평가A!G16)</f>
        <v/>
      </c>
      <c r="J16">
        <f>IF(A16="","",평가A!H16)</f>
        <v/>
      </c>
      <c r="K16">
        <f>IF(A16="","",IF(OR(F16="",I16="",J16="첫 응시(평가B)"),"",ROUND(F16-I16,1)))</f>
        <v/>
      </c>
      <c r="L16">
        <f>IF(A16="","",IF(OR(F16="",I16="",J16="첫 응시(평가B)"),"",IF(F16&gt;=HIGH_CUT,PTS_HIGH,IF(K16&gt;=STEP2,PTS_HIGH,IF(K16&gt;=STEP1,PTS_MID,PTS_LOW)))))</f>
        <v/>
      </c>
      <c r="M16">
        <f>IF(A16="","",IF(F16="","",IF(J16="첫 응시(평가B)","보류",IF(I16="","",IF(F16&gt;=HIGH_CUT,"숙달",IF(K16&gt;=STEP2,"향상",IF(K16&gt;=STEP1,"유지","보완 필요")))))))</f>
        <v/>
      </c>
      <c r="N16">
        <f>IF(A16="","",IF(AND(G16="응시",ISNUMBER(L16)),L16,""))</f>
        <v/>
      </c>
      <c r="O16">
        <f>IF(A16="","",IF(F16="","결석 - 기록 없음",IF(J16="첫 응시(평가B)","판정 보류 - 평가A가 없어 이번 결과가 기준점수(평가C부터 판정)",IF(I16="","기준점수 없음",IF(F16&gt;=HIGH_CUT,"숙달 - 이번 정답률이 숙달 기준 이상",IF(K16&gt;=STEP2,"향상 - 기준보다 크게 오름",IF(K16&gt;=STEP1,"유지 - 기준과 비슷함","보완 필요 - 기준보다 크게 내려감"))))))&amp;IF(G16="비경쟁 응시"," / 비경쟁: 팀 점수 제외",""))</f>
        <v/>
      </c>
      <c r="R16" s="3" t="n"/>
      <c r="S16" s="3" t="n"/>
      <c r="T16" s="3" t="n"/>
      <c r="U16" s="3" t="n"/>
      <c r="W16">
        <f>IF(UPPER(TRIM(R16&amp;""))="","",IF(RIGHT(UPPER(TRIM(R16&amp;"")),2)="-N",TRIM(LEFT(UPPER(TRIM(R16&amp;"")),LEN(UPPER(TRIM(R16&amp;"")))-2)),UPPER(TRIM(R16&amp;""))))</f>
        <v/>
      </c>
      <c r="X16">
        <f>IF(W16="","",IF(ISNUMBER(U16),ROUND(U16,1),IF(AND(ISNUMBER(S16),ISNUMBER(T16)),IF(T16&gt;0,ROUND(S16/T16*100,1),""),"")))</f>
        <v/>
      </c>
      <c r="Y16">
        <f>IF(W16="","",IF(RIGHT(UPPER(TRIM(R16&amp;"")),2)="-N","비경쟁",""))</f>
        <v/>
      </c>
      <c r="Z16">
        <f>IF(W16="","",IF(COUNTIF(참가자!$A$3:$A$52,W16)=0,"명단에 없는 코드",""))</f>
        <v/>
      </c>
      <c r="AA16">
        <f>IF(W16="","",IF(ISNUMBER(U16),ROUND(U16*EVAL_ITEMS/100,1),IF(AND(ISNUMBER(S16),ISNUMBER(T16)),IF(T16&gt;0,S16,""),"")))</f>
        <v/>
      </c>
    </row>
    <row r="17">
      <c r="A17">
        <f>IF(참가자!A17="","",UPPER(TRIM(참가자!A17)))</f>
        <v/>
      </c>
      <c r="B17">
        <f>IF(A17="","",IF(참가자!B17="","(팀 없음)",TRIM(참가자!B17)))</f>
        <v/>
      </c>
      <c r="C17">
        <f>IF(A17="","",평가A!C17)</f>
        <v/>
      </c>
      <c r="D17">
        <f>IF(A17="","",IFERROR(INDEX($AA$3:$AA$102,MATCH(A17,$W$3:$W$102,0)),""))</f>
        <v/>
      </c>
      <c r="E17">
        <f>IF(A17="","",IF(OR(NOT(ISNUMBER(D17)),J17="첫 응시(평가B)",NOT(ISNUMBER(평가A!I17))),"",ROUND(D17-평가A!I17,1)))</f>
        <v/>
      </c>
      <c r="F17">
        <f>IF(A17="","",IFERROR(INDEX($X$3:$X$102,MATCH(A17,$W$3:$W$102,0)),""))</f>
        <v/>
      </c>
      <c r="G17">
        <f>IF(A17="","",IF(F17="","결석",IF(IFERROR(INDEX($Y$3:$Y$102,MATCH(A17,$W$3:$W$102,0)),"")="비경쟁","비경쟁 응시","응시")))</f>
        <v/>
      </c>
      <c r="H17">
        <f>IF(A17="","",IF(COUNTIF($W$3:$W$102,A17)&gt;1,"중복! 확인",""))</f>
        <v/>
      </c>
      <c r="I17">
        <f>IF(A17="","",평가A!G17)</f>
        <v/>
      </c>
      <c r="J17">
        <f>IF(A17="","",평가A!H17)</f>
        <v/>
      </c>
      <c r="K17">
        <f>IF(A17="","",IF(OR(F17="",I17="",J17="첫 응시(평가B)"),"",ROUND(F17-I17,1)))</f>
        <v/>
      </c>
      <c r="L17">
        <f>IF(A17="","",IF(OR(F17="",I17="",J17="첫 응시(평가B)"),"",IF(F17&gt;=HIGH_CUT,PTS_HIGH,IF(K17&gt;=STEP2,PTS_HIGH,IF(K17&gt;=STEP1,PTS_MID,PTS_LOW)))))</f>
        <v/>
      </c>
      <c r="M17">
        <f>IF(A17="","",IF(F17="","",IF(J17="첫 응시(평가B)","보류",IF(I17="","",IF(F17&gt;=HIGH_CUT,"숙달",IF(K17&gt;=STEP2,"향상",IF(K17&gt;=STEP1,"유지","보완 필요")))))))</f>
        <v/>
      </c>
      <c r="N17">
        <f>IF(A17="","",IF(AND(G17="응시",ISNUMBER(L17)),L17,""))</f>
        <v/>
      </c>
      <c r="O17">
        <f>IF(A17="","",IF(F17="","결석 - 기록 없음",IF(J17="첫 응시(평가B)","판정 보류 - 평가A가 없어 이번 결과가 기준점수(평가C부터 판정)",IF(I17="","기준점수 없음",IF(F17&gt;=HIGH_CUT,"숙달 - 이번 정답률이 숙달 기준 이상",IF(K17&gt;=STEP2,"향상 - 기준보다 크게 오름",IF(K17&gt;=STEP1,"유지 - 기준과 비슷함","보완 필요 - 기준보다 크게 내려감"))))))&amp;IF(G17="비경쟁 응시"," / 비경쟁: 팀 점수 제외",""))</f>
        <v/>
      </c>
      <c r="R17" s="3" t="n"/>
      <c r="S17" s="3" t="n"/>
      <c r="T17" s="3" t="n"/>
      <c r="U17" s="3" t="n"/>
      <c r="W17">
        <f>IF(UPPER(TRIM(R17&amp;""))="","",IF(RIGHT(UPPER(TRIM(R17&amp;"")),2)="-N",TRIM(LEFT(UPPER(TRIM(R17&amp;"")),LEN(UPPER(TRIM(R17&amp;"")))-2)),UPPER(TRIM(R17&amp;""))))</f>
        <v/>
      </c>
      <c r="X17">
        <f>IF(W17="","",IF(ISNUMBER(U17),ROUND(U17,1),IF(AND(ISNUMBER(S17),ISNUMBER(T17)),IF(T17&gt;0,ROUND(S17/T17*100,1),""),"")))</f>
        <v/>
      </c>
      <c r="Y17">
        <f>IF(W17="","",IF(RIGHT(UPPER(TRIM(R17&amp;"")),2)="-N","비경쟁",""))</f>
        <v/>
      </c>
      <c r="Z17">
        <f>IF(W17="","",IF(COUNTIF(참가자!$A$3:$A$52,W17)=0,"명단에 없는 코드",""))</f>
        <v/>
      </c>
      <c r="AA17">
        <f>IF(W17="","",IF(ISNUMBER(U17),ROUND(U17*EVAL_ITEMS/100,1),IF(AND(ISNUMBER(S17),ISNUMBER(T17)),IF(T17&gt;0,S17,""),"")))</f>
        <v/>
      </c>
    </row>
    <row r="18">
      <c r="A18">
        <f>IF(참가자!A18="","",UPPER(TRIM(참가자!A18)))</f>
        <v/>
      </c>
      <c r="B18">
        <f>IF(A18="","",IF(참가자!B18="","(팀 없음)",TRIM(참가자!B18)))</f>
        <v/>
      </c>
      <c r="C18">
        <f>IF(A18="","",평가A!C18)</f>
        <v/>
      </c>
      <c r="D18">
        <f>IF(A18="","",IFERROR(INDEX($AA$3:$AA$102,MATCH(A18,$W$3:$W$102,0)),""))</f>
        <v/>
      </c>
      <c r="E18">
        <f>IF(A18="","",IF(OR(NOT(ISNUMBER(D18)),J18="첫 응시(평가B)",NOT(ISNUMBER(평가A!I18))),"",ROUND(D18-평가A!I18,1)))</f>
        <v/>
      </c>
      <c r="F18">
        <f>IF(A18="","",IFERROR(INDEX($X$3:$X$102,MATCH(A18,$W$3:$W$102,0)),""))</f>
        <v/>
      </c>
      <c r="G18">
        <f>IF(A18="","",IF(F18="","결석",IF(IFERROR(INDEX($Y$3:$Y$102,MATCH(A18,$W$3:$W$102,0)),"")="비경쟁","비경쟁 응시","응시")))</f>
        <v/>
      </c>
      <c r="H18">
        <f>IF(A18="","",IF(COUNTIF($W$3:$W$102,A18)&gt;1,"중복! 확인",""))</f>
        <v/>
      </c>
      <c r="I18">
        <f>IF(A18="","",평가A!G18)</f>
        <v/>
      </c>
      <c r="J18">
        <f>IF(A18="","",평가A!H18)</f>
        <v/>
      </c>
      <c r="K18">
        <f>IF(A18="","",IF(OR(F18="",I18="",J18="첫 응시(평가B)"),"",ROUND(F18-I18,1)))</f>
        <v/>
      </c>
      <c r="L18">
        <f>IF(A18="","",IF(OR(F18="",I18="",J18="첫 응시(평가B)"),"",IF(F18&gt;=HIGH_CUT,PTS_HIGH,IF(K18&gt;=STEP2,PTS_HIGH,IF(K18&gt;=STEP1,PTS_MID,PTS_LOW)))))</f>
        <v/>
      </c>
      <c r="M18">
        <f>IF(A18="","",IF(F18="","",IF(J18="첫 응시(평가B)","보류",IF(I18="","",IF(F18&gt;=HIGH_CUT,"숙달",IF(K18&gt;=STEP2,"향상",IF(K18&gt;=STEP1,"유지","보완 필요")))))))</f>
        <v/>
      </c>
      <c r="N18">
        <f>IF(A18="","",IF(AND(G18="응시",ISNUMBER(L18)),L18,""))</f>
        <v/>
      </c>
      <c r="O18">
        <f>IF(A18="","",IF(F18="","결석 - 기록 없음",IF(J18="첫 응시(평가B)","판정 보류 - 평가A가 없어 이번 결과가 기준점수(평가C부터 판정)",IF(I18="","기준점수 없음",IF(F18&gt;=HIGH_CUT,"숙달 - 이번 정답률이 숙달 기준 이상",IF(K18&gt;=STEP2,"향상 - 기준보다 크게 오름",IF(K18&gt;=STEP1,"유지 - 기준과 비슷함","보완 필요 - 기준보다 크게 내려감"))))))&amp;IF(G18="비경쟁 응시"," / 비경쟁: 팀 점수 제외",""))</f>
        <v/>
      </c>
      <c r="R18" s="3" t="n"/>
      <c r="S18" s="3" t="n"/>
      <c r="T18" s="3" t="n"/>
      <c r="U18" s="3" t="n"/>
      <c r="W18">
        <f>IF(UPPER(TRIM(R18&amp;""))="","",IF(RIGHT(UPPER(TRIM(R18&amp;"")),2)="-N",TRIM(LEFT(UPPER(TRIM(R18&amp;"")),LEN(UPPER(TRIM(R18&amp;"")))-2)),UPPER(TRIM(R18&amp;""))))</f>
        <v/>
      </c>
      <c r="X18">
        <f>IF(W18="","",IF(ISNUMBER(U18),ROUND(U18,1),IF(AND(ISNUMBER(S18),ISNUMBER(T18)),IF(T18&gt;0,ROUND(S18/T18*100,1),""),"")))</f>
        <v/>
      </c>
      <c r="Y18">
        <f>IF(W18="","",IF(RIGHT(UPPER(TRIM(R18&amp;"")),2)="-N","비경쟁",""))</f>
        <v/>
      </c>
      <c r="Z18">
        <f>IF(W18="","",IF(COUNTIF(참가자!$A$3:$A$52,W18)=0,"명단에 없는 코드",""))</f>
        <v/>
      </c>
      <c r="AA18">
        <f>IF(W18="","",IF(ISNUMBER(U18),ROUND(U18*EVAL_ITEMS/100,1),IF(AND(ISNUMBER(S18),ISNUMBER(T18)),IF(T18&gt;0,S18,""),"")))</f>
        <v/>
      </c>
    </row>
    <row r="19">
      <c r="A19">
        <f>IF(참가자!A19="","",UPPER(TRIM(참가자!A19)))</f>
        <v/>
      </c>
      <c r="B19">
        <f>IF(A19="","",IF(참가자!B19="","(팀 없음)",TRIM(참가자!B19)))</f>
        <v/>
      </c>
      <c r="C19">
        <f>IF(A19="","",평가A!C19)</f>
        <v/>
      </c>
      <c r="D19">
        <f>IF(A19="","",IFERROR(INDEX($AA$3:$AA$102,MATCH(A19,$W$3:$W$102,0)),""))</f>
        <v/>
      </c>
      <c r="E19">
        <f>IF(A19="","",IF(OR(NOT(ISNUMBER(D19)),J19="첫 응시(평가B)",NOT(ISNUMBER(평가A!I19))),"",ROUND(D19-평가A!I19,1)))</f>
        <v/>
      </c>
      <c r="F19">
        <f>IF(A19="","",IFERROR(INDEX($X$3:$X$102,MATCH(A19,$W$3:$W$102,0)),""))</f>
        <v/>
      </c>
      <c r="G19">
        <f>IF(A19="","",IF(F19="","결석",IF(IFERROR(INDEX($Y$3:$Y$102,MATCH(A19,$W$3:$W$102,0)),"")="비경쟁","비경쟁 응시","응시")))</f>
        <v/>
      </c>
      <c r="H19">
        <f>IF(A19="","",IF(COUNTIF($W$3:$W$102,A19)&gt;1,"중복! 확인",""))</f>
        <v/>
      </c>
      <c r="I19">
        <f>IF(A19="","",평가A!G19)</f>
        <v/>
      </c>
      <c r="J19">
        <f>IF(A19="","",평가A!H19)</f>
        <v/>
      </c>
      <c r="K19">
        <f>IF(A19="","",IF(OR(F19="",I19="",J19="첫 응시(평가B)"),"",ROUND(F19-I19,1)))</f>
        <v/>
      </c>
      <c r="L19">
        <f>IF(A19="","",IF(OR(F19="",I19="",J19="첫 응시(평가B)"),"",IF(F19&gt;=HIGH_CUT,PTS_HIGH,IF(K19&gt;=STEP2,PTS_HIGH,IF(K19&gt;=STEP1,PTS_MID,PTS_LOW)))))</f>
        <v/>
      </c>
      <c r="M19">
        <f>IF(A19="","",IF(F19="","",IF(J19="첫 응시(평가B)","보류",IF(I19="","",IF(F19&gt;=HIGH_CUT,"숙달",IF(K19&gt;=STEP2,"향상",IF(K19&gt;=STEP1,"유지","보완 필요")))))))</f>
        <v/>
      </c>
      <c r="N19">
        <f>IF(A19="","",IF(AND(G19="응시",ISNUMBER(L19)),L19,""))</f>
        <v/>
      </c>
      <c r="O19">
        <f>IF(A19="","",IF(F19="","결석 - 기록 없음",IF(J19="첫 응시(평가B)","판정 보류 - 평가A가 없어 이번 결과가 기준점수(평가C부터 판정)",IF(I19="","기준점수 없음",IF(F19&gt;=HIGH_CUT,"숙달 - 이번 정답률이 숙달 기준 이상",IF(K19&gt;=STEP2,"향상 - 기준보다 크게 오름",IF(K19&gt;=STEP1,"유지 - 기준과 비슷함","보완 필요 - 기준보다 크게 내려감"))))))&amp;IF(G19="비경쟁 응시"," / 비경쟁: 팀 점수 제외",""))</f>
        <v/>
      </c>
      <c r="R19" s="3" t="n"/>
      <c r="S19" s="3" t="n"/>
      <c r="T19" s="3" t="n"/>
      <c r="U19" s="3" t="n"/>
      <c r="W19">
        <f>IF(UPPER(TRIM(R19&amp;""))="","",IF(RIGHT(UPPER(TRIM(R19&amp;"")),2)="-N",TRIM(LEFT(UPPER(TRIM(R19&amp;"")),LEN(UPPER(TRIM(R19&amp;"")))-2)),UPPER(TRIM(R19&amp;""))))</f>
        <v/>
      </c>
      <c r="X19">
        <f>IF(W19="","",IF(ISNUMBER(U19),ROUND(U19,1),IF(AND(ISNUMBER(S19),ISNUMBER(T19)),IF(T19&gt;0,ROUND(S19/T19*100,1),""),"")))</f>
        <v/>
      </c>
      <c r="Y19">
        <f>IF(W19="","",IF(RIGHT(UPPER(TRIM(R19&amp;"")),2)="-N","비경쟁",""))</f>
        <v/>
      </c>
      <c r="Z19">
        <f>IF(W19="","",IF(COUNTIF(참가자!$A$3:$A$52,W19)=0,"명단에 없는 코드",""))</f>
        <v/>
      </c>
      <c r="AA19">
        <f>IF(W19="","",IF(ISNUMBER(U19),ROUND(U19*EVAL_ITEMS/100,1),IF(AND(ISNUMBER(S19),ISNUMBER(T19)),IF(T19&gt;0,S19,""),"")))</f>
        <v/>
      </c>
    </row>
    <row r="20">
      <c r="A20">
        <f>IF(참가자!A20="","",UPPER(TRIM(참가자!A20)))</f>
        <v/>
      </c>
      <c r="B20">
        <f>IF(A20="","",IF(참가자!B20="","(팀 없음)",TRIM(참가자!B20)))</f>
        <v/>
      </c>
      <c r="C20">
        <f>IF(A20="","",평가A!C20)</f>
        <v/>
      </c>
      <c r="D20">
        <f>IF(A20="","",IFERROR(INDEX($AA$3:$AA$102,MATCH(A20,$W$3:$W$102,0)),""))</f>
        <v/>
      </c>
      <c r="E20">
        <f>IF(A20="","",IF(OR(NOT(ISNUMBER(D20)),J20="첫 응시(평가B)",NOT(ISNUMBER(평가A!I20))),"",ROUND(D20-평가A!I20,1)))</f>
        <v/>
      </c>
      <c r="F20">
        <f>IF(A20="","",IFERROR(INDEX($X$3:$X$102,MATCH(A20,$W$3:$W$102,0)),""))</f>
        <v/>
      </c>
      <c r="G20">
        <f>IF(A20="","",IF(F20="","결석",IF(IFERROR(INDEX($Y$3:$Y$102,MATCH(A20,$W$3:$W$102,0)),"")="비경쟁","비경쟁 응시","응시")))</f>
        <v/>
      </c>
      <c r="H20">
        <f>IF(A20="","",IF(COUNTIF($W$3:$W$102,A20)&gt;1,"중복! 확인",""))</f>
        <v/>
      </c>
      <c r="I20">
        <f>IF(A20="","",평가A!G20)</f>
        <v/>
      </c>
      <c r="J20">
        <f>IF(A20="","",평가A!H20)</f>
        <v/>
      </c>
      <c r="K20">
        <f>IF(A20="","",IF(OR(F20="",I20="",J20="첫 응시(평가B)"),"",ROUND(F20-I20,1)))</f>
        <v/>
      </c>
      <c r="L20">
        <f>IF(A20="","",IF(OR(F20="",I20="",J20="첫 응시(평가B)"),"",IF(F20&gt;=HIGH_CUT,PTS_HIGH,IF(K20&gt;=STEP2,PTS_HIGH,IF(K20&gt;=STEP1,PTS_MID,PTS_LOW)))))</f>
        <v/>
      </c>
      <c r="M20">
        <f>IF(A20="","",IF(F20="","",IF(J20="첫 응시(평가B)","보류",IF(I20="","",IF(F20&gt;=HIGH_CUT,"숙달",IF(K20&gt;=STEP2,"향상",IF(K20&gt;=STEP1,"유지","보완 필요")))))))</f>
        <v/>
      </c>
      <c r="N20">
        <f>IF(A20="","",IF(AND(G20="응시",ISNUMBER(L20)),L20,""))</f>
        <v/>
      </c>
      <c r="O20">
        <f>IF(A20="","",IF(F20="","결석 - 기록 없음",IF(J20="첫 응시(평가B)","판정 보류 - 평가A가 없어 이번 결과가 기준점수(평가C부터 판정)",IF(I20="","기준점수 없음",IF(F20&gt;=HIGH_CUT,"숙달 - 이번 정답률이 숙달 기준 이상",IF(K20&gt;=STEP2,"향상 - 기준보다 크게 오름",IF(K20&gt;=STEP1,"유지 - 기준과 비슷함","보완 필요 - 기준보다 크게 내려감"))))))&amp;IF(G20="비경쟁 응시"," / 비경쟁: 팀 점수 제외",""))</f>
        <v/>
      </c>
      <c r="R20" s="3" t="n"/>
      <c r="S20" s="3" t="n"/>
      <c r="T20" s="3" t="n"/>
      <c r="U20" s="3" t="n"/>
      <c r="W20">
        <f>IF(UPPER(TRIM(R20&amp;""))="","",IF(RIGHT(UPPER(TRIM(R20&amp;"")),2)="-N",TRIM(LEFT(UPPER(TRIM(R20&amp;"")),LEN(UPPER(TRIM(R20&amp;"")))-2)),UPPER(TRIM(R20&amp;""))))</f>
        <v/>
      </c>
      <c r="X20">
        <f>IF(W20="","",IF(ISNUMBER(U20),ROUND(U20,1),IF(AND(ISNUMBER(S20),ISNUMBER(T20)),IF(T20&gt;0,ROUND(S20/T20*100,1),""),"")))</f>
        <v/>
      </c>
      <c r="Y20">
        <f>IF(W20="","",IF(RIGHT(UPPER(TRIM(R20&amp;"")),2)="-N","비경쟁",""))</f>
        <v/>
      </c>
      <c r="Z20">
        <f>IF(W20="","",IF(COUNTIF(참가자!$A$3:$A$52,W20)=0,"명단에 없는 코드",""))</f>
        <v/>
      </c>
      <c r="AA20">
        <f>IF(W20="","",IF(ISNUMBER(U20),ROUND(U20*EVAL_ITEMS/100,1),IF(AND(ISNUMBER(S20),ISNUMBER(T20)),IF(T20&gt;0,S20,""),"")))</f>
        <v/>
      </c>
    </row>
    <row r="21">
      <c r="A21">
        <f>IF(참가자!A21="","",UPPER(TRIM(참가자!A21)))</f>
        <v/>
      </c>
      <c r="B21">
        <f>IF(A21="","",IF(참가자!B21="","(팀 없음)",TRIM(참가자!B21)))</f>
        <v/>
      </c>
      <c r="C21">
        <f>IF(A21="","",평가A!C21)</f>
        <v/>
      </c>
      <c r="D21">
        <f>IF(A21="","",IFERROR(INDEX($AA$3:$AA$102,MATCH(A21,$W$3:$W$102,0)),""))</f>
        <v/>
      </c>
      <c r="E21">
        <f>IF(A21="","",IF(OR(NOT(ISNUMBER(D21)),J21="첫 응시(평가B)",NOT(ISNUMBER(평가A!I21))),"",ROUND(D21-평가A!I21,1)))</f>
        <v/>
      </c>
      <c r="F21">
        <f>IF(A21="","",IFERROR(INDEX($X$3:$X$102,MATCH(A21,$W$3:$W$102,0)),""))</f>
        <v/>
      </c>
      <c r="G21">
        <f>IF(A21="","",IF(F21="","결석",IF(IFERROR(INDEX($Y$3:$Y$102,MATCH(A21,$W$3:$W$102,0)),"")="비경쟁","비경쟁 응시","응시")))</f>
        <v/>
      </c>
      <c r="H21">
        <f>IF(A21="","",IF(COUNTIF($W$3:$W$102,A21)&gt;1,"중복! 확인",""))</f>
        <v/>
      </c>
      <c r="I21">
        <f>IF(A21="","",평가A!G21)</f>
        <v/>
      </c>
      <c r="J21">
        <f>IF(A21="","",평가A!H21)</f>
        <v/>
      </c>
      <c r="K21">
        <f>IF(A21="","",IF(OR(F21="",I21="",J21="첫 응시(평가B)"),"",ROUND(F21-I21,1)))</f>
        <v/>
      </c>
      <c r="L21">
        <f>IF(A21="","",IF(OR(F21="",I21="",J21="첫 응시(평가B)"),"",IF(F21&gt;=HIGH_CUT,PTS_HIGH,IF(K21&gt;=STEP2,PTS_HIGH,IF(K21&gt;=STEP1,PTS_MID,PTS_LOW)))))</f>
        <v/>
      </c>
      <c r="M21">
        <f>IF(A21="","",IF(F21="","",IF(J21="첫 응시(평가B)","보류",IF(I21="","",IF(F21&gt;=HIGH_CUT,"숙달",IF(K21&gt;=STEP2,"향상",IF(K21&gt;=STEP1,"유지","보완 필요")))))))</f>
        <v/>
      </c>
      <c r="N21">
        <f>IF(A21="","",IF(AND(G21="응시",ISNUMBER(L21)),L21,""))</f>
        <v/>
      </c>
      <c r="O21">
        <f>IF(A21="","",IF(F21="","결석 - 기록 없음",IF(J21="첫 응시(평가B)","판정 보류 - 평가A가 없어 이번 결과가 기준점수(평가C부터 판정)",IF(I21="","기준점수 없음",IF(F21&gt;=HIGH_CUT,"숙달 - 이번 정답률이 숙달 기준 이상",IF(K21&gt;=STEP2,"향상 - 기준보다 크게 오름",IF(K21&gt;=STEP1,"유지 - 기준과 비슷함","보완 필요 - 기준보다 크게 내려감"))))))&amp;IF(G21="비경쟁 응시"," / 비경쟁: 팀 점수 제외",""))</f>
        <v/>
      </c>
      <c r="R21" s="3" t="n"/>
      <c r="S21" s="3" t="n"/>
      <c r="T21" s="3" t="n"/>
      <c r="U21" s="3" t="n"/>
      <c r="W21">
        <f>IF(UPPER(TRIM(R21&amp;""))="","",IF(RIGHT(UPPER(TRIM(R21&amp;"")),2)="-N",TRIM(LEFT(UPPER(TRIM(R21&amp;"")),LEN(UPPER(TRIM(R21&amp;"")))-2)),UPPER(TRIM(R21&amp;""))))</f>
        <v/>
      </c>
      <c r="X21">
        <f>IF(W21="","",IF(ISNUMBER(U21),ROUND(U21,1),IF(AND(ISNUMBER(S21),ISNUMBER(T21)),IF(T21&gt;0,ROUND(S21/T21*100,1),""),"")))</f>
        <v/>
      </c>
      <c r="Y21">
        <f>IF(W21="","",IF(RIGHT(UPPER(TRIM(R21&amp;"")),2)="-N","비경쟁",""))</f>
        <v/>
      </c>
      <c r="Z21">
        <f>IF(W21="","",IF(COUNTIF(참가자!$A$3:$A$52,W21)=0,"명단에 없는 코드",""))</f>
        <v/>
      </c>
      <c r="AA21">
        <f>IF(W21="","",IF(ISNUMBER(U21),ROUND(U21*EVAL_ITEMS/100,1),IF(AND(ISNUMBER(S21),ISNUMBER(T21)),IF(T21&gt;0,S21,""),"")))</f>
        <v/>
      </c>
    </row>
    <row r="22">
      <c r="A22">
        <f>IF(참가자!A22="","",UPPER(TRIM(참가자!A22)))</f>
        <v/>
      </c>
      <c r="B22">
        <f>IF(A22="","",IF(참가자!B22="","(팀 없음)",TRIM(참가자!B22)))</f>
        <v/>
      </c>
      <c r="C22">
        <f>IF(A22="","",평가A!C22)</f>
        <v/>
      </c>
      <c r="D22">
        <f>IF(A22="","",IFERROR(INDEX($AA$3:$AA$102,MATCH(A22,$W$3:$W$102,0)),""))</f>
        <v/>
      </c>
      <c r="E22">
        <f>IF(A22="","",IF(OR(NOT(ISNUMBER(D22)),J22="첫 응시(평가B)",NOT(ISNUMBER(평가A!I22))),"",ROUND(D22-평가A!I22,1)))</f>
        <v/>
      </c>
      <c r="F22">
        <f>IF(A22="","",IFERROR(INDEX($X$3:$X$102,MATCH(A22,$W$3:$W$102,0)),""))</f>
        <v/>
      </c>
      <c r="G22">
        <f>IF(A22="","",IF(F22="","결석",IF(IFERROR(INDEX($Y$3:$Y$102,MATCH(A22,$W$3:$W$102,0)),"")="비경쟁","비경쟁 응시","응시")))</f>
        <v/>
      </c>
      <c r="H22">
        <f>IF(A22="","",IF(COUNTIF($W$3:$W$102,A22)&gt;1,"중복! 확인",""))</f>
        <v/>
      </c>
      <c r="I22">
        <f>IF(A22="","",평가A!G22)</f>
        <v/>
      </c>
      <c r="J22">
        <f>IF(A22="","",평가A!H22)</f>
        <v/>
      </c>
      <c r="K22">
        <f>IF(A22="","",IF(OR(F22="",I22="",J22="첫 응시(평가B)"),"",ROUND(F22-I22,1)))</f>
        <v/>
      </c>
      <c r="L22">
        <f>IF(A22="","",IF(OR(F22="",I22="",J22="첫 응시(평가B)"),"",IF(F22&gt;=HIGH_CUT,PTS_HIGH,IF(K22&gt;=STEP2,PTS_HIGH,IF(K22&gt;=STEP1,PTS_MID,PTS_LOW)))))</f>
        <v/>
      </c>
      <c r="M22">
        <f>IF(A22="","",IF(F22="","",IF(J22="첫 응시(평가B)","보류",IF(I22="","",IF(F22&gt;=HIGH_CUT,"숙달",IF(K22&gt;=STEP2,"향상",IF(K22&gt;=STEP1,"유지","보완 필요")))))))</f>
        <v/>
      </c>
      <c r="N22">
        <f>IF(A22="","",IF(AND(G22="응시",ISNUMBER(L22)),L22,""))</f>
        <v/>
      </c>
      <c r="O22">
        <f>IF(A22="","",IF(F22="","결석 - 기록 없음",IF(J22="첫 응시(평가B)","판정 보류 - 평가A가 없어 이번 결과가 기준점수(평가C부터 판정)",IF(I22="","기준점수 없음",IF(F22&gt;=HIGH_CUT,"숙달 - 이번 정답률이 숙달 기준 이상",IF(K22&gt;=STEP2,"향상 - 기준보다 크게 오름",IF(K22&gt;=STEP1,"유지 - 기준과 비슷함","보완 필요 - 기준보다 크게 내려감"))))))&amp;IF(G22="비경쟁 응시"," / 비경쟁: 팀 점수 제외",""))</f>
        <v/>
      </c>
      <c r="R22" s="3" t="n"/>
      <c r="S22" s="3" t="n"/>
      <c r="T22" s="3" t="n"/>
      <c r="U22" s="3" t="n"/>
      <c r="W22">
        <f>IF(UPPER(TRIM(R22&amp;""))="","",IF(RIGHT(UPPER(TRIM(R22&amp;"")),2)="-N",TRIM(LEFT(UPPER(TRIM(R22&amp;"")),LEN(UPPER(TRIM(R22&amp;"")))-2)),UPPER(TRIM(R22&amp;""))))</f>
        <v/>
      </c>
      <c r="X22">
        <f>IF(W22="","",IF(ISNUMBER(U22),ROUND(U22,1),IF(AND(ISNUMBER(S22),ISNUMBER(T22)),IF(T22&gt;0,ROUND(S22/T22*100,1),""),"")))</f>
        <v/>
      </c>
      <c r="Y22">
        <f>IF(W22="","",IF(RIGHT(UPPER(TRIM(R22&amp;"")),2)="-N","비경쟁",""))</f>
        <v/>
      </c>
      <c r="Z22">
        <f>IF(W22="","",IF(COUNTIF(참가자!$A$3:$A$52,W22)=0,"명단에 없는 코드",""))</f>
        <v/>
      </c>
      <c r="AA22">
        <f>IF(W22="","",IF(ISNUMBER(U22),ROUND(U22*EVAL_ITEMS/100,1),IF(AND(ISNUMBER(S22),ISNUMBER(T22)),IF(T22&gt;0,S22,""),"")))</f>
        <v/>
      </c>
    </row>
    <row r="23">
      <c r="A23">
        <f>IF(참가자!A23="","",UPPER(TRIM(참가자!A23)))</f>
        <v/>
      </c>
      <c r="B23">
        <f>IF(A23="","",IF(참가자!B23="","(팀 없음)",TRIM(참가자!B23)))</f>
        <v/>
      </c>
      <c r="C23">
        <f>IF(A23="","",평가A!C23)</f>
        <v/>
      </c>
      <c r="D23">
        <f>IF(A23="","",IFERROR(INDEX($AA$3:$AA$102,MATCH(A23,$W$3:$W$102,0)),""))</f>
        <v/>
      </c>
      <c r="E23">
        <f>IF(A23="","",IF(OR(NOT(ISNUMBER(D23)),J23="첫 응시(평가B)",NOT(ISNUMBER(평가A!I23))),"",ROUND(D23-평가A!I23,1)))</f>
        <v/>
      </c>
      <c r="F23">
        <f>IF(A23="","",IFERROR(INDEX($X$3:$X$102,MATCH(A23,$W$3:$W$102,0)),""))</f>
        <v/>
      </c>
      <c r="G23">
        <f>IF(A23="","",IF(F23="","결석",IF(IFERROR(INDEX($Y$3:$Y$102,MATCH(A23,$W$3:$W$102,0)),"")="비경쟁","비경쟁 응시","응시")))</f>
        <v/>
      </c>
      <c r="H23">
        <f>IF(A23="","",IF(COUNTIF($W$3:$W$102,A23)&gt;1,"중복! 확인",""))</f>
        <v/>
      </c>
      <c r="I23">
        <f>IF(A23="","",평가A!G23)</f>
        <v/>
      </c>
      <c r="J23">
        <f>IF(A23="","",평가A!H23)</f>
        <v/>
      </c>
      <c r="K23">
        <f>IF(A23="","",IF(OR(F23="",I23="",J23="첫 응시(평가B)"),"",ROUND(F23-I23,1)))</f>
        <v/>
      </c>
      <c r="L23">
        <f>IF(A23="","",IF(OR(F23="",I23="",J23="첫 응시(평가B)"),"",IF(F23&gt;=HIGH_CUT,PTS_HIGH,IF(K23&gt;=STEP2,PTS_HIGH,IF(K23&gt;=STEP1,PTS_MID,PTS_LOW)))))</f>
        <v/>
      </c>
      <c r="M23">
        <f>IF(A23="","",IF(F23="","",IF(J23="첫 응시(평가B)","보류",IF(I23="","",IF(F23&gt;=HIGH_CUT,"숙달",IF(K23&gt;=STEP2,"향상",IF(K23&gt;=STEP1,"유지","보완 필요")))))))</f>
        <v/>
      </c>
      <c r="N23">
        <f>IF(A23="","",IF(AND(G23="응시",ISNUMBER(L23)),L23,""))</f>
        <v/>
      </c>
      <c r="O23">
        <f>IF(A23="","",IF(F23="","결석 - 기록 없음",IF(J23="첫 응시(평가B)","판정 보류 - 평가A가 없어 이번 결과가 기준점수(평가C부터 판정)",IF(I23="","기준점수 없음",IF(F23&gt;=HIGH_CUT,"숙달 - 이번 정답률이 숙달 기준 이상",IF(K23&gt;=STEP2,"향상 - 기준보다 크게 오름",IF(K23&gt;=STEP1,"유지 - 기준과 비슷함","보완 필요 - 기준보다 크게 내려감"))))))&amp;IF(G23="비경쟁 응시"," / 비경쟁: 팀 점수 제외",""))</f>
        <v/>
      </c>
      <c r="R23" s="3" t="n"/>
      <c r="S23" s="3" t="n"/>
      <c r="T23" s="3" t="n"/>
      <c r="U23" s="3" t="n"/>
      <c r="W23">
        <f>IF(UPPER(TRIM(R23&amp;""))="","",IF(RIGHT(UPPER(TRIM(R23&amp;"")),2)="-N",TRIM(LEFT(UPPER(TRIM(R23&amp;"")),LEN(UPPER(TRIM(R23&amp;"")))-2)),UPPER(TRIM(R23&amp;""))))</f>
        <v/>
      </c>
      <c r="X23">
        <f>IF(W23="","",IF(ISNUMBER(U23),ROUND(U23,1),IF(AND(ISNUMBER(S23),ISNUMBER(T23)),IF(T23&gt;0,ROUND(S23/T23*100,1),""),"")))</f>
        <v/>
      </c>
      <c r="Y23">
        <f>IF(W23="","",IF(RIGHT(UPPER(TRIM(R23&amp;"")),2)="-N","비경쟁",""))</f>
        <v/>
      </c>
      <c r="Z23">
        <f>IF(W23="","",IF(COUNTIF(참가자!$A$3:$A$52,W23)=0,"명단에 없는 코드",""))</f>
        <v/>
      </c>
      <c r="AA23">
        <f>IF(W23="","",IF(ISNUMBER(U23),ROUND(U23*EVAL_ITEMS/100,1),IF(AND(ISNUMBER(S23),ISNUMBER(T23)),IF(T23&gt;0,S23,""),"")))</f>
        <v/>
      </c>
    </row>
    <row r="24">
      <c r="A24">
        <f>IF(참가자!A24="","",UPPER(TRIM(참가자!A24)))</f>
        <v/>
      </c>
      <c r="B24">
        <f>IF(A24="","",IF(참가자!B24="","(팀 없음)",TRIM(참가자!B24)))</f>
        <v/>
      </c>
      <c r="C24">
        <f>IF(A24="","",평가A!C24)</f>
        <v/>
      </c>
      <c r="D24">
        <f>IF(A24="","",IFERROR(INDEX($AA$3:$AA$102,MATCH(A24,$W$3:$W$102,0)),""))</f>
        <v/>
      </c>
      <c r="E24">
        <f>IF(A24="","",IF(OR(NOT(ISNUMBER(D24)),J24="첫 응시(평가B)",NOT(ISNUMBER(평가A!I24))),"",ROUND(D24-평가A!I24,1)))</f>
        <v/>
      </c>
      <c r="F24">
        <f>IF(A24="","",IFERROR(INDEX($X$3:$X$102,MATCH(A24,$W$3:$W$102,0)),""))</f>
        <v/>
      </c>
      <c r="G24">
        <f>IF(A24="","",IF(F24="","결석",IF(IFERROR(INDEX($Y$3:$Y$102,MATCH(A24,$W$3:$W$102,0)),"")="비경쟁","비경쟁 응시","응시")))</f>
        <v/>
      </c>
      <c r="H24">
        <f>IF(A24="","",IF(COUNTIF($W$3:$W$102,A24)&gt;1,"중복! 확인",""))</f>
        <v/>
      </c>
      <c r="I24">
        <f>IF(A24="","",평가A!G24)</f>
        <v/>
      </c>
      <c r="J24">
        <f>IF(A24="","",평가A!H24)</f>
        <v/>
      </c>
      <c r="K24">
        <f>IF(A24="","",IF(OR(F24="",I24="",J24="첫 응시(평가B)"),"",ROUND(F24-I24,1)))</f>
        <v/>
      </c>
      <c r="L24">
        <f>IF(A24="","",IF(OR(F24="",I24="",J24="첫 응시(평가B)"),"",IF(F24&gt;=HIGH_CUT,PTS_HIGH,IF(K24&gt;=STEP2,PTS_HIGH,IF(K24&gt;=STEP1,PTS_MID,PTS_LOW)))))</f>
        <v/>
      </c>
      <c r="M24">
        <f>IF(A24="","",IF(F24="","",IF(J24="첫 응시(평가B)","보류",IF(I24="","",IF(F24&gt;=HIGH_CUT,"숙달",IF(K24&gt;=STEP2,"향상",IF(K24&gt;=STEP1,"유지","보완 필요")))))))</f>
        <v/>
      </c>
      <c r="N24">
        <f>IF(A24="","",IF(AND(G24="응시",ISNUMBER(L24)),L24,""))</f>
        <v/>
      </c>
      <c r="O24">
        <f>IF(A24="","",IF(F24="","결석 - 기록 없음",IF(J24="첫 응시(평가B)","판정 보류 - 평가A가 없어 이번 결과가 기준점수(평가C부터 판정)",IF(I24="","기준점수 없음",IF(F24&gt;=HIGH_CUT,"숙달 - 이번 정답률이 숙달 기준 이상",IF(K24&gt;=STEP2,"향상 - 기준보다 크게 오름",IF(K24&gt;=STEP1,"유지 - 기준과 비슷함","보완 필요 - 기준보다 크게 내려감"))))))&amp;IF(G24="비경쟁 응시"," / 비경쟁: 팀 점수 제외",""))</f>
        <v/>
      </c>
      <c r="R24" s="3" t="n"/>
      <c r="S24" s="3" t="n"/>
      <c r="T24" s="3" t="n"/>
      <c r="U24" s="3" t="n"/>
      <c r="W24">
        <f>IF(UPPER(TRIM(R24&amp;""))="","",IF(RIGHT(UPPER(TRIM(R24&amp;"")),2)="-N",TRIM(LEFT(UPPER(TRIM(R24&amp;"")),LEN(UPPER(TRIM(R24&amp;"")))-2)),UPPER(TRIM(R24&amp;""))))</f>
        <v/>
      </c>
      <c r="X24">
        <f>IF(W24="","",IF(ISNUMBER(U24),ROUND(U24,1),IF(AND(ISNUMBER(S24),ISNUMBER(T24)),IF(T24&gt;0,ROUND(S24/T24*100,1),""),"")))</f>
        <v/>
      </c>
      <c r="Y24">
        <f>IF(W24="","",IF(RIGHT(UPPER(TRIM(R24&amp;"")),2)="-N","비경쟁",""))</f>
        <v/>
      </c>
      <c r="Z24">
        <f>IF(W24="","",IF(COUNTIF(참가자!$A$3:$A$52,W24)=0,"명단에 없는 코드",""))</f>
        <v/>
      </c>
      <c r="AA24">
        <f>IF(W24="","",IF(ISNUMBER(U24),ROUND(U24*EVAL_ITEMS/100,1),IF(AND(ISNUMBER(S24),ISNUMBER(T24)),IF(T24&gt;0,S24,""),"")))</f>
        <v/>
      </c>
    </row>
    <row r="25">
      <c r="A25">
        <f>IF(참가자!A25="","",UPPER(TRIM(참가자!A25)))</f>
        <v/>
      </c>
      <c r="B25">
        <f>IF(A25="","",IF(참가자!B25="","(팀 없음)",TRIM(참가자!B25)))</f>
        <v/>
      </c>
      <c r="C25">
        <f>IF(A25="","",평가A!C25)</f>
        <v/>
      </c>
      <c r="D25">
        <f>IF(A25="","",IFERROR(INDEX($AA$3:$AA$102,MATCH(A25,$W$3:$W$102,0)),""))</f>
        <v/>
      </c>
      <c r="E25">
        <f>IF(A25="","",IF(OR(NOT(ISNUMBER(D25)),J25="첫 응시(평가B)",NOT(ISNUMBER(평가A!I25))),"",ROUND(D25-평가A!I25,1)))</f>
        <v/>
      </c>
      <c r="F25">
        <f>IF(A25="","",IFERROR(INDEX($X$3:$X$102,MATCH(A25,$W$3:$W$102,0)),""))</f>
        <v/>
      </c>
      <c r="G25">
        <f>IF(A25="","",IF(F25="","결석",IF(IFERROR(INDEX($Y$3:$Y$102,MATCH(A25,$W$3:$W$102,0)),"")="비경쟁","비경쟁 응시","응시")))</f>
        <v/>
      </c>
      <c r="H25">
        <f>IF(A25="","",IF(COUNTIF($W$3:$W$102,A25)&gt;1,"중복! 확인",""))</f>
        <v/>
      </c>
      <c r="I25">
        <f>IF(A25="","",평가A!G25)</f>
        <v/>
      </c>
      <c r="J25">
        <f>IF(A25="","",평가A!H25)</f>
        <v/>
      </c>
      <c r="K25">
        <f>IF(A25="","",IF(OR(F25="",I25="",J25="첫 응시(평가B)"),"",ROUND(F25-I25,1)))</f>
        <v/>
      </c>
      <c r="L25">
        <f>IF(A25="","",IF(OR(F25="",I25="",J25="첫 응시(평가B)"),"",IF(F25&gt;=HIGH_CUT,PTS_HIGH,IF(K25&gt;=STEP2,PTS_HIGH,IF(K25&gt;=STEP1,PTS_MID,PTS_LOW)))))</f>
        <v/>
      </c>
      <c r="M25">
        <f>IF(A25="","",IF(F25="","",IF(J25="첫 응시(평가B)","보류",IF(I25="","",IF(F25&gt;=HIGH_CUT,"숙달",IF(K25&gt;=STEP2,"향상",IF(K25&gt;=STEP1,"유지","보완 필요")))))))</f>
        <v/>
      </c>
      <c r="N25">
        <f>IF(A25="","",IF(AND(G25="응시",ISNUMBER(L25)),L25,""))</f>
        <v/>
      </c>
      <c r="O25">
        <f>IF(A25="","",IF(F25="","결석 - 기록 없음",IF(J25="첫 응시(평가B)","판정 보류 - 평가A가 없어 이번 결과가 기준점수(평가C부터 판정)",IF(I25="","기준점수 없음",IF(F25&gt;=HIGH_CUT,"숙달 - 이번 정답률이 숙달 기준 이상",IF(K25&gt;=STEP2,"향상 - 기준보다 크게 오름",IF(K25&gt;=STEP1,"유지 - 기준과 비슷함","보완 필요 - 기준보다 크게 내려감"))))))&amp;IF(G25="비경쟁 응시"," / 비경쟁: 팀 점수 제외",""))</f>
        <v/>
      </c>
      <c r="R25" s="3" t="n"/>
      <c r="S25" s="3" t="n"/>
      <c r="T25" s="3" t="n"/>
      <c r="U25" s="3" t="n"/>
      <c r="W25">
        <f>IF(UPPER(TRIM(R25&amp;""))="","",IF(RIGHT(UPPER(TRIM(R25&amp;"")),2)="-N",TRIM(LEFT(UPPER(TRIM(R25&amp;"")),LEN(UPPER(TRIM(R25&amp;"")))-2)),UPPER(TRIM(R25&amp;""))))</f>
        <v/>
      </c>
      <c r="X25">
        <f>IF(W25="","",IF(ISNUMBER(U25),ROUND(U25,1),IF(AND(ISNUMBER(S25),ISNUMBER(T25)),IF(T25&gt;0,ROUND(S25/T25*100,1),""),"")))</f>
        <v/>
      </c>
      <c r="Y25">
        <f>IF(W25="","",IF(RIGHT(UPPER(TRIM(R25&amp;"")),2)="-N","비경쟁",""))</f>
        <v/>
      </c>
      <c r="Z25">
        <f>IF(W25="","",IF(COUNTIF(참가자!$A$3:$A$52,W25)=0,"명단에 없는 코드",""))</f>
        <v/>
      </c>
      <c r="AA25">
        <f>IF(W25="","",IF(ISNUMBER(U25),ROUND(U25*EVAL_ITEMS/100,1),IF(AND(ISNUMBER(S25),ISNUMBER(T25)),IF(T25&gt;0,S25,""),"")))</f>
        <v/>
      </c>
    </row>
    <row r="26">
      <c r="A26">
        <f>IF(참가자!A26="","",UPPER(TRIM(참가자!A26)))</f>
        <v/>
      </c>
      <c r="B26">
        <f>IF(A26="","",IF(참가자!B26="","(팀 없음)",TRIM(참가자!B26)))</f>
        <v/>
      </c>
      <c r="C26">
        <f>IF(A26="","",평가A!C26)</f>
        <v/>
      </c>
      <c r="D26">
        <f>IF(A26="","",IFERROR(INDEX($AA$3:$AA$102,MATCH(A26,$W$3:$W$102,0)),""))</f>
        <v/>
      </c>
      <c r="E26">
        <f>IF(A26="","",IF(OR(NOT(ISNUMBER(D26)),J26="첫 응시(평가B)",NOT(ISNUMBER(평가A!I26))),"",ROUND(D26-평가A!I26,1)))</f>
        <v/>
      </c>
      <c r="F26">
        <f>IF(A26="","",IFERROR(INDEX($X$3:$X$102,MATCH(A26,$W$3:$W$102,0)),""))</f>
        <v/>
      </c>
      <c r="G26">
        <f>IF(A26="","",IF(F26="","결석",IF(IFERROR(INDEX($Y$3:$Y$102,MATCH(A26,$W$3:$W$102,0)),"")="비경쟁","비경쟁 응시","응시")))</f>
        <v/>
      </c>
      <c r="H26">
        <f>IF(A26="","",IF(COUNTIF($W$3:$W$102,A26)&gt;1,"중복! 확인",""))</f>
        <v/>
      </c>
      <c r="I26">
        <f>IF(A26="","",평가A!G26)</f>
        <v/>
      </c>
      <c r="J26">
        <f>IF(A26="","",평가A!H26)</f>
        <v/>
      </c>
      <c r="K26">
        <f>IF(A26="","",IF(OR(F26="",I26="",J26="첫 응시(평가B)"),"",ROUND(F26-I26,1)))</f>
        <v/>
      </c>
      <c r="L26">
        <f>IF(A26="","",IF(OR(F26="",I26="",J26="첫 응시(평가B)"),"",IF(F26&gt;=HIGH_CUT,PTS_HIGH,IF(K26&gt;=STEP2,PTS_HIGH,IF(K26&gt;=STEP1,PTS_MID,PTS_LOW)))))</f>
        <v/>
      </c>
      <c r="M26">
        <f>IF(A26="","",IF(F26="","",IF(J26="첫 응시(평가B)","보류",IF(I26="","",IF(F26&gt;=HIGH_CUT,"숙달",IF(K26&gt;=STEP2,"향상",IF(K26&gt;=STEP1,"유지","보완 필요")))))))</f>
        <v/>
      </c>
      <c r="N26">
        <f>IF(A26="","",IF(AND(G26="응시",ISNUMBER(L26)),L26,""))</f>
        <v/>
      </c>
      <c r="O26">
        <f>IF(A26="","",IF(F26="","결석 - 기록 없음",IF(J26="첫 응시(평가B)","판정 보류 - 평가A가 없어 이번 결과가 기준점수(평가C부터 판정)",IF(I26="","기준점수 없음",IF(F26&gt;=HIGH_CUT,"숙달 - 이번 정답률이 숙달 기준 이상",IF(K26&gt;=STEP2,"향상 - 기준보다 크게 오름",IF(K26&gt;=STEP1,"유지 - 기준과 비슷함","보완 필요 - 기준보다 크게 내려감"))))))&amp;IF(G26="비경쟁 응시"," / 비경쟁: 팀 점수 제외",""))</f>
        <v/>
      </c>
      <c r="R26" s="3" t="n"/>
      <c r="S26" s="3" t="n"/>
      <c r="T26" s="3" t="n"/>
      <c r="U26" s="3" t="n"/>
      <c r="W26">
        <f>IF(UPPER(TRIM(R26&amp;""))="","",IF(RIGHT(UPPER(TRIM(R26&amp;"")),2)="-N",TRIM(LEFT(UPPER(TRIM(R26&amp;"")),LEN(UPPER(TRIM(R26&amp;"")))-2)),UPPER(TRIM(R26&amp;""))))</f>
        <v/>
      </c>
      <c r="X26">
        <f>IF(W26="","",IF(ISNUMBER(U26),ROUND(U26,1),IF(AND(ISNUMBER(S26),ISNUMBER(T26)),IF(T26&gt;0,ROUND(S26/T26*100,1),""),"")))</f>
        <v/>
      </c>
      <c r="Y26">
        <f>IF(W26="","",IF(RIGHT(UPPER(TRIM(R26&amp;"")),2)="-N","비경쟁",""))</f>
        <v/>
      </c>
      <c r="Z26">
        <f>IF(W26="","",IF(COUNTIF(참가자!$A$3:$A$52,W26)=0,"명단에 없는 코드",""))</f>
        <v/>
      </c>
      <c r="AA26">
        <f>IF(W26="","",IF(ISNUMBER(U26),ROUND(U26*EVAL_ITEMS/100,1),IF(AND(ISNUMBER(S26),ISNUMBER(T26)),IF(T26&gt;0,S26,""),"")))</f>
        <v/>
      </c>
    </row>
    <row r="27">
      <c r="A27">
        <f>IF(참가자!A27="","",UPPER(TRIM(참가자!A27)))</f>
        <v/>
      </c>
      <c r="B27">
        <f>IF(A27="","",IF(참가자!B27="","(팀 없음)",TRIM(참가자!B27)))</f>
        <v/>
      </c>
      <c r="C27">
        <f>IF(A27="","",평가A!C27)</f>
        <v/>
      </c>
      <c r="D27">
        <f>IF(A27="","",IFERROR(INDEX($AA$3:$AA$102,MATCH(A27,$W$3:$W$102,0)),""))</f>
        <v/>
      </c>
      <c r="E27">
        <f>IF(A27="","",IF(OR(NOT(ISNUMBER(D27)),J27="첫 응시(평가B)",NOT(ISNUMBER(평가A!I27))),"",ROUND(D27-평가A!I27,1)))</f>
        <v/>
      </c>
      <c r="F27">
        <f>IF(A27="","",IFERROR(INDEX($X$3:$X$102,MATCH(A27,$W$3:$W$102,0)),""))</f>
        <v/>
      </c>
      <c r="G27">
        <f>IF(A27="","",IF(F27="","결석",IF(IFERROR(INDEX($Y$3:$Y$102,MATCH(A27,$W$3:$W$102,0)),"")="비경쟁","비경쟁 응시","응시")))</f>
        <v/>
      </c>
      <c r="H27">
        <f>IF(A27="","",IF(COUNTIF($W$3:$W$102,A27)&gt;1,"중복! 확인",""))</f>
        <v/>
      </c>
      <c r="I27">
        <f>IF(A27="","",평가A!G27)</f>
        <v/>
      </c>
      <c r="J27">
        <f>IF(A27="","",평가A!H27)</f>
        <v/>
      </c>
      <c r="K27">
        <f>IF(A27="","",IF(OR(F27="",I27="",J27="첫 응시(평가B)"),"",ROUND(F27-I27,1)))</f>
        <v/>
      </c>
      <c r="L27">
        <f>IF(A27="","",IF(OR(F27="",I27="",J27="첫 응시(평가B)"),"",IF(F27&gt;=HIGH_CUT,PTS_HIGH,IF(K27&gt;=STEP2,PTS_HIGH,IF(K27&gt;=STEP1,PTS_MID,PTS_LOW)))))</f>
        <v/>
      </c>
      <c r="M27">
        <f>IF(A27="","",IF(F27="","",IF(J27="첫 응시(평가B)","보류",IF(I27="","",IF(F27&gt;=HIGH_CUT,"숙달",IF(K27&gt;=STEP2,"향상",IF(K27&gt;=STEP1,"유지","보완 필요")))))))</f>
        <v/>
      </c>
      <c r="N27">
        <f>IF(A27="","",IF(AND(G27="응시",ISNUMBER(L27)),L27,""))</f>
        <v/>
      </c>
      <c r="O27">
        <f>IF(A27="","",IF(F27="","결석 - 기록 없음",IF(J27="첫 응시(평가B)","판정 보류 - 평가A가 없어 이번 결과가 기준점수(평가C부터 판정)",IF(I27="","기준점수 없음",IF(F27&gt;=HIGH_CUT,"숙달 - 이번 정답률이 숙달 기준 이상",IF(K27&gt;=STEP2,"향상 - 기준보다 크게 오름",IF(K27&gt;=STEP1,"유지 - 기준과 비슷함","보완 필요 - 기준보다 크게 내려감"))))))&amp;IF(G27="비경쟁 응시"," / 비경쟁: 팀 점수 제외",""))</f>
        <v/>
      </c>
      <c r="R27" s="3" t="n"/>
      <c r="S27" s="3" t="n"/>
      <c r="T27" s="3" t="n"/>
      <c r="U27" s="3" t="n"/>
      <c r="W27">
        <f>IF(UPPER(TRIM(R27&amp;""))="","",IF(RIGHT(UPPER(TRIM(R27&amp;"")),2)="-N",TRIM(LEFT(UPPER(TRIM(R27&amp;"")),LEN(UPPER(TRIM(R27&amp;"")))-2)),UPPER(TRIM(R27&amp;""))))</f>
        <v/>
      </c>
      <c r="X27">
        <f>IF(W27="","",IF(ISNUMBER(U27),ROUND(U27,1),IF(AND(ISNUMBER(S27),ISNUMBER(T27)),IF(T27&gt;0,ROUND(S27/T27*100,1),""),"")))</f>
        <v/>
      </c>
      <c r="Y27">
        <f>IF(W27="","",IF(RIGHT(UPPER(TRIM(R27&amp;"")),2)="-N","비경쟁",""))</f>
        <v/>
      </c>
      <c r="Z27">
        <f>IF(W27="","",IF(COUNTIF(참가자!$A$3:$A$52,W27)=0,"명단에 없는 코드",""))</f>
        <v/>
      </c>
      <c r="AA27">
        <f>IF(W27="","",IF(ISNUMBER(U27),ROUND(U27*EVAL_ITEMS/100,1),IF(AND(ISNUMBER(S27),ISNUMBER(T27)),IF(T27&gt;0,S27,""),"")))</f>
        <v/>
      </c>
    </row>
    <row r="28">
      <c r="A28">
        <f>IF(참가자!A28="","",UPPER(TRIM(참가자!A28)))</f>
        <v/>
      </c>
      <c r="B28">
        <f>IF(A28="","",IF(참가자!B28="","(팀 없음)",TRIM(참가자!B28)))</f>
        <v/>
      </c>
      <c r="C28">
        <f>IF(A28="","",평가A!C28)</f>
        <v/>
      </c>
      <c r="D28">
        <f>IF(A28="","",IFERROR(INDEX($AA$3:$AA$102,MATCH(A28,$W$3:$W$102,0)),""))</f>
        <v/>
      </c>
      <c r="E28">
        <f>IF(A28="","",IF(OR(NOT(ISNUMBER(D28)),J28="첫 응시(평가B)",NOT(ISNUMBER(평가A!I28))),"",ROUND(D28-평가A!I28,1)))</f>
        <v/>
      </c>
      <c r="F28">
        <f>IF(A28="","",IFERROR(INDEX($X$3:$X$102,MATCH(A28,$W$3:$W$102,0)),""))</f>
        <v/>
      </c>
      <c r="G28">
        <f>IF(A28="","",IF(F28="","결석",IF(IFERROR(INDEX($Y$3:$Y$102,MATCH(A28,$W$3:$W$102,0)),"")="비경쟁","비경쟁 응시","응시")))</f>
        <v/>
      </c>
      <c r="H28">
        <f>IF(A28="","",IF(COUNTIF($W$3:$W$102,A28)&gt;1,"중복! 확인",""))</f>
        <v/>
      </c>
      <c r="I28">
        <f>IF(A28="","",평가A!G28)</f>
        <v/>
      </c>
      <c r="J28">
        <f>IF(A28="","",평가A!H28)</f>
        <v/>
      </c>
      <c r="K28">
        <f>IF(A28="","",IF(OR(F28="",I28="",J28="첫 응시(평가B)"),"",ROUND(F28-I28,1)))</f>
        <v/>
      </c>
      <c r="L28">
        <f>IF(A28="","",IF(OR(F28="",I28="",J28="첫 응시(평가B)"),"",IF(F28&gt;=HIGH_CUT,PTS_HIGH,IF(K28&gt;=STEP2,PTS_HIGH,IF(K28&gt;=STEP1,PTS_MID,PTS_LOW)))))</f>
        <v/>
      </c>
      <c r="M28">
        <f>IF(A28="","",IF(F28="","",IF(J28="첫 응시(평가B)","보류",IF(I28="","",IF(F28&gt;=HIGH_CUT,"숙달",IF(K28&gt;=STEP2,"향상",IF(K28&gt;=STEP1,"유지","보완 필요")))))))</f>
        <v/>
      </c>
      <c r="N28">
        <f>IF(A28="","",IF(AND(G28="응시",ISNUMBER(L28)),L28,""))</f>
        <v/>
      </c>
      <c r="O28">
        <f>IF(A28="","",IF(F28="","결석 - 기록 없음",IF(J28="첫 응시(평가B)","판정 보류 - 평가A가 없어 이번 결과가 기준점수(평가C부터 판정)",IF(I28="","기준점수 없음",IF(F28&gt;=HIGH_CUT,"숙달 - 이번 정답률이 숙달 기준 이상",IF(K28&gt;=STEP2,"향상 - 기준보다 크게 오름",IF(K28&gt;=STEP1,"유지 - 기준과 비슷함","보완 필요 - 기준보다 크게 내려감"))))))&amp;IF(G28="비경쟁 응시"," / 비경쟁: 팀 점수 제외",""))</f>
        <v/>
      </c>
      <c r="R28" s="3" t="n"/>
      <c r="S28" s="3" t="n"/>
      <c r="T28" s="3" t="n"/>
      <c r="U28" s="3" t="n"/>
      <c r="W28">
        <f>IF(UPPER(TRIM(R28&amp;""))="","",IF(RIGHT(UPPER(TRIM(R28&amp;"")),2)="-N",TRIM(LEFT(UPPER(TRIM(R28&amp;"")),LEN(UPPER(TRIM(R28&amp;"")))-2)),UPPER(TRIM(R28&amp;""))))</f>
        <v/>
      </c>
      <c r="X28">
        <f>IF(W28="","",IF(ISNUMBER(U28),ROUND(U28,1),IF(AND(ISNUMBER(S28),ISNUMBER(T28)),IF(T28&gt;0,ROUND(S28/T28*100,1),""),"")))</f>
        <v/>
      </c>
      <c r="Y28">
        <f>IF(W28="","",IF(RIGHT(UPPER(TRIM(R28&amp;"")),2)="-N","비경쟁",""))</f>
        <v/>
      </c>
      <c r="Z28">
        <f>IF(W28="","",IF(COUNTIF(참가자!$A$3:$A$52,W28)=0,"명단에 없는 코드",""))</f>
        <v/>
      </c>
      <c r="AA28">
        <f>IF(W28="","",IF(ISNUMBER(U28),ROUND(U28*EVAL_ITEMS/100,1),IF(AND(ISNUMBER(S28),ISNUMBER(T28)),IF(T28&gt;0,S28,""),"")))</f>
        <v/>
      </c>
    </row>
    <row r="29">
      <c r="A29">
        <f>IF(참가자!A29="","",UPPER(TRIM(참가자!A29)))</f>
        <v/>
      </c>
      <c r="B29">
        <f>IF(A29="","",IF(참가자!B29="","(팀 없음)",TRIM(참가자!B29)))</f>
        <v/>
      </c>
      <c r="C29">
        <f>IF(A29="","",평가A!C29)</f>
        <v/>
      </c>
      <c r="D29">
        <f>IF(A29="","",IFERROR(INDEX($AA$3:$AA$102,MATCH(A29,$W$3:$W$102,0)),""))</f>
        <v/>
      </c>
      <c r="E29">
        <f>IF(A29="","",IF(OR(NOT(ISNUMBER(D29)),J29="첫 응시(평가B)",NOT(ISNUMBER(평가A!I29))),"",ROUND(D29-평가A!I29,1)))</f>
        <v/>
      </c>
      <c r="F29">
        <f>IF(A29="","",IFERROR(INDEX($X$3:$X$102,MATCH(A29,$W$3:$W$102,0)),""))</f>
        <v/>
      </c>
      <c r="G29">
        <f>IF(A29="","",IF(F29="","결석",IF(IFERROR(INDEX($Y$3:$Y$102,MATCH(A29,$W$3:$W$102,0)),"")="비경쟁","비경쟁 응시","응시")))</f>
        <v/>
      </c>
      <c r="H29">
        <f>IF(A29="","",IF(COUNTIF($W$3:$W$102,A29)&gt;1,"중복! 확인",""))</f>
        <v/>
      </c>
      <c r="I29">
        <f>IF(A29="","",평가A!G29)</f>
        <v/>
      </c>
      <c r="J29">
        <f>IF(A29="","",평가A!H29)</f>
        <v/>
      </c>
      <c r="K29">
        <f>IF(A29="","",IF(OR(F29="",I29="",J29="첫 응시(평가B)"),"",ROUND(F29-I29,1)))</f>
        <v/>
      </c>
      <c r="L29">
        <f>IF(A29="","",IF(OR(F29="",I29="",J29="첫 응시(평가B)"),"",IF(F29&gt;=HIGH_CUT,PTS_HIGH,IF(K29&gt;=STEP2,PTS_HIGH,IF(K29&gt;=STEP1,PTS_MID,PTS_LOW)))))</f>
        <v/>
      </c>
      <c r="M29">
        <f>IF(A29="","",IF(F29="","",IF(J29="첫 응시(평가B)","보류",IF(I29="","",IF(F29&gt;=HIGH_CUT,"숙달",IF(K29&gt;=STEP2,"향상",IF(K29&gt;=STEP1,"유지","보완 필요")))))))</f>
        <v/>
      </c>
      <c r="N29">
        <f>IF(A29="","",IF(AND(G29="응시",ISNUMBER(L29)),L29,""))</f>
        <v/>
      </c>
      <c r="O29">
        <f>IF(A29="","",IF(F29="","결석 - 기록 없음",IF(J29="첫 응시(평가B)","판정 보류 - 평가A가 없어 이번 결과가 기준점수(평가C부터 판정)",IF(I29="","기준점수 없음",IF(F29&gt;=HIGH_CUT,"숙달 - 이번 정답률이 숙달 기준 이상",IF(K29&gt;=STEP2,"향상 - 기준보다 크게 오름",IF(K29&gt;=STEP1,"유지 - 기준과 비슷함","보완 필요 - 기준보다 크게 내려감"))))))&amp;IF(G29="비경쟁 응시"," / 비경쟁: 팀 점수 제외",""))</f>
        <v/>
      </c>
      <c r="R29" s="3" t="n"/>
      <c r="S29" s="3" t="n"/>
      <c r="T29" s="3" t="n"/>
      <c r="U29" s="3" t="n"/>
      <c r="W29">
        <f>IF(UPPER(TRIM(R29&amp;""))="","",IF(RIGHT(UPPER(TRIM(R29&amp;"")),2)="-N",TRIM(LEFT(UPPER(TRIM(R29&amp;"")),LEN(UPPER(TRIM(R29&amp;"")))-2)),UPPER(TRIM(R29&amp;""))))</f>
        <v/>
      </c>
      <c r="X29">
        <f>IF(W29="","",IF(ISNUMBER(U29),ROUND(U29,1),IF(AND(ISNUMBER(S29),ISNUMBER(T29)),IF(T29&gt;0,ROUND(S29/T29*100,1),""),"")))</f>
        <v/>
      </c>
      <c r="Y29">
        <f>IF(W29="","",IF(RIGHT(UPPER(TRIM(R29&amp;"")),2)="-N","비경쟁",""))</f>
        <v/>
      </c>
      <c r="Z29">
        <f>IF(W29="","",IF(COUNTIF(참가자!$A$3:$A$52,W29)=0,"명단에 없는 코드",""))</f>
        <v/>
      </c>
      <c r="AA29">
        <f>IF(W29="","",IF(ISNUMBER(U29),ROUND(U29*EVAL_ITEMS/100,1),IF(AND(ISNUMBER(S29),ISNUMBER(T29)),IF(T29&gt;0,S29,""),"")))</f>
        <v/>
      </c>
    </row>
    <row r="30">
      <c r="A30">
        <f>IF(참가자!A30="","",UPPER(TRIM(참가자!A30)))</f>
        <v/>
      </c>
      <c r="B30">
        <f>IF(A30="","",IF(참가자!B30="","(팀 없음)",TRIM(참가자!B30)))</f>
        <v/>
      </c>
      <c r="C30">
        <f>IF(A30="","",평가A!C30)</f>
        <v/>
      </c>
      <c r="D30">
        <f>IF(A30="","",IFERROR(INDEX($AA$3:$AA$102,MATCH(A30,$W$3:$W$102,0)),""))</f>
        <v/>
      </c>
      <c r="E30">
        <f>IF(A30="","",IF(OR(NOT(ISNUMBER(D30)),J30="첫 응시(평가B)",NOT(ISNUMBER(평가A!I30))),"",ROUND(D30-평가A!I30,1)))</f>
        <v/>
      </c>
      <c r="F30">
        <f>IF(A30="","",IFERROR(INDEX($X$3:$X$102,MATCH(A30,$W$3:$W$102,0)),""))</f>
        <v/>
      </c>
      <c r="G30">
        <f>IF(A30="","",IF(F30="","결석",IF(IFERROR(INDEX($Y$3:$Y$102,MATCH(A30,$W$3:$W$102,0)),"")="비경쟁","비경쟁 응시","응시")))</f>
        <v/>
      </c>
      <c r="H30">
        <f>IF(A30="","",IF(COUNTIF($W$3:$W$102,A30)&gt;1,"중복! 확인",""))</f>
        <v/>
      </c>
      <c r="I30">
        <f>IF(A30="","",평가A!G30)</f>
        <v/>
      </c>
      <c r="J30">
        <f>IF(A30="","",평가A!H30)</f>
        <v/>
      </c>
      <c r="K30">
        <f>IF(A30="","",IF(OR(F30="",I30="",J30="첫 응시(평가B)"),"",ROUND(F30-I30,1)))</f>
        <v/>
      </c>
      <c r="L30">
        <f>IF(A30="","",IF(OR(F30="",I30="",J30="첫 응시(평가B)"),"",IF(F30&gt;=HIGH_CUT,PTS_HIGH,IF(K30&gt;=STEP2,PTS_HIGH,IF(K30&gt;=STEP1,PTS_MID,PTS_LOW)))))</f>
        <v/>
      </c>
      <c r="M30">
        <f>IF(A30="","",IF(F30="","",IF(J30="첫 응시(평가B)","보류",IF(I30="","",IF(F30&gt;=HIGH_CUT,"숙달",IF(K30&gt;=STEP2,"향상",IF(K30&gt;=STEP1,"유지","보완 필요")))))))</f>
        <v/>
      </c>
      <c r="N30">
        <f>IF(A30="","",IF(AND(G30="응시",ISNUMBER(L30)),L30,""))</f>
        <v/>
      </c>
      <c r="O30">
        <f>IF(A30="","",IF(F30="","결석 - 기록 없음",IF(J30="첫 응시(평가B)","판정 보류 - 평가A가 없어 이번 결과가 기준점수(평가C부터 판정)",IF(I30="","기준점수 없음",IF(F30&gt;=HIGH_CUT,"숙달 - 이번 정답률이 숙달 기준 이상",IF(K30&gt;=STEP2,"향상 - 기준보다 크게 오름",IF(K30&gt;=STEP1,"유지 - 기준과 비슷함","보완 필요 - 기준보다 크게 내려감"))))))&amp;IF(G30="비경쟁 응시"," / 비경쟁: 팀 점수 제외",""))</f>
        <v/>
      </c>
      <c r="R30" s="3" t="n"/>
      <c r="S30" s="3" t="n"/>
      <c r="T30" s="3" t="n"/>
      <c r="U30" s="3" t="n"/>
      <c r="W30">
        <f>IF(UPPER(TRIM(R30&amp;""))="","",IF(RIGHT(UPPER(TRIM(R30&amp;"")),2)="-N",TRIM(LEFT(UPPER(TRIM(R30&amp;"")),LEN(UPPER(TRIM(R30&amp;"")))-2)),UPPER(TRIM(R30&amp;""))))</f>
        <v/>
      </c>
      <c r="X30">
        <f>IF(W30="","",IF(ISNUMBER(U30),ROUND(U30,1),IF(AND(ISNUMBER(S30),ISNUMBER(T30)),IF(T30&gt;0,ROUND(S30/T30*100,1),""),"")))</f>
        <v/>
      </c>
      <c r="Y30">
        <f>IF(W30="","",IF(RIGHT(UPPER(TRIM(R30&amp;"")),2)="-N","비경쟁",""))</f>
        <v/>
      </c>
      <c r="Z30">
        <f>IF(W30="","",IF(COUNTIF(참가자!$A$3:$A$52,W30)=0,"명단에 없는 코드",""))</f>
        <v/>
      </c>
      <c r="AA30">
        <f>IF(W30="","",IF(ISNUMBER(U30),ROUND(U30*EVAL_ITEMS/100,1),IF(AND(ISNUMBER(S30),ISNUMBER(T30)),IF(T30&gt;0,S30,""),"")))</f>
        <v/>
      </c>
    </row>
    <row r="31">
      <c r="A31">
        <f>IF(참가자!A31="","",UPPER(TRIM(참가자!A31)))</f>
        <v/>
      </c>
      <c r="B31">
        <f>IF(A31="","",IF(참가자!B31="","(팀 없음)",TRIM(참가자!B31)))</f>
        <v/>
      </c>
      <c r="C31">
        <f>IF(A31="","",평가A!C31)</f>
        <v/>
      </c>
      <c r="D31">
        <f>IF(A31="","",IFERROR(INDEX($AA$3:$AA$102,MATCH(A31,$W$3:$W$102,0)),""))</f>
        <v/>
      </c>
      <c r="E31">
        <f>IF(A31="","",IF(OR(NOT(ISNUMBER(D31)),J31="첫 응시(평가B)",NOT(ISNUMBER(평가A!I31))),"",ROUND(D31-평가A!I31,1)))</f>
        <v/>
      </c>
      <c r="F31">
        <f>IF(A31="","",IFERROR(INDEX($X$3:$X$102,MATCH(A31,$W$3:$W$102,0)),""))</f>
        <v/>
      </c>
      <c r="G31">
        <f>IF(A31="","",IF(F31="","결석",IF(IFERROR(INDEX($Y$3:$Y$102,MATCH(A31,$W$3:$W$102,0)),"")="비경쟁","비경쟁 응시","응시")))</f>
        <v/>
      </c>
      <c r="H31">
        <f>IF(A31="","",IF(COUNTIF($W$3:$W$102,A31)&gt;1,"중복! 확인",""))</f>
        <v/>
      </c>
      <c r="I31">
        <f>IF(A31="","",평가A!G31)</f>
        <v/>
      </c>
      <c r="J31">
        <f>IF(A31="","",평가A!H31)</f>
        <v/>
      </c>
      <c r="K31">
        <f>IF(A31="","",IF(OR(F31="",I31="",J31="첫 응시(평가B)"),"",ROUND(F31-I31,1)))</f>
        <v/>
      </c>
      <c r="L31">
        <f>IF(A31="","",IF(OR(F31="",I31="",J31="첫 응시(평가B)"),"",IF(F31&gt;=HIGH_CUT,PTS_HIGH,IF(K31&gt;=STEP2,PTS_HIGH,IF(K31&gt;=STEP1,PTS_MID,PTS_LOW)))))</f>
        <v/>
      </c>
      <c r="M31">
        <f>IF(A31="","",IF(F31="","",IF(J31="첫 응시(평가B)","보류",IF(I31="","",IF(F31&gt;=HIGH_CUT,"숙달",IF(K31&gt;=STEP2,"향상",IF(K31&gt;=STEP1,"유지","보완 필요")))))))</f>
        <v/>
      </c>
      <c r="N31">
        <f>IF(A31="","",IF(AND(G31="응시",ISNUMBER(L31)),L31,""))</f>
        <v/>
      </c>
      <c r="O31">
        <f>IF(A31="","",IF(F31="","결석 - 기록 없음",IF(J31="첫 응시(평가B)","판정 보류 - 평가A가 없어 이번 결과가 기준점수(평가C부터 판정)",IF(I31="","기준점수 없음",IF(F31&gt;=HIGH_CUT,"숙달 - 이번 정답률이 숙달 기준 이상",IF(K31&gt;=STEP2,"향상 - 기준보다 크게 오름",IF(K31&gt;=STEP1,"유지 - 기준과 비슷함","보완 필요 - 기준보다 크게 내려감"))))))&amp;IF(G31="비경쟁 응시"," / 비경쟁: 팀 점수 제외",""))</f>
        <v/>
      </c>
      <c r="R31" s="3" t="n"/>
      <c r="S31" s="3" t="n"/>
      <c r="T31" s="3" t="n"/>
      <c r="U31" s="3" t="n"/>
      <c r="W31">
        <f>IF(UPPER(TRIM(R31&amp;""))="","",IF(RIGHT(UPPER(TRIM(R31&amp;"")),2)="-N",TRIM(LEFT(UPPER(TRIM(R31&amp;"")),LEN(UPPER(TRIM(R31&amp;"")))-2)),UPPER(TRIM(R31&amp;""))))</f>
        <v/>
      </c>
      <c r="X31">
        <f>IF(W31="","",IF(ISNUMBER(U31),ROUND(U31,1),IF(AND(ISNUMBER(S31),ISNUMBER(T31)),IF(T31&gt;0,ROUND(S31/T31*100,1),""),"")))</f>
        <v/>
      </c>
      <c r="Y31">
        <f>IF(W31="","",IF(RIGHT(UPPER(TRIM(R31&amp;"")),2)="-N","비경쟁",""))</f>
        <v/>
      </c>
      <c r="Z31">
        <f>IF(W31="","",IF(COUNTIF(참가자!$A$3:$A$52,W31)=0,"명단에 없는 코드",""))</f>
        <v/>
      </c>
      <c r="AA31">
        <f>IF(W31="","",IF(ISNUMBER(U31),ROUND(U31*EVAL_ITEMS/100,1),IF(AND(ISNUMBER(S31),ISNUMBER(T31)),IF(T31&gt;0,S31,""),"")))</f>
        <v/>
      </c>
    </row>
    <row r="32">
      <c r="A32">
        <f>IF(참가자!A32="","",UPPER(TRIM(참가자!A32)))</f>
        <v/>
      </c>
      <c r="B32">
        <f>IF(A32="","",IF(참가자!B32="","(팀 없음)",TRIM(참가자!B32)))</f>
        <v/>
      </c>
      <c r="C32">
        <f>IF(A32="","",평가A!C32)</f>
        <v/>
      </c>
      <c r="D32">
        <f>IF(A32="","",IFERROR(INDEX($AA$3:$AA$102,MATCH(A32,$W$3:$W$102,0)),""))</f>
        <v/>
      </c>
      <c r="E32">
        <f>IF(A32="","",IF(OR(NOT(ISNUMBER(D32)),J32="첫 응시(평가B)",NOT(ISNUMBER(평가A!I32))),"",ROUND(D32-평가A!I32,1)))</f>
        <v/>
      </c>
      <c r="F32">
        <f>IF(A32="","",IFERROR(INDEX($X$3:$X$102,MATCH(A32,$W$3:$W$102,0)),""))</f>
        <v/>
      </c>
      <c r="G32">
        <f>IF(A32="","",IF(F32="","결석",IF(IFERROR(INDEX($Y$3:$Y$102,MATCH(A32,$W$3:$W$102,0)),"")="비경쟁","비경쟁 응시","응시")))</f>
        <v/>
      </c>
      <c r="H32">
        <f>IF(A32="","",IF(COUNTIF($W$3:$W$102,A32)&gt;1,"중복! 확인",""))</f>
        <v/>
      </c>
      <c r="I32">
        <f>IF(A32="","",평가A!G32)</f>
        <v/>
      </c>
      <c r="J32">
        <f>IF(A32="","",평가A!H32)</f>
        <v/>
      </c>
      <c r="K32">
        <f>IF(A32="","",IF(OR(F32="",I32="",J32="첫 응시(평가B)"),"",ROUND(F32-I32,1)))</f>
        <v/>
      </c>
      <c r="L32">
        <f>IF(A32="","",IF(OR(F32="",I32="",J32="첫 응시(평가B)"),"",IF(F32&gt;=HIGH_CUT,PTS_HIGH,IF(K32&gt;=STEP2,PTS_HIGH,IF(K32&gt;=STEP1,PTS_MID,PTS_LOW)))))</f>
        <v/>
      </c>
      <c r="M32">
        <f>IF(A32="","",IF(F32="","",IF(J32="첫 응시(평가B)","보류",IF(I32="","",IF(F32&gt;=HIGH_CUT,"숙달",IF(K32&gt;=STEP2,"향상",IF(K32&gt;=STEP1,"유지","보완 필요")))))))</f>
        <v/>
      </c>
      <c r="N32">
        <f>IF(A32="","",IF(AND(G32="응시",ISNUMBER(L32)),L32,""))</f>
        <v/>
      </c>
      <c r="O32">
        <f>IF(A32="","",IF(F32="","결석 - 기록 없음",IF(J32="첫 응시(평가B)","판정 보류 - 평가A가 없어 이번 결과가 기준점수(평가C부터 판정)",IF(I32="","기준점수 없음",IF(F32&gt;=HIGH_CUT,"숙달 - 이번 정답률이 숙달 기준 이상",IF(K32&gt;=STEP2,"향상 - 기준보다 크게 오름",IF(K32&gt;=STEP1,"유지 - 기준과 비슷함","보완 필요 - 기준보다 크게 내려감"))))))&amp;IF(G32="비경쟁 응시"," / 비경쟁: 팀 점수 제외",""))</f>
        <v/>
      </c>
      <c r="R32" s="3" t="n"/>
      <c r="S32" s="3" t="n"/>
      <c r="T32" s="3" t="n"/>
      <c r="U32" s="3" t="n"/>
      <c r="W32">
        <f>IF(UPPER(TRIM(R32&amp;""))="","",IF(RIGHT(UPPER(TRIM(R32&amp;"")),2)="-N",TRIM(LEFT(UPPER(TRIM(R32&amp;"")),LEN(UPPER(TRIM(R32&amp;"")))-2)),UPPER(TRIM(R32&amp;""))))</f>
        <v/>
      </c>
      <c r="X32">
        <f>IF(W32="","",IF(ISNUMBER(U32),ROUND(U32,1),IF(AND(ISNUMBER(S32),ISNUMBER(T32)),IF(T32&gt;0,ROUND(S32/T32*100,1),""),"")))</f>
        <v/>
      </c>
      <c r="Y32">
        <f>IF(W32="","",IF(RIGHT(UPPER(TRIM(R32&amp;"")),2)="-N","비경쟁",""))</f>
        <v/>
      </c>
      <c r="Z32">
        <f>IF(W32="","",IF(COUNTIF(참가자!$A$3:$A$52,W32)=0,"명단에 없는 코드",""))</f>
        <v/>
      </c>
      <c r="AA32">
        <f>IF(W32="","",IF(ISNUMBER(U32),ROUND(U32*EVAL_ITEMS/100,1),IF(AND(ISNUMBER(S32),ISNUMBER(T32)),IF(T32&gt;0,S32,""),"")))</f>
        <v/>
      </c>
    </row>
    <row r="33">
      <c r="A33">
        <f>IF(참가자!A33="","",UPPER(TRIM(참가자!A33)))</f>
        <v/>
      </c>
      <c r="B33">
        <f>IF(A33="","",IF(참가자!B33="","(팀 없음)",TRIM(참가자!B33)))</f>
        <v/>
      </c>
      <c r="C33">
        <f>IF(A33="","",평가A!C33)</f>
        <v/>
      </c>
      <c r="D33">
        <f>IF(A33="","",IFERROR(INDEX($AA$3:$AA$102,MATCH(A33,$W$3:$W$102,0)),""))</f>
        <v/>
      </c>
      <c r="E33">
        <f>IF(A33="","",IF(OR(NOT(ISNUMBER(D33)),J33="첫 응시(평가B)",NOT(ISNUMBER(평가A!I33))),"",ROUND(D33-평가A!I33,1)))</f>
        <v/>
      </c>
      <c r="F33">
        <f>IF(A33="","",IFERROR(INDEX($X$3:$X$102,MATCH(A33,$W$3:$W$102,0)),""))</f>
        <v/>
      </c>
      <c r="G33">
        <f>IF(A33="","",IF(F33="","결석",IF(IFERROR(INDEX($Y$3:$Y$102,MATCH(A33,$W$3:$W$102,0)),"")="비경쟁","비경쟁 응시","응시")))</f>
        <v/>
      </c>
      <c r="H33">
        <f>IF(A33="","",IF(COUNTIF($W$3:$W$102,A33)&gt;1,"중복! 확인",""))</f>
        <v/>
      </c>
      <c r="I33">
        <f>IF(A33="","",평가A!G33)</f>
        <v/>
      </c>
      <c r="J33">
        <f>IF(A33="","",평가A!H33)</f>
        <v/>
      </c>
      <c r="K33">
        <f>IF(A33="","",IF(OR(F33="",I33="",J33="첫 응시(평가B)"),"",ROUND(F33-I33,1)))</f>
        <v/>
      </c>
      <c r="L33">
        <f>IF(A33="","",IF(OR(F33="",I33="",J33="첫 응시(평가B)"),"",IF(F33&gt;=HIGH_CUT,PTS_HIGH,IF(K33&gt;=STEP2,PTS_HIGH,IF(K33&gt;=STEP1,PTS_MID,PTS_LOW)))))</f>
        <v/>
      </c>
      <c r="M33">
        <f>IF(A33="","",IF(F33="","",IF(J33="첫 응시(평가B)","보류",IF(I33="","",IF(F33&gt;=HIGH_CUT,"숙달",IF(K33&gt;=STEP2,"향상",IF(K33&gt;=STEP1,"유지","보완 필요")))))))</f>
        <v/>
      </c>
      <c r="N33">
        <f>IF(A33="","",IF(AND(G33="응시",ISNUMBER(L33)),L33,""))</f>
        <v/>
      </c>
      <c r="O33">
        <f>IF(A33="","",IF(F33="","결석 - 기록 없음",IF(J33="첫 응시(평가B)","판정 보류 - 평가A가 없어 이번 결과가 기준점수(평가C부터 판정)",IF(I33="","기준점수 없음",IF(F33&gt;=HIGH_CUT,"숙달 - 이번 정답률이 숙달 기준 이상",IF(K33&gt;=STEP2,"향상 - 기준보다 크게 오름",IF(K33&gt;=STEP1,"유지 - 기준과 비슷함","보완 필요 - 기준보다 크게 내려감"))))))&amp;IF(G33="비경쟁 응시"," / 비경쟁: 팀 점수 제외",""))</f>
        <v/>
      </c>
      <c r="R33" s="3" t="n"/>
      <c r="S33" s="3" t="n"/>
      <c r="T33" s="3" t="n"/>
      <c r="U33" s="3" t="n"/>
      <c r="W33">
        <f>IF(UPPER(TRIM(R33&amp;""))="","",IF(RIGHT(UPPER(TRIM(R33&amp;"")),2)="-N",TRIM(LEFT(UPPER(TRIM(R33&amp;"")),LEN(UPPER(TRIM(R33&amp;"")))-2)),UPPER(TRIM(R33&amp;""))))</f>
        <v/>
      </c>
      <c r="X33">
        <f>IF(W33="","",IF(ISNUMBER(U33),ROUND(U33,1),IF(AND(ISNUMBER(S33),ISNUMBER(T33)),IF(T33&gt;0,ROUND(S33/T33*100,1),""),"")))</f>
        <v/>
      </c>
      <c r="Y33">
        <f>IF(W33="","",IF(RIGHT(UPPER(TRIM(R33&amp;"")),2)="-N","비경쟁",""))</f>
        <v/>
      </c>
      <c r="Z33">
        <f>IF(W33="","",IF(COUNTIF(참가자!$A$3:$A$52,W33)=0,"명단에 없는 코드",""))</f>
        <v/>
      </c>
      <c r="AA33">
        <f>IF(W33="","",IF(ISNUMBER(U33),ROUND(U33*EVAL_ITEMS/100,1),IF(AND(ISNUMBER(S33),ISNUMBER(T33)),IF(T33&gt;0,S33,""),"")))</f>
        <v/>
      </c>
    </row>
    <row r="34">
      <c r="A34">
        <f>IF(참가자!A34="","",UPPER(TRIM(참가자!A34)))</f>
        <v/>
      </c>
      <c r="B34">
        <f>IF(A34="","",IF(참가자!B34="","(팀 없음)",TRIM(참가자!B34)))</f>
        <v/>
      </c>
      <c r="C34">
        <f>IF(A34="","",평가A!C34)</f>
        <v/>
      </c>
      <c r="D34">
        <f>IF(A34="","",IFERROR(INDEX($AA$3:$AA$102,MATCH(A34,$W$3:$W$102,0)),""))</f>
        <v/>
      </c>
      <c r="E34">
        <f>IF(A34="","",IF(OR(NOT(ISNUMBER(D34)),J34="첫 응시(평가B)",NOT(ISNUMBER(평가A!I34))),"",ROUND(D34-평가A!I34,1)))</f>
        <v/>
      </c>
      <c r="F34">
        <f>IF(A34="","",IFERROR(INDEX($X$3:$X$102,MATCH(A34,$W$3:$W$102,0)),""))</f>
        <v/>
      </c>
      <c r="G34">
        <f>IF(A34="","",IF(F34="","결석",IF(IFERROR(INDEX($Y$3:$Y$102,MATCH(A34,$W$3:$W$102,0)),"")="비경쟁","비경쟁 응시","응시")))</f>
        <v/>
      </c>
      <c r="H34">
        <f>IF(A34="","",IF(COUNTIF($W$3:$W$102,A34)&gt;1,"중복! 확인",""))</f>
        <v/>
      </c>
      <c r="I34">
        <f>IF(A34="","",평가A!G34)</f>
        <v/>
      </c>
      <c r="J34">
        <f>IF(A34="","",평가A!H34)</f>
        <v/>
      </c>
      <c r="K34">
        <f>IF(A34="","",IF(OR(F34="",I34="",J34="첫 응시(평가B)"),"",ROUND(F34-I34,1)))</f>
        <v/>
      </c>
      <c r="L34">
        <f>IF(A34="","",IF(OR(F34="",I34="",J34="첫 응시(평가B)"),"",IF(F34&gt;=HIGH_CUT,PTS_HIGH,IF(K34&gt;=STEP2,PTS_HIGH,IF(K34&gt;=STEP1,PTS_MID,PTS_LOW)))))</f>
        <v/>
      </c>
      <c r="M34">
        <f>IF(A34="","",IF(F34="","",IF(J34="첫 응시(평가B)","보류",IF(I34="","",IF(F34&gt;=HIGH_CUT,"숙달",IF(K34&gt;=STEP2,"향상",IF(K34&gt;=STEP1,"유지","보완 필요")))))))</f>
        <v/>
      </c>
      <c r="N34">
        <f>IF(A34="","",IF(AND(G34="응시",ISNUMBER(L34)),L34,""))</f>
        <v/>
      </c>
      <c r="O34">
        <f>IF(A34="","",IF(F34="","결석 - 기록 없음",IF(J34="첫 응시(평가B)","판정 보류 - 평가A가 없어 이번 결과가 기준점수(평가C부터 판정)",IF(I34="","기준점수 없음",IF(F34&gt;=HIGH_CUT,"숙달 - 이번 정답률이 숙달 기준 이상",IF(K34&gt;=STEP2,"향상 - 기준보다 크게 오름",IF(K34&gt;=STEP1,"유지 - 기준과 비슷함","보완 필요 - 기준보다 크게 내려감"))))))&amp;IF(G34="비경쟁 응시"," / 비경쟁: 팀 점수 제외",""))</f>
        <v/>
      </c>
      <c r="R34" s="3" t="n"/>
      <c r="S34" s="3" t="n"/>
      <c r="T34" s="3" t="n"/>
      <c r="U34" s="3" t="n"/>
      <c r="W34">
        <f>IF(UPPER(TRIM(R34&amp;""))="","",IF(RIGHT(UPPER(TRIM(R34&amp;"")),2)="-N",TRIM(LEFT(UPPER(TRIM(R34&amp;"")),LEN(UPPER(TRIM(R34&amp;"")))-2)),UPPER(TRIM(R34&amp;""))))</f>
        <v/>
      </c>
      <c r="X34">
        <f>IF(W34="","",IF(ISNUMBER(U34),ROUND(U34,1),IF(AND(ISNUMBER(S34),ISNUMBER(T34)),IF(T34&gt;0,ROUND(S34/T34*100,1),""),"")))</f>
        <v/>
      </c>
      <c r="Y34">
        <f>IF(W34="","",IF(RIGHT(UPPER(TRIM(R34&amp;"")),2)="-N","비경쟁",""))</f>
        <v/>
      </c>
      <c r="Z34">
        <f>IF(W34="","",IF(COUNTIF(참가자!$A$3:$A$52,W34)=0,"명단에 없는 코드",""))</f>
        <v/>
      </c>
      <c r="AA34">
        <f>IF(W34="","",IF(ISNUMBER(U34),ROUND(U34*EVAL_ITEMS/100,1),IF(AND(ISNUMBER(S34),ISNUMBER(T34)),IF(T34&gt;0,S34,""),"")))</f>
        <v/>
      </c>
    </row>
    <row r="35">
      <c r="A35">
        <f>IF(참가자!A35="","",UPPER(TRIM(참가자!A35)))</f>
        <v/>
      </c>
      <c r="B35">
        <f>IF(A35="","",IF(참가자!B35="","(팀 없음)",TRIM(참가자!B35)))</f>
        <v/>
      </c>
      <c r="C35">
        <f>IF(A35="","",평가A!C35)</f>
        <v/>
      </c>
      <c r="D35">
        <f>IF(A35="","",IFERROR(INDEX($AA$3:$AA$102,MATCH(A35,$W$3:$W$102,0)),""))</f>
        <v/>
      </c>
      <c r="E35">
        <f>IF(A35="","",IF(OR(NOT(ISNUMBER(D35)),J35="첫 응시(평가B)",NOT(ISNUMBER(평가A!I35))),"",ROUND(D35-평가A!I35,1)))</f>
        <v/>
      </c>
      <c r="F35">
        <f>IF(A35="","",IFERROR(INDEX($X$3:$X$102,MATCH(A35,$W$3:$W$102,0)),""))</f>
        <v/>
      </c>
      <c r="G35">
        <f>IF(A35="","",IF(F35="","결석",IF(IFERROR(INDEX($Y$3:$Y$102,MATCH(A35,$W$3:$W$102,0)),"")="비경쟁","비경쟁 응시","응시")))</f>
        <v/>
      </c>
      <c r="H35">
        <f>IF(A35="","",IF(COUNTIF($W$3:$W$102,A35)&gt;1,"중복! 확인",""))</f>
        <v/>
      </c>
      <c r="I35">
        <f>IF(A35="","",평가A!G35)</f>
        <v/>
      </c>
      <c r="J35">
        <f>IF(A35="","",평가A!H35)</f>
        <v/>
      </c>
      <c r="K35">
        <f>IF(A35="","",IF(OR(F35="",I35="",J35="첫 응시(평가B)"),"",ROUND(F35-I35,1)))</f>
        <v/>
      </c>
      <c r="L35">
        <f>IF(A35="","",IF(OR(F35="",I35="",J35="첫 응시(평가B)"),"",IF(F35&gt;=HIGH_CUT,PTS_HIGH,IF(K35&gt;=STEP2,PTS_HIGH,IF(K35&gt;=STEP1,PTS_MID,PTS_LOW)))))</f>
        <v/>
      </c>
      <c r="M35">
        <f>IF(A35="","",IF(F35="","",IF(J35="첫 응시(평가B)","보류",IF(I35="","",IF(F35&gt;=HIGH_CUT,"숙달",IF(K35&gt;=STEP2,"향상",IF(K35&gt;=STEP1,"유지","보완 필요")))))))</f>
        <v/>
      </c>
      <c r="N35">
        <f>IF(A35="","",IF(AND(G35="응시",ISNUMBER(L35)),L35,""))</f>
        <v/>
      </c>
      <c r="O35">
        <f>IF(A35="","",IF(F35="","결석 - 기록 없음",IF(J35="첫 응시(평가B)","판정 보류 - 평가A가 없어 이번 결과가 기준점수(평가C부터 판정)",IF(I35="","기준점수 없음",IF(F35&gt;=HIGH_CUT,"숙달 - 이번 정답률이 숙달 기준 이상",IF(K35&gt;=STEP2,"향상 - 기준보다 크게 오름",IF(K35&gt;=STEP1,"유지 - 기준과 비슷함","보완 필요 - 기준보다 크게 내려감"))))))&amp;IF(G35="비경쟁 응시"," / 비경쟁: 팀 점수 제외",""))</f>
        <v/>
      </c>
      <c r="R35" s="3" t="n"/>
      <c r="S35" s="3" t="n"/>
      <c r="T35" s="3" t="n"/>
      <c r="U35" s="3" t="n"/>
      <c r="W35">
        <f>IF(UPPER(TRIM(R35&amp;""))="","",IF(RIGHT(UPPER(TRIM(R35&amp;"")),2)="-N",TRIM(LEFT(UPPER(TRIM(R35&amp;"")),LEN(UPPER(TRIM(R35&amp;"")))-2)),UPPER(TRIM(R35&amp;""))))</f>
        <v/>
      </c>
      <c r="X35">
        <f>IF(W35="","",IF(ISNUMBER(U35),ROUND(U35,1),IF(AND(ISNUMBER(S35),ISNUMBER(T35)),IF(T35&gt;0,ROUND(S35/T35*100,1),""),"")))</f>
        <v/>
      </c>
      <c r="Y35">
        <f>IF(W35="","",IF(RIGHT(UPPER(TRIM(R35&amp;"")),2)="-N","비경쟁",""))</f>
        <v/>
      </c>
      <c r="Z35">
        <f>IF(W35="","",IF(COUNTIF(참가자!$A$3:$A$52,W35)=0,"명단에 없는 코드",""))</f>
        <v/>
      </c>
      <c r="AA35">
        <f>IF(W35="","",IF(ISNUMBER(U35),ROUND(U35*EVAL_ITEMS/100,1),IF(AND(ISNUMBER(S35),ISNUMBER(T35)),IF(T35&gt;0,S35,""),"")))</f>
        <v/>
      </c>
    </row>
    <row r="36">
      <c r="A36">
        <f>IF(참가자!A36="","",UPPER(TRIM(참가자!A36)))</f>
        <v/>
      </c>
      <c r="B36">
        <f>IF(A36="","",IF(참가자!B36="","(팀 없음)",TRIM(참가자!B36)))</f>
        <v/>
      </c>
      <c r="C36">
        <f>IF(A36="","",평가A!C36)</f>
        <v/>
      </c>
      <c r="D36">
        <f>IF(A36="","",IFERROR(INDEX($AA$3:$AA$102,MATCH(A36,$W$3:$W$102,0)),""))</f>
        <v/>
      </c>
      <c r="E36">
        <f>IF(A36="","",IF(OR(NOT(ISNUMBER(D36)),J36="첫 응시(평가B)",NOT(ISNUMBER(평가A!I36))),"",ROUND(D36-평가A!I36,1)))</f>
        <v/>
      </c>
      <c r="F36">
        <f>IF(A36="","",IFERROR(INDEX($X$3:$X$102,MATCH(A36,$W$3:$W$102,0)),""))</f>
        <v/>
      </c>
      <c r="G36">
        <f>IF(A36="","",IF(F36="","결석",IF(IFERROR(INDEX($Y$3:$Y$102,MATCH(A36,$W$3:$W$102,0)),"")="비경쟁","비경쟁 응시","응시")))</f>
        <v/>
      </c>
      <c r="H36">
        <f>IF(A36="","",IF(COUNTIF($W$3:$W$102,A36)&gt;1,"중복! 확인",""))</f>
        <v/>
      </c>
      <c r="I36">
        <f>IF(A36="","",평가A!G36)</f>
        <v/>
      </c>
      <c r="J36">
        <f>IF(A36="","",평가A!H36)</f>
        <v/>
      </c>
      <c r="K36">
        <f>IF(A36="","",IF(OR(F36="",I36="",J36="첫 응시(평가B)"),"",ROUND(F36-I36,1)))</f>
        <v/>
      </c>
      <c r="L36">
        <f>IF(A36="","",IF(OR(F36="",I36="",J36="첫 응시(평가B)"),"",IF(F36&gt;=HIGH_CUT,PTS_HIGH,IF(K36&gt;=STEP2,PTS_HIGH,IF(K36&gt;=STEP1,PTS_MID,PTS_LOW)))))</f>
        <v/>
      </c>
      <c r="M36">
        <f>IF(A36="","",IF(F36="","",IF(J36="첫 응시(평가B)","보류",IF(I36="","",IF(F36&gt;=HIGH_CUT,"숙달",IF(K36&gt;=STEP2,"향상",IF(K36&gt;=STEP1,"유지","보완 필요")))))))</f>
        <v/>
      </c>
      <c r="N36">
        <f>IF(A36="","",IF(AND(G36="응시",ISNUMBER(L36)),L36,""))</f>
        <v/>
      </c>
      <c r="O36">
        <f>IF(A36="","",IF(F36="","결석 - 기록 없음",IF(J36="첫 응시(평가B)","판정 보류 - 평가A가 없어 이번 결과가 기준점수(평가C부터 판정)",IF(I36="","기준점수 없음",IF(F36&gt;=HIGH_CUT,"숙달 - 이번 정답률이 숙달 기준 이상",IF(K36&gt;=STEP2,"향상 - 기준보다 크게 오름",IF(K36&gt;=STEP1,"유지 - 기준과 비슷함","보완 필요 - 기준보다 크게 내려감"))))))&amp;IF(G36="비경쟁 응시"," / 비경쟁: 팀 점수 제외",""))</f>
        <v/>
      </c>
      <c r="R36" s="3" t="n"/>
      <c r="S36" s="3" t="n"/>
      <c r="T36" s="3" t="n"/>
      <c r="U36" s="3" t="n"/>
      <c r="W36">
        <f>IF(UPPER(TRIM(R36&amp;""))="","",IF(RIGHT(UPPER(TRIM(R36&amp;"")),2)="-N",TRIM(LEFT(UPPER(TRIM(R36&amp;"")),LEN(UPPER(TRIM(R36&amp;"")))-2)),UPPER(TRIM(R36&amp;""))))</f>
        <v/>
      </c>
      <c r="X36">
        <f>IF(W36="","",IF(ISNUMBER(U36),ROUND(U36,1),IF(AND(ISNUMBER(S36),ISNUMBER(T36)),IF(T36&gt;0,ROUND(S36/T36*100,1),""),"")))</f>
        <v/>
      </c>
      <c r="Y36">
        <f>IF(W36="","",IF(RIGHT(UPPER(TRIM(R36&amp;"")),2)="-N","비경쟁",""))</f>
        <v/>
      </c>
      <c r="Z36">
        <f>IF(W36="","",IF(COUNTIF(참가자!$A$3:$A$52,W36)=0,"명단에 없는 코드",""))</f>
        <v/>
      </c>
      <c r="AA36">
        <f>IF(W36="","",IF(ISNUMBER(U36),ROUND(U36*EVAL_ITEMS/100,1),IF(AND(ISNUMBER(S36),ISNUMBER(T36)),IF(T36&gt;0,S36,""),"")))</f>
        <v/>
      </c>
    </row>
    <row r="37">
      <c r="A37">
        <f>IF(참가자!A37="","",UPPER(TRIM(참가자!A37)))</f>
        <v/>
      </c>
      <c r="B37">
        <f>IF(A37="","",IF(참가자!B37="","(팀 없음)",TRIM(참가자!B37)))</f>
        <v/>
      </c>
      <c r="C37">
        <f>IF(A37="","",평가A!C37)</f>
        <v/>
      </c>
      <c r="D37">
        <f>IF(A37="","",IFERROR(INDEX($AA$3:$AA$102,MATCH(A37,$W$3:$W$102,0)),""))</f>
        <v/>
      </c>
      <c r="E37">
        <f>IF(A37="","",IF(OR(NOT(ISNUMBER(D37)),J37="첫 응시(평가B)",NOT(ISNUMBER(평가A!I37))),"",ROUND(D37-평가A!I37,1)))</f>
        <v/>
      </c>
      <c r="F37">
        <f>IF(A37="","",IFERROR(INDEX($X$3:$X$102,MATCH(A37,$W$3:$W$102,0)),""))</f>
        <v/>
      </c>
      <c r="G37">
        <f>IF(A37="","",IF(F37="","결석",IF(IFERROR(INDEX($Y$3:$Y$102,MATCH(A37,$W$3:$W$102,0)),"")="비경쟁","비경쟁 응시","응시")))</f>
        <v/>
      </c>
      <c r="H37">
        <f>IF(A37="","",IF(COUNTIF($W$3:$W$102,A37)&gt;1,"중복! 확인",""))</f>
        <v/>
      </c>
      <c r="I37">
        <f>IF(A37="","",평가A!G37)</f>
        <v/>
      </c>
      <c r="J37">
        <f>IF(A37="","",평가A!H37)</f>
        <v/>
      </c>
      <c r="K37">
        <f>IF(A37="","",IF(OR(F37="",I37="",J37="첫 응시(평가B)"),"",ROUND(F37-I37,1)))</f>
        <v/>
      </c>
      <c r="L37">
        <f>IF(A37="","",IF(OR(F37="",I37="",J37="첫 응시(평가B)"),"",IF(F37&gt;=HIGH_CUT,PTS_HIGH,IF(K37&gt;=STEP2,PTS_HIGH,IF(K37&gt;=STEP1,PTS_MID,PTS_LOW)))))</f>
        <v/>
      </c>
      <c r="M37">
        <f>IF(A37="","",IF(F37="","",IF(J37="첫 응시(평가B)","보류",IF(I37="","",IF(F37&gt;=HIGH_CUT,"숙달",IF(K37&gt;=STEP2,"향상",IF(K37&gt;=STEP1,"유지","보완 필요")))))))</f>
        <v/>
      </c>
      <c r="N37">
        <f>IF(A37="","",IF(AND(G37="응시",ISNUMBER(L37)),L37,""))</f>
        <v/>
      </c>
      <c r="O37">
        <f>IF(A37="","",IF(F37="","결석 - 기록 없음",IF(J37="첫 응시(평가B)","판정 보류 - 평가A가 없어 이번 결과가 기준점수(평가C부터 판정)",IF(I37="","기준점수 없음",IF(F37&gt;=HIGH_CUT,"숙달 - 이번 정답률이 숙달 기준 이상",IF(K37&gt;=STEP2,"향상 - 기준보다 크게 오름",IF(K37&gt;=STEP1,"유지 - 기준과 비슷함","보완 필요 - 기준보다 크게 내려감"))))))&amp;IF(G37="비경쟁 응시"," / 비경쟁: 팀 점수 제외",""))</f>
        <v/>
      </c>
      <c r="R37" s="3" t="n"/>
      <c r="S37" s="3" t="n"/>
      <c r="T37" s="3" t="n"/>
      <c r="U37" s="3" t="n"/>
      <c r="W37">
        <f>IF(UPPER(TRIM(R37&amp;""))="","",IF(RIGHT(UPPER(TRIM(R37&amp;"")),2)="-N",TRIM(LEFT(UPPER(TRIM(R37&amp;"")),LEN(UPPER(TRIM(R37&amp;"")))-2)),UPPER(TRIM(R37&amp;""))))</f>
        <v/>
      </c>
      <c r="X37">
        <f>IF(W37="","",IF(ISNUMBER(U37),ROUND(U37,1),IF(AND(ISNUMBER(S37),ISNUMBER(T37)),IF(T37&gt;0,ROUND(S37/T37*100,1),""),"")))</f>
        <v/>
      </c>
      <c r="Y37">
        <f>IF(W37="","",IF(RIGHT(UPPER(TRIM(R37&amp;"")),2)="-N","비경쟁",""))</f>
        <v/>
      </c>
      <c r="Z37">
        <f>IF(W37="","",IF(COUNTIF(참가자!$A$3:$A$52,W37)=0,"명단에 없는 코드",""))</f>
        <v/>
      </c>
      <c r="AA37">
        <f>IF(W37="","",IF(ISNUMBER(U37),ROUND(U37*EVAL_ITEMS/100,1),IF(AND(ISNUMBER(S37),ISNUMBER(T37)),IF(T37&gt;0,S37,""),"")))</f>
        <v/>
      </c>
    </row>
    <row r="38">
      <c r="A38">
        <f>IF(참가자!A38="","",UPPER(TRIM(참가자!A38)))</f>
        <v/>
      </c>
      <c r="B38">
        <f>IF(A38="","",IF(참가자!B38="","(팀 없음)",TRIM(참가자!B38)))</f>
        <v/>
      </c>
      <c r="C38">
        <f>IF(A38="","",평가A!C38)</f>
        <v/>
      </c>
      <c r="D38">
        <f>IF(A38="","",IFERROR(INDEX($AA$3:$AA$102,MATCH(A38,$W$3:$W$102,0)),""))</f>
        <v/>
      </c>
      <c r="E38">
        <f>IF(A38="","",IF(OR(NOT(ISNUMBER(D38)),J38="첫 응시(평가B)",NOT(ISNUMBER(평가A!I38))),"",ROUND(D38-평가A!I38,1)))</f>
        <v/>
      </c>
      <c r="F38">
        <f>IF(A38="","",IFERROR(INDEX($X$3:$X$102,MATCH(A38,$W$3:$W$102,0)),""))</f>
        <v/>
      </c>
      <c r="G38">
        <f>IF(A38="","",IF(F38="","결석",IF(IFERROR(INDEX($Y$3:$Y$102,MATCH(A38,$W$3:$W$102,0)),"")="비경쟁","비경쟁 응시","응시")))</f>
        <v/>
      </c>
      <c r="H38">
        <f>IF(A38="","",IF(COUNTIF($W$3:$W$102,A38)&gt;1,"중복! 확인",""))</f>
        <v/>
      </c>
      <c r="I38">
        <f>IF(A38="","",평가A!G38)</f>
        <v/>
      </c>
      <c r="J38">
        <f>IF(A38="","",평가A!H38)</f>
        <v/>
      </c>
      <c r="K38">
        <f>IF(A38="","",IF(OR(F38="",I38="",J38="첫 응시(평가B)"),"",ROUND(F38-I38,1)))</f>
        <v/>
      </c>
      <c r="L38">
        <f>IF(A38="","",IF(OR(F38="",I38="",J38="첫 응시(평가B)"),"",IF(F38&gt;=HIGH_CUT,PTS_HIGH,IF(K38&gt;=STEP2,PTS_HIGH,IF(K38&gt;=STEP1,PTS_MID,PTS_LOW)))))</f>
        <v/>
      </c>
      <c r="M38">
        <f>IF(A38="","",IF(F38="","",IF(J38="첫 응시(평가B)","보류",IF(I38="","",IF(F38&gt;=HIGH_CUT,"숙달",IF(K38&gt;=STEP2,"향상",IF(K38&gt;=STEP1,"유지","보완 필요")))))))</f>
        <v/>
      </c>
      <c r="N38">
        <f>IF(A38="","",IF(AND(G38="응시",ISNUMBER(L38)),L38,""))</f>
        <v/>
      </c>
      <c r="O38">
        <f>IF(A38="","",IF(F38="","결석 - 기록 없음",IF(J38="첫 응시(평가B)","판정 보류 - 평가A가 없어 이번 결과가 기준점수(평가C부터 판정)",IF(I38="","기준점수 없음",IF(F38&gt;=HIGH_CUT,"숙달 - 이번 정답률이 숙달 기준 이상",IF(K38&gt;=STEP2,"향상 - 기준보다 크게 오름",IF(K38&gt;=STEP1,"유지 - 기준과 비슷함","보완 필요 - 기준보다 크게 내려감"))))))&amp;IF(G38="비경쟁 응시"," / 비경쟁: 팀 점수 제외",""))</f>
        <v/>
      </c>
      <c r="R38" s="3" t="n"/>
      <c r="S38" s="3" t="n"/>
      <c r="T38" s="3" t="n"/>
      <c r="U38" s="3" t="n"/>
      <c r="W38">
        <f>IF(UPPER(TRIM(R38&amp;""))="","",IF(RIGHT(UPPER(TRIM(R38&amp;"")),2)="-N",TRIM(LEFT(UPPER(TRIM(R38&amp;"")),LEN(UPPER(TRIM(R38&amp;"")))-2)),UPPER(TRIM(R38&amp;""))))</f>
        <v/>
      </c>
      <c r="X38">
        <f>IF(W38="","",IF(ISNUMBER(U38),ROUND(U38,1),IF(AND(ISNUMBER(S38),ISNUMBER(T38)),IF(T38&gt;0,ROUND(S38/T38*100,1),""),"")))</f>
        <v/>
      </c>
      <c r="Y38">
        <f>IF(W38="","",IF(RIGHT(UPPER(TRIM(R38&amp;"")),2)="-N","비경쟁",""))</f>
        <v/>
      </c>
      <c r="Z38">
        <f>IF(W38="","",IF(COUNTIF(참가자!$A$3:$A$52,W38)=0,"명단에 없는 코드",""))</f>
        <v/>
      </c>
      <c r="AA38">
        <f>IF(W38="","",IF(ISNUMBER(U38),ROUND(U38*EVAL_ITEMS/100,1),IF(AND(ISNUMBER(S38),ISNUMBER(T38)),IF(T38&gt;0,S38,""),"")))</f>
        <v/>
      </c>
    </row>
    <row r="39">
      <c r="A39">
        <f>IF(참가자!A39="","",UPPER(TRIM(참가자!A39)))</f>
        <v/>
      </c>
      <c r="B39">
        <f>IF(A39="","",IF(참가자!B39="","(팀 없음)",TRIM(참가자!B39)))</f>
        <v/>
      </c>
      <c r="C39">
        <f>IF(A39="","",평가A!C39)</f>
        <v/>
      </c>
      <c r="D39">
        <f>IF(A39="","",IFERROR(INDEX($AA$3:$AA$102,MATCH(A39,$W$3:$W$102,0)),""))</f>
        <v/>
      </c>
      <c r="E39">
        <f>IF(A39="","",IF(OR(NOT(ISNUMBER(D39)),J39="첫 응시(평가B)",NOT(ISNUMBER(평가A!I39))),"",ROUND(D39-평가A!I39,1)))</f>
        <v/>
      </c>
      <c r="F39">
        <f>IF(A39="","",IFERROR(INDEX($X$3:$X$102,MATCH(A39,$W$3:$W$102,0)),""))</f>
        <v/>
      </c>
      <c r="G39">
        <f>IF(A39="","",IF(F39="","결석",IF(IFERROR(INDEX($Y$3:$Y$102,MATCH(A39,$W$3:$W$102,0)),"")="비경쟁","비경쟁 응시","응시")))</f>
        <v/>
      </c>
      <c r="H39">
        <f>IF(A39="","",IF(COUNTIF($W$3:$W$102,A39)&gt;1,"중복! 확인",""))</f>
        <v/>
      </c>
      <c r="I39">
        <f>IF(A39="","",평가A!G39)</f>
        <v/>
      </c>
      <c r="J39">
        <f>IF(A39="","",평가A!H39)</f>
        <v/>
      </c>
      <c r="K39">
        <f>IF(A39="","",IF(OR(F39="",I39="",J39="첫 응시(평가B)"),"",ROUND(F39-I39,1)))</f>
        <v/>
      </c>
      <c r="L39">
        <f>IF(A39="","",IF(OR(F39="",I39="",J39="첫 응시(평가B)"),"",IF(F39&gt;=HIGH_CUT,PTS_HIGH,IF(K39&gt;=STEP2,PTS_HIGH,IF(K39&gt;=STEP1,PTS_MID,PTS_LOW)))))</f>
        <v/>
      </c>
      <c r="M39">
        <f>IF(A39="","",IF(F39="","",IF(J39="첫 응시(평가B)","보류",IF(I39="","",IF(F39&gt;=HIGH_CUT,"숙달",IF(K39&gt;=STEP2,"향상",IF(K39&gt;=STEP1,"유지","보완 필요")))))))</f>
        <v/>
      </c>
      <c r="N39">
        <f>IF(A39="","",IF(AND(G39="응시",ISNUMBER(L39)),L39,""))</f>
        <v/>
      </c>
      <c r="O39">
        <f>IF(A39="","",IF(F39="","결석 - 기록 없음",IF(J39="첫 응시(평가B)","판정 보류 - 평가A가 없어 이번 결과가 기준점수(평가C부터 판정)",IF(I39="","기준점수 없음",IF(F39&gt;=HIGH_CUT,"숙달 - 이번 정답률이 숙달 기준 이상",IF(K39&gt;=STEP2,"향상 - 기준보다 크게 오름",IF(K39&gt;=STEP1,"유지 - 기준과 비슷함","보완 필요 - 기준보다 크게 내려감"))))))&amp;IF(G39="비경쟁 응시"," / 비경쟁: 팀 점수 제외",""))</f>
        <v/>
      </c>
      <c r="R39" s="3" t="n"/>
      <c r="S39" s="3" t="n"/>
      <c r="T39" s="3" t="n"/>
      <c r="U39" s="3" t="n"/>
      <c r="W39">
        <f>IF(UPPER(TRIM(R39&amp;""))="","",IF(RIGHT(UPPER(TRIM(R39&amp;"")),2)="-N",TRIM(LEFT(UPPER(TRIM(R39&amp;"")),LEN(UPPER(TRIM(R39&amp;"")))-2)),UPPER(TRIM(R39&amp;""))))</f>
        <v/>
      </c>
      <c r="X39">
        <f>IF(W39="","",IF(ISNUMBER(U39),ROUND(U39,1),IF(AND(ISNUMBER(S39),ISNUMBER(T39)),IF(T39&gt;0,ROUND(S39/T39*100,1),""),"")))</f>
        <v/>
      </c>
      <c r="Y39">
        <f>IF(W39="","",IF(RIGHT(UPPER(TRIM(R39&amp;"")),2)="-N","비경쟁",""))</f>
        <v/>
      </c>
      <c r="Z39">
        <f>IF(W39="","",IF(COUNTIF(참가자!$A$3:$A$52,W39)=0,"명단에 없는 코드",""))</f>
        <v/>
      </c>
      <c r="AA39">
        <f>IF(W39="","",IF(ISNUMBER(U39),ROUND(U39*EVAL_ITEMS/100,1),IF(AND(ISNUMBER(S39),ISNUMBER(T39)),IF(T39&gt;0,S39,""),"")))</f>
        <v/>
      </c>
    </row>
    <row r="40">
      <c r="A40">
        <f>IF(참가자!A40="","",UPPER(TRIM(참가자!A40)))</f>
        <v/>
      </c>
      <c r="B40">
        <f>IF(A40="","",IF(참가자!B40="","(팀 없음)",TRIM(참가자!B40)))</f>
        <v/>
      </c>
      <c r="C40">
        <f>IF(A40="","",평가A!C40)</f>
        <v/>
      </c>
      <c r="D40">
        <f>IF(A40="","",IFERROR(INDEX($AA$3:$AA$102,MATCH(A40,$W$3:$W$102,0)),""))</f>
        <v/>
      </c>
      <c r="E40">
        <f>IF(A40="","",IF(OR(NOT(ISNUMBER(D40)),J40="첫 응시(평가B)",NOT(ISNUMBER(평가A!I40))),"",ROUND(D40-평가A!I40,1)))</f>
        <v/>
      </c>
      <c r="F40">
        <f>IF(A40="","",IFERROR(INDEX($X$3:$X$102,MATCH(A40,$W$3:$W$102,0)),""))</f>
        <v/>
      </c>
      <c r="G40">
        <f>IF(A40="","",IF(F40="","결석",IF(IFERROR(INDEX($Y$3:$Y$102,MATCH(A40,$W$3:$W$102,0)),"")="비경쟁","비경쟁 응시","응시")))</f>
        <v/>
      </c>
      <c r="H40">
        <f>IF(A40="","",IF(COUNTIF($W$3:$W$102,A40)&gt;1,"중복! 확인",""))</f>
        <v/>
      </c>
      <c r="I40">
        <f>IF(A40="","",평가A!G40)</f>
        <v/>
      </c>
      <c r="J40">
        <f>IF(A40="","",평가A!H40)</f>
        <v/>
      </c>
      <c r="K40">
        <f>IF(A40="","",IF(OR(F40="",I40="",J40="첫 응시(평가B)"),"",ROUND(F40-I40,1)))</f>
        <v/>
      </c>
      <c r="L40">
        <f>IF(A40="","",IF(OR(F40="",I40="",J40="첫 응시(평가B)"),"",IF(F40&gt;=HIGH_CUT,PTS_HIGH,IF(K40&gt;=STEP2,PTS_HIGH,IF(K40&gt;=STEP1,PTS_MID,PTS_LOW)))))</f>
        <v/>
      </c>
      <c r="M40">
        <f>IF(A40="","",IF(F40="","",IF(J40="첫 응시(평가B)","보류",IF(I40="","",IF(F40&gt;=HIGH_CUT,"숙달",IF(K40&gt;=STEP2,"향상",IF(K40&gt;=STEP1,"유지","보완 필요")))))))</f>
        <v/>
      </c>
      <c r="N40">
        <f>IF(A40="","",IF(AND(G40="응시",ISNUMBER(L40)),L40,""))</f>
        <v/>
      </c>
      <c r="O40">
        <f>IF(A40="","",IF(F40="","결석 - 기록 없음",IF(J40="첫 응시(평가B)","판정 보류 - 평가A가 없어 이번 결과가 기준점수(평가C부터 판정)",IF(I40="","기준점수 없음",IF(F40&gt;=HIGH_CUT,"숙달 - 이번 정답률이 숙달 기준 이상",IF(K40&gt;=STEP2,"향상 - 기준보다 크게 오름",IF(K40&gt;=STEP1,"유지 - 기준과 비슷함","보완 필요 - 기준보다 크게 내려감"))))))&amp;IF(G40="비경쟁 응시"," / 비경쟁: 팀 점수 제외",""))</f>
        <v/>
      </c>
      <c r="R40" s="3" t="n"/>
      <c r="S40" s="3" t="n"/>
      <c r="T40" s="3" t="n"/>
      <c r="U40" s="3" t="n"/>
      <c r="W40">
        <f>IF(UPPER(TRIM(R40&amp;""))="","",IF(RIGHT(UPPER(TRIM(R40&amp;"")),2)="-N",TRIM(LEFT(UPPER(TRIM(R40&amp;"")),LEN(UPPER(TRIM(R40&amp;"")))-2)),UPPER(TRIM(R40&amp;""))))</f>
        <v/>
      </c>
      <c r="X40">
        <f>IF(W40="","",IF(ISNUMBER(U40),ROUND(U40,1),IF(AND(ISNUMBER(S40),ISNUMBER(T40)),IF(T40&gt;0,ROUND(S40/T40*100,1),""),"")))</f>
        <v/>
      </c>
      <c r="Y40">
        <f>IF(W40="","",IF(RIGHT(UPPER(TRIM(R40&amp;"")),2)="-N","비경쟁",""))</f>
        <v/>
      </c>
      <c r="Z40">
        <f>IF(W40="","",IF(COUNTIF(참가자!$A$3:$A$52,W40)=0,"명단에 없는 코드",""))</f>
        <v/>
      </c>
      <c r="AA40">
        <f>IF(W40="","",IF(ISNUMBER(U40),ROUND(U40*EVAL_ITEMS/100,1),IF(AND(ISNUMBER(S40),ISNUMBER(T40)),IF(T40&gt;0,S40,""),"")))</f>
        <v/>
      </c>
    </row>
    <row r="41">
      <c r="A41">
        <f>IF(참가자!A41="","",UPPER(TRIM(참가자!A41)))</f>
        <v/>
      </c>
      <c r="B41">
        <f>IF(A41="","",IF(참가자!B41="","(팀 없음)",TRIM(참가자!B41)))</f>
        <v/>
      </c>
      <c r="C41">
        <f>IF(A41="","",평가A!C41)</f>
        <v/>
      </c>
      <c r="D41">
        <f>IF(A41="","",IFERROR(INDEX($AA$3:$AA$102,MATCH(A41,$W$3:$W$102,0)),""))</f>
        <v/>
      </c>
      <c r="E41">
        <f>IF(A41="","",IF(OR(NOT(ISNUMBER(D41)),J41="첫 응시(평가B)",NOT(ISNUMBER(평가A!I41))),"",ROUND(D41-평가A!I41,1)))</f>
        <v/>
      </c>
      <c r="F41">
        <f>IF(A41="","",IFERROR(INDEX($X$3:$X$102,MATCH(A41,$W$3:$W$102,0)),""))</f>
        <v/>
      </c>
      <c r="G41">
        <f>IF(A41="","",IF(F41="","결석",IF(IFERROR(INDEX($Y$3:$Y$102,MATCH(A41,$W$3:$W$102,0)),"")="비경쟁","비경쟁 응시","응시")))</f>
        <v/>
      </c>
      <c r="H41">
        <f>IF(A41="","",IF(COUNTIF($W$3:$W$102,A41)&gt;1,"중복! 확인",""))</f>
        <v/>
      </c>
      <c r="I41">
        <f>IF(A41="","",평가A!G41)</f>
        <v/>
      </c>
      <c r="J41">
        <f>IF(A41="","",평가A!H41)</f>
        <v/>
      </c>
      <c r="K41">
        <f>IF(A41="","",IF(OR(F41="",I41="",J41="첫 응시(평가B)"),"",ROUND(F41-I41,1)))</f>
        <v/>
      </c>
      <c r="L41">
        <f>IF(A41="","",IF(OR(F41="",I41="",J41="첫 응시(평가B)"),"",IF(F41&gt;=HIGH_CUT,PTS_HIGH,IF(K41&gt;=STEP2,PTS_HIGH,IF(K41&gt;=STEP1,PTS_MID,PTS_LOW)))))</f>
        <v/>
      </c>
      <c r="M41">
        <f>IF(A41="","",IF(F41="","",IF(J41="첫 응시(평가B)","보류",IF(I41="","",IF(F41&gt;=HIGH_CUT,"숙달",IF(K41&gt;=STEP2,"향상",IF(K41&gt;=STEP1,"유지","보완 필요")))))))</f>
        <v/>
      </c>
      <c r="N41">
        <f>IF(A41="","",IF(AND(G41="응시",ISNUMBER(L41)),L41,""))</f>
        <v/>
      </c>
      <c r="O41">
        <f>IF(A41="","",IF(F41="","결석 - 기록 없음",IF(J41="첫 응시(평가B)","판정 보류 - 평가A가 없어 이번 결과가 기준점수(평가C부터 판정)",IF(I41="","기준점수 없음",IF(F41&gt;=HIGH_CUT,"숙달 - 이번 정답률이 숙달 기준 이상",IF(K41&gt;=STEP2,"향상 - 기준보다 크게 오름",IF(K41&gt;=STEP1,"유지 - 기준과 비슷함","보완 필요 - 기준보다 크게 내려감"))))))&amp;IF(G41="비경쟁 응시"," / 비경쟁: 팀 점수 제외",""))</f>
        <v/>
      </c>
      <c r="R41" s="3" t="n"/>
      <c r="S41" s="3" t="n"/>
      <c r="T41" s="3" t="n"/>
      <c r="U41" s="3" t="n"/>
      <c r="W41">
        <f>IF(UPPER(TRIM(R41&amp;""))="","",IF(RIGHT(UPPER(TRIM(R41&amp;"")),2)="-N",TRIM(LEFT(UPPER(TRIM(R41&amp;"")),LEN(UPPER(TRIM(R41&amp;"")))-2)),UPPER(TRIM(R41&amp;""))))</f>
        <v/>
      </c>
      <c r="X41">
        <f>IF(W41="","",IF(ISNUMBER(U41),ROUND(U41,1),IF(AND(ISNUMBER(S41),ISNUMBER(T41)),IF(T41&gt;0,ROUND(S41/T41*100,1),""),"")))</f>
        <v/>
      </c>
      <c r="Y41">
        <f>IF(W41="","",IF(RIGHT(UPPER(TRIM(R41&amp;"")),2)="-N","비경쟁",""))</f>
        <v/>
      </c>
      <c r="Z41">
        <f>IF(W41="","",IF(COUNTIF(참가자!$A$3:$A$52,W41)=0,"명단에 없는 코드",""))</f>
        <v/>
      </c>
      <c r="AA41">
        <f>IF(W41="","",IF(ISNUMBER(U41),ROUND(U41*EVAL_ITEMS/100,1),IF(AND(ISNUMBER(S41),ISNUMBER(T41)),IF(T41&gt;0,S41,""),"")))</f>
        <v/>
      </c>
    </row>
    <row r="42">
      <c r="A42">
        <f>IF(참가자!A42="","",UPPER(TRIM(참가자!A42)))</f>
        <v/>
      </c>
      <c r="B42">
        <f>IF(A42="","",IF(참가자!B42="","(팀 없음)",TRIM(참가자!B42)))</f>
        <v/>
      </c>
      <c r="C42">
        <f>IF(A42="","",평가A!C42)</f>
        <v/>
      </c>
      <c r="D42">
        <f>IF(A42="","",IFERROR(INDEX($AA$3:$AA$102,MATCH(A42,$W$3:$W$102,0)),""))</f>
        <v/>
      </c>
      <c r="E42">
        <f>IF(A42="","",IF(OR(NOT(ISNUMBER(D42)),J42="첫 응시(평가B)",NOT(ISNUMBER(평가A!I42))),"",ROUND(D42-평가A!I42,1)))</f>
        <v/>
      </c>
      <c r="F42">
        <f>IF(A42="","",IFERROR(INDEX($X$3:$X$102,MATCH(A42,$W$3:$W$102,0)),""))</f>
        <v/>
      </c>
      <c r="G42">
        <f>IF(A42="","",IF(F42="","결석",IF(IFERROR(INDEX($Y$3:$Y$102,MATCH(A42,$W$3:$W$102,0)),"")="비경쟁","비경쟁 응시","응시")))</f>
        <v/>
      </c>
      <c r="H42">
        <f>IF(A42="","",IF(COUNTIF($W$3:$W$102,A42)&gt;1,"중복! 확인",""))</f>
        <v/>
      </c>
      <c r="I42">
        <f>IF(A42="","",평가A!G42)</f>
        <v/>
      </c>
      <c r="J42">
        <f>IF(A42="","",평가A!H42)</f>
        <v/>
      </c>
      <c r="K42">
        <f>IF(A42="","",IF(OR(F42="",I42="",J42="첫 응시(평가B)"),"",ROUND(F42-I42,1)))</f>
        <v/>
      </c>
      <c r="L42">
        <f>IF(A42="","",IF(OR(F42="",I42="",J42="첫 응시(평가B)"),"",IF(F42&gt;=HIGH_CUT,PTS_HIGH,IF(K42&gt;=STEP2,PTS_HIGH,IF(K42&gt;=STEP1,PTS_MID,PTS_LOW)))))</f>
        <v/>
      </c>
      <c r="M42">
        <f>IF(A42="","",IF(F42="","",IF(J42="첫 응시(평가B)","보류",IF(I42="","",IF(F42&gt;=HIGH_CUT,"숙달",IF(K42&gt;=STEP2,"향상",IF(K42&gt;=STEP1,"유지","보완 필요")))))))</f>
        <v/>
      </c>
      <c r="N42">
        <f>IF(A42="","",IF(AND(G42="응시",ISNUMBER(L42)),L42,""))</f>
        <v/>
      </c>
      <c r="O42">
        <f>IF(A42="","",IF(F42="","결석 - 기록 없음",IF(J42="첫 응시(평가B)","판정 보류 - 평가A가 없어 이번 결과가 기준점수(평가C부터 판정)",IF(I42="","기준점수 없음",IF(F42&gt;=HIGH_CUT,"숙달 - 이번 정답률이 숙달 기준 이상",IF(K42&gt;=STEP2,"향상 - 기준보다 크게 오름",IF(K42&gt;=STEP1,"유지 - 기준과 비슷함","보완 필요 - 기준보다 크게 내려감"))))))&amp;IF(G42="비경쟁 응시"," / 비경쟁: 팀 점수 제외",""))</f>
        <v/>
      </c>
      <c r="R42" s="3" t="n"/>
      <c r="S42" s="3" t="n"/>
      <c r="T42" s="3" t="n"/>
      <c r="U42" s="3" t="n"/>
      <c r="W42">
        <f>IF(UPPER(TRIM(R42&amp;""))="","",IF(RIGHT(UPPER(TRIM(R42&amp;"")),2)="-N",TRIM(LEFT(UPPER(TRIM(R42&amp;"")),LEN(UPPER(TRIM(R42&amp;"")))-2)),UPPER(TRIM(R42&amp;""))))</f>
        <v/>
      </c>
      <c r="X42">
        <f>IF(W42="","",IF(ISNUMBER(U42),ROUND(U42,1),IF(AND(ISNUMBER(S42),ISNUMBER(T42)),IF(T42&gt;0,ROUND(S42/T42*100,1),""),"")))</f>
        <v/>
      </c>
      <c r="Y42">
        <f>IF(W42="","",IF(RIGHT(UPPER(TRIM(R42&amp;"")),2)="-N","비경쟁",""))</f>
        <v/>
      </c>
      <c r="Z42">
        <f>IF(W42="","",IF(COUNTIF(참가자!$A$3:$A$52,W42)=0,"명단에 없는 코드",""))</f>
        <v/>
      </c>
      <c r="AA42">
        <f>IF(W42="","",IF(ISNUMBER(U42),ROUND(U42*EVAL_ITEMS/100,1),IF(AND(ISNUMBER(S42),ISNUMBER(T42)),IF(T42&gt;0,S42,""),"")))</f>
        <v/>
      </c>
    </row>
    <row r="43">
      <c r="A43">
        <f>IF(참가자!A43="","",UPPER(TRIM(참가자!A43)))</f>
        <v/>
      </c>
      <c r="B43">
        <f>IF(A43="","",IF(참가자!B43="","(팀 없음)",TRIM(참가자!B43)))</f>
        <v/>
      </c>
      <c r="C43">
        <f>IF(A43="","",평가A!C43)</f>
        <v/>
      </c>
      <c r="D43">
        <f>IF(A43="","",IFERROR(INDEX($AA$3:$AA$102,MATCH(A43,$W$3:$W$102,0)),""))</f>
        <v/>
      </c>
      <c r="E43">
        <f>IF(A43="","",IF(OR(NOT(ISNUMBER(D43)),J43="첫 응시(평가B)",NOT(ISNUMBER(평가A!I43))),"",ROUND(D43-평가A!I43,1)))</f>
        <v/>
      </c>
      <c r="F43">
        <f>IF(A43="","",IFERROR(INDEX($X$3:$X$102,MATCH(A43,$W$3:$W$102,0)),""))</f>
        <v/>
      </c>
      <c r="G43">
        <f>IF(A43="","",IF(F43="","결석",IF(IFERROR(INDEX($Y$3:$Y$102,MATCH(A43,$W$3:$W$102,0)),"")="비경쟁","비경쟁 응시","응시")))</f>
        <v/>
      </c>
      <c r="H43">
        <f>IF(A43="","",IF(COUNTIF($W$3:$W$102,A43)&gt;1,"중복! 확인",""))</f>
        <v/>
      </c>
      <c r="I43">
        <f>IF(A43="","",평가A!G43)</f>
        <v/>
      </c>
      <c r="J43">
        <f>IF(A43="","",평가A!H43)</f>
        <v/>
      </c>
      <c r="K43">
        <f>IF(A43="","",IF(OR(F43="",I43="",J43="첫 응시(평가B)"),"",ROUND(F43-I43,1)))</f>
        <v/>
      </c>
      <c r="L43">
        <f>IF(A43="","",IF(OR(F43="",I43="",J43="첫 응시(평가B)"),"",IF(F43&gt;=HIGH_CUT,PTS_HIGH,IF(K43&gt;=STEP2,PTS_HIGH,IF(K43&gt;=STEP1,PTS_MID,PTS_LOW)))))</f>
        <v/>
      </c>
      <c r="M43">
        <f>IF(A43="","",IF(F43="","",IF(J43="첫 응시(평가B)","보류",IF(I43="","",IF(F43&gt;=HIGH_CUT,"숙달",IF(K43&gt;=STEP2,"향상",IF(K43&gt;=STEP1,"유지","보완 필요")))))))</f>
        <v/>
      </c>
      <c r="N43">
        <f>IF(A43="","",IF(AND(G43="응시",ISNUMBER(L43)),L43,""))</f>
        <v/>
      </c>
      <c r="O43">
        <f>IF(A43="","",IF(F43="","결석 - 기록 없음",IF(J43="첫 응시(평가B)","판정 보류 - 평가A가 없어 이번 결과가 기준점수(평가C부터 판정)",IF(I43="","기준점수 없음",IF(F43&gt;=HIGH_CUT,"숙달 - 이번 정답률이 숙달 기준 이상",IF(K43&gt;=STEP2,"향상 - 기준보다 크게 오름",IF(K43&gt;=STEP1,"유지 - 기준과 비슷함","보완 필요 - 기준보다 크게 내려감"))))))&amp;IF(G43="비경쟁 응시"," / 비경쟁: 팀 점수 제외",""))</f>
        <v/>
      </c>
      <c r="R43" s="3" t="n"/>
      <c r="S43" s="3" t="n"/>
      <c r="T43" s="3" t="n"/>
      <c r="U43" s="3" t="n"/>
      <c r="W43">
        <f>IF(UPPER(TRIM(R43&amp;""))="","",IF(RIGHT(UPPER(TRIM(R43&amp;"")),2)="-N",TRIM(LEFT(UPPER(TRIM(R43&amp;"")),LEN(UPPER(TRIM(R43&amp;"")))-2)),UPPER(TRIM(R43&amp;""))))</f>
        <v/>
      </c>
      <c r="X43">
        <f>IF(W43="","",IF(ISNUMBER(U43),ROUND(U43,1),IF(AND(ISNUMBER(S43),ISNUMBER(T43)),IF(T43&gt;0,ROUND(S43/T43*100,1),""),"")))</f>
        <v/>
      </c>
      <c r="Y43">
        <f>IF(W43="","",IF(RIGHT(UPPER(TRIM(R43&amp;"")),2)="-N","비경쟁",""))</f>
        <v/>
      </c>
      <c r="Z43">
        <f>IF(W43="","",IF(COUNTIF(참가자!$A$3:$A$52,W43)=0,"명단에 없는 코드",""))</f>
        <v/>
      </c>
      <c r="AA43">
        <f>IF(W43="","",IF(ISNUMBER(U43),ROUND(U43*EVAL_ITEMS/100,1),IF(AND(ISNUMBER(S43),ISNUMBER(T43)),IF(T43&gt;0,S43,""),"")))</f>
        <v/>
      </c>
    </row>
    <row r="44">
      <c r="A44">
        <f>IF(참가자!A44="","",UPPER(TRIM(참가자!A44)))</f>
        <v/>
      </c>
      <c r="B44">
        <f>IF(A44="","",IF(참가자!B44="","(팀 없음)",TRIM(참가자!B44)))</f>
        <v/>
      </c>
      <c r="C44">
        <f>IF(A44="","",평가A!C44)</f>
        <v/>
      </c>
      <c r="D44">
        <f>IF(A44="","",IFERROR(INDEX($AA$3:$AA$102,MATCH(A44,$W$3:$W$102,0)),""))</f>
        <v/>
      </c>
      <c r="E44">
        <f>IF(A44="","",IF(OR(NOT(ISNUMBER(D44)),J44="첫 응시(평가B)",NOT(ISNUMBER(평가A!I44))),"",ROUND(D44-평가A!I44,1)))</f>
        <v/>
      </c>
      <c r="F44">
        <f>IF(A44="","",IFERROR(INDEX($X$3:$X$102,MATCH(A44,$W$3:$W$102,0)),""))</f>
        <v/>
      </c>
      <c r="G44">
        <f>IF(A44="","",IF(F44="","결석",IF(IFERROR(INDEX($Y$3:$Y$102,MATCH(A44,$W$3:$W$102,0)),"")="비경쟁","비경쟁 응시","응시")))</f>
        <v/>
      </c>
      <c r="H44">
        <f>IF(A44="","",IF(COUNTIF($W$3:$W$102,A44)&gt;1,"중복! 확인",""))</f>
        <v/>
      </c>
      <c r="I44">
        <f>IF(A44="","",평가A!G44)</f>
        <v/>
      </c>
      <c r="J44">
        <f>IF(A44="","",평가A!H44)</f>
        <v/>
      </c>
      <c r="K44">
        <f>IF(A44="","",IF(OR(F44="",I44="",J44="첫 응시(평가B)"),"",ROUND(F44-I44,1)))</f>
        <v/>
      </c>
      <c r="L44">
        <f>IF(A44="","",IF(OR(F44="",I44="",J44="첫 응시(평가B)"),"",IF(F44&gt;=HIGH_CUT,PTS_HIGH,IF(K44&gt;=STEP2,PTS_HIGH,IF(K44&gt;=STEP1,PTS_MID,PTS_LOW)))))</f>
        <v/>
      </c>
      <c r="M44">
        <f>IF(A44="","",IF(F44="","",IF(J44="첫 응시(평가B)","보류",IF(I44="","",IF(F44&gt;=HIGH_CUT,"숙달",IF(K44&gt;=STEP2,"향상",IF(K44&gt;=STEP1,"유지","보완 필요")))))))</f>
        <v/>
      </c>
      <c r="N44">
        <f>IF(A44="","",IF(AND(G44="응시",ISNUMBER(L44)),L44,""))</f>
        <v/>
      </c>
      <c r="O44">
        <f>IF(A44="","",IF(F44="","결석 - 기록 없음",IF(J44="첫 응시(평가B)","판정 보류 - 평가A가 없어 이번 결과가 기준점수(평가C부터 판정)",IF(I44="","기준점수 없음",IF(F44&gt;=HIGH_CUT,"숙달 - 이번 정답률이 숙달 기준 이상",IF(K44&gt;=STEP2,"향상 - 기준보다 크게 오름",IF(K44&gt;=STEP1,"유지 - 기준과 비슷함","보완 필요 - 기준보다 크게 내려감"))))))&amp;IF(G44="비경쟁 응시"," / 비경쟁: 팀 점수 제외",""))</f>
        <v/>
      </c>
      <c r="R44" s="3" t="n"/>
      <c r="S44" s="3" t="n"/>
      <c r="T44" s="3" t="n"/>
      <c r="U44" s="3" t="n"/>
      <c r="W44">
        <f>IF(UPPER(TRIM(R44&amp;""))="","",IF(RIGHT(UPPER(TRIM(R44&amp;"")),2)="-N",TRIM(LEFT(UPPER(TRIM(R44&amp;"")),LEN(UPPER(TRIM(R44&amp;"")))-2)),UPPER(TRIM(R44&amp;""))))</f>
        <v/>
      </c>
      <c r="X44">
        <f>IF(W44="","",IF(ISNUMBER(U44),ROUND(U44,1),IF(AND(ISNUMBER(S44),ISNUMBER(T44)),IF(T44&gt;0,ROUND(S44/T44*100,1),""),"")))</f>
        <v/>
      </c>
      <c r="Y44">
        <f>IF(W44="","",IF(RIGHT(UPPER(TRIM(R44&amp;"")),2)="-N","비경쟁",""))</f>
        <v/>
      </c>
      <c r="Z44">
        <f>IF(W44="","",IF(COUNTIF(참가자!$A$3:$A$52,W44)=0,"명단에 없는 코드",""))</f>
        <v/>
      </c>
      <c r="AA44">
        <f>IF(W44="","",IF(ISNUMBER(U44),ROUND(U44*EVAL_ITEMS/100,1),IF(AND(ISNUMBER(S44),ISNUMBER(T44)),IF(T44&gt;0,S44,""),"")))</f>
        <v/>
      </c>
    </row>
    <row r="45">
      <c r="A45">
        <f>IF(참가자!A45="","",UPPER(TRIM(참가자!A45)))</f>
        <v/>
      </c>
      <c r="B45">
        <f>IF(A45="","",IF(참가자!B45="","(팀 없음)",TRIM(참가자!B45)))</f>
        <v/>
      </c>
      <c r="C45">
        <f>IF(A45="","",평가A!C45)</f>
        <v/>
      </c>
      <c r="D45">
        <f>IF(A45="","",IFERROR(INDEX($AA$3:$AA$102,MATCH(A45,$W$3:$W$102,0)),""))</f>
        <v/>
      </c>
      <c r="E45">
        <f>IF(A45="","",IF(OR(NOT(ISNUMBER(D45)),J45="첫 응시(평가B)",NOT(ISNUMBER(평가A!I45))),"",ROUND(D45-평가A!I45,1)))</f>
        <v/>
      </c>
      <c r="F45">
        <f>IF(A45="","",IFERROR(INDEX($X$3:$X$102,MATCH(A45,$W$3:$W$102,0)),""))</f>
        <v/>
      </c>
      <c r="G45">
        <f>IF(A45="","",IF(F45="","결석",IF(IFERROR(INDEX($Y$3:$Y$102,MATCH(A45,$W$3:$W$102,0)),"")="비경쟁","비경쟁 응시","응시")))</f>
        <v/>
      </c>
      <c r="H45">
        <f>IF(A45="","",IF(COUNTIF($W$3:$W$102,A45)&gt;1,"중복! 확인",""))</f>
        <v/>
      </c>
      <c r="I45">
        <f>IF(A45="","",평가A!G45)</f>
        <v/>
      </c>
      <c r="J45">
        <f>IF(A45="","",평가A!H45)</f>
        <v/>
      </c>
      <c r="K45">
        <f>IF(A45="","",IF(OR(F45="",I45="",J45="첫 응시(평가B)"),"",ROUND(F45-I45,1)))</f>
        <v/>
      </c>
      <c r="L45">
        <f>IF(A45="","",IF(OR(F45="",I45="",J45="첫 응시(평가B)"),"",IF(F45&gt;=HIGH_CUT,PTS_HIGH,IF(K45&gt;=STEP2,PTS_HIGH,IF(K45&gt;=STEP1,PTS_MID,PTS_LOW)))))</f>
        <v/>
      </c>
      <c r="M45">
        <f>IF(A45="","",IF(F45="","",IF(J45="첫 응시(평가B)","보류",IF(I45="","",IF(F45&gt;=HIGH_CUT,"숙달",IF(K45&gt;=STEP2,"향상",IF(K45&gt;=STEP1,"유지","보완 필요")))))))</f>
        <v/>
      </c>
      <c r="N45">
        <f>IF(A45="","",IF(AND(G45="응시",ISNUMBER(L45)),L45,""))</f>
        <v/>
      </c>
      <c r="O45">
        <f>IF(A45="","",IF(F45="","결석 - 기록 없음",IF(J45="첫 응시(평가B)","판정 보류 - 평가A가 없어 이번 결과가 기준점수(평가C부터 판정)",IF(I45="","기준점수 없음",IF(F45&gt;=HIGH_CUT,"숙달 - 이번 정답률이 숙달 기준 이상",IF(K45&gt;=STEP2,"향상 - 기준보다 크게 오름",IF(K45&gt;=STEP1,"유지 - 기준과 비슷함","보완 필요 - 기준보다 크게 내려감"))))))&amp;IF(G45="비경쟁 응시"," / 비경쟁: 팀 점수 제외",""))</f>
        <v/>
      </c>
      <c r="R45" s="3" t="n"/>
      <c r="S45" s="3" t="n"/>
      <c r="T45" s="3" t="n"/>
      <c r="U45" s="3" t="n"/>
      <c r="W45">
        <f>IF(UPPER(TRIM(R45&amp;""))="","",IF(RIGHT(UPPER(TRIM(R45&amp;"")),2)="-N",TRIM(LEFT(UPPER(TRIM(R45&amp;"")),LEN(UPPER(TRIM(R45&amp;"")))-2)),UPPER(TRIM(R45&amp;""))))</f>
        <v/>
      </c>
      <c r="X45">
        <f>IF(W45="","",IF(ISNUMBER(U45),ROUND(U45,1),IF(AND(ISNUMBER(S45),ISNUMBER(T45)),IF(T45&gt;0,ROUND(S45/T45*100,1),""),"")))</f>
        <v/>
      </c>
      <c r="Y45">
        <f>IF(W45="","",IF(RIGHT(UPPER(TRIM(R45&amp;"")),2)="-N","비경쟁",""))</f>
        <v/>
      </c>
      <c r="Z45">
        <f>IF(W45="","",IF(COUNTIF(참가자!$A$3:$A$52,W45)=0,"명단에 없는 코드",""))</f>
        <v/>
      </c>
      <c r="AA45">
        <f>IF(W45="","",IF(ISNUMBER(U45),ROUND(U45*EVAL_ITEMS/100,1),IF(AND(ISNUMBER(S45),ISNUMBER(T45)),IF(T45&gt;0,S45,""),"")))</f>
        <v/>
      </c>
    </row>
    <row r="46">
      <c r="A46">
        <f>IF(참가자!A46="","",UPPER(TRIM(참가자!A46)))</f>
        <v/>
      </c>
      <c r="B46">
        <f>IF(A46="","",IF(참가자!B46="","(팀 없음)",TRIM(참가자!B46)))</f>
        <v/>
      </c>
      <c r="C46">
        <f>IF(A46="","",평가A!C46)</f>
        <v/>
      </c>
      <c r="D46">
        <f>IF(A46="","",IFERROR(INDEX($AA$3:$AA$102,MATCH(A46,$W$3:$W$102,0)),""))</f>
        <v/>
      </c>
      <c r="E46">
        <f>IF(A46="","",IF(OR(NOT(ISNUMBER(D46)),J46="첫 응시(평가B)",NOT(ISNUMBER(평가A!I46))),"",ROUND(D46-평가A!I46,1)))</f>
        <v/>
      </c>
      <c r="F46">
        <f>IF(A46="","",IFERROR(INDEX($X$3:$X$102,MATCH(A46,$W$3:$W$102,0)),""))</f>
        <v/>
      </c>
      <c r="G46">
        <f>IF(A46="","",IF(F46="","결석",IF(IFERROR(INDEX($Y$3:$Y$102,MATCH(A46,$W$3:$W$102,0)),"")="비경쟁","비경쟁 응시","응시")))</f>
        <v/>
      </c>
      <c r="H46">
        <f>IF(A46="","",IF(COUNTIF($W$3:$W$102,A46)&gt;1,"중복! 확인",""))</f>
        <v/>
      </c>
      <c r="I46">
        <f>IF(A46="","",평가A!G46)</f>
        <v/>
      </c>
      <c r="J46">
        <f>IF(A46="","",평가A!H46)</f>
        <v/>
      </c>
      <c r="K46">
        <f>IF(A46="","",IF(OR(F46="",I46="",J46="첫 응시(평가B)"),"",ROUND(F46-I46,1)))</f>
        <v/>
      </c>
      <c r="L46">
        <f>IF(A46="","",IF(OR(F46="",I46="",J46="첫 응시(평가B)"),"",IF(F46&gt;=HIGH_CUT,PTS_HIGH,IF(K46&gt;=STEP2,PTS_HIGH,IF(K46&gt;=STEP1,PTS_MID,PTS_LOW)))))</f>
        <v/>
      </c>
      <c r="M46">
        <f>IF(A46="","",IF(F46="","",IF(J46="첫 응시(평가B)","보류",IF(I46="","",IF(F46&gt;=HIGH_CUT,"숙달",IF(K46&gt;=STEP2,"향상",IF(K46&gt;=STEP1,"유지","보완 필요")))))))</f>
        <v/>
      </c>
      <c r="N46">
        <f>IF(A46="","",IF(AND(G46="응시",ISNUMBER(L46)),L46,""))</f>
        <v/>
      </c>
      <c r="O46">
        <f>IF(A46="","",IF(F46="","결석 - 기록 없음",IF(J46="첫 응시(평가B)","판정 보류 - 평가A가 없어 이번 결과가 기준점수(평가C부터 판정)",IF(I46="","기준점수 없음",IF(F46&gt;=HIGH_CUT,"숙달 - 이번 정답률이 숙달 기준 이상",IF(K46&gt;=STEP2,"향상 - 기준보다 크게 오름",IF(K46&gt;=STEP1,"유지 - 기준과 비슷함","보완 필요 - 기준보다 크게 내려감"))))))&amp;IF(G46="비경쟁 응시"," / 비경쟁: 팀 점수 제외",""))</f>
        <v/>
      </c>
      <c r="R46" s="3" t="n"/>
      <c r="S46" s="3" t="n"/>
      <c r="T46" s="3" t="n"/>
      <c r="U46" s="3" t="n"/>
      <c r="W46">
        <f>IF(UPPER(TRIM(R46&amp;""))="","",IF(RIGHT(UPPER(TRIM(R46&amp;"")),2)="-N",TRIM(LEFT(UPPER(TRIM(R46&amp;"")),LEN(UPPER(TRIM(R46&amp;"")))-2)),UPPER(TRIM(R46&amp;""))))</f>
        <v/>
      </c>
      <c r="X46">
        <f>IF(W46="","",IF(ISNUMBER(U46),ROUND(U46,1),IF(AND(ISNUMBER(S46),ISNUMBER(T46)),IF(T46&gt;0,ROUND(S46/T46*100,1),""),"")))</f>
        <v/>
      </c>
      <c r="Y46">
        <f>IF(W46="","",IF(RIGHT(UPPER(TRIM(R46&amp;"")),2)="-N","비경쟁",""))</f>
        <v/>
      </c>
      <c r="Z46">
        <f>IF(W46="","",IF(COUNTIF(참가자!$A$3:$A$52,W46)=0,"명단에 없는 코드",""))</f>
        <v/>
      </c>
      <c r="AA46">
        <f>IF(W46="","",IF(ISNUMBER(U46),ROUND(U46*EVAL_ITEMS/100,1),IF(AND(ISNUMBER(S46),ISNUMBER(T46)),IF(T46&gt;0,S46,""),"")))</f>
        <v/>
      </c>
    </row>
    <row r="47">
      <c r="A47">
        <f>IF(참가자!A47="","",UPPER(TRIM(참가자!A47)))</f>
        <v/>
      </c>
      <c r="B47">
        <f>IF(A47="","",IF(참가자!B47="","(팀 없음)",TRIM(참가자!B47)))</f>
        <v/>
      </c>
      <c r="C47">
        <f>IF(A47="","",평가A!C47)</f>
        <v/>
      </c>
      <c r="D47">
        <f>IF(A47="","",IFERROR(INDEX($AA$3:$AA$102,MATCH(A47,$W$3:$W$102,0)),""))</f>
        <v/>
      </c>
      <c r="E47">
        <f>IF(A47="","",IF(OR(NOT(ISNUMBER(D47)),J47="첫 응시(평가B)",NOT(ISNUMBER(평가A!I47))),"",ROUND(D47-평가A!I47,1)))</f>
        <v/>
      </c>
      <c r="F47">
        <f>IF(A47="","",IFERROR(INDEX($X$3:$X$102,MATCH(A47,$W$3:$W$102,0)),""))</f>
        <v/>
      </c>
      <c r="G47">
        <f>IF(A47="","",IF(F47="","결석",IF(IFERROR(INDEX($Y$3:$Y$102,MATCH(A47,$W$3:$W$102,0)),"")="비경쟁","비경쟁 응시","응시")))</f>
        <v/>
      </c>
      <c r="H47">
        <f>IF(A47="","",IF(COUNTIF($W$3:$W$102,A47)&gt;1,"중복! 확인",""))</f>
        <v/>
      </c>
      <c r="I47">
        <f>IF(A47="","",평가A!G47)</f>
        <v/>
      </c>
      <c r="J47">
        <f>IF(A47="","",평가A!H47)</f>
        <v/>
      </c>
      <c r="K47">
        <f>IF(A47="","",IF(OR(F47="",I47="",J47="첫 응시(평가B)"),"",ROUND(F47-I47,1)))</f>
        <v/>
      </c>
      <c r="L47">
        <f>IF(A47="","",IF(OR(F47="",I47="",J47="첫 응시(평가B)"),"",IF(F47&gt;=HIGH_CUT,PTS_HIGH,IF(K47&gt;=STEP2,PTS_HIGH,IF(K47&gt;=STEP1,PTS_MID,PTS_LOW)))))</f>
        <v/>
      </c>
      <c r="M47">
        <f>IF(A47="","",IF(F47="","",IF(J47="첫 응시(평가B)","보류",IF(I47="","",IF(F47&gt;=HIGH_CUT,"숙달",IF(K47&gt;=STEP2,"향상",IF(K47&gt;=STEP1,"유지","보완 필요")))))))</f>
        <v/>
      </c>
      <c r="N47">
        <f>IF(A47="","",IF(AND(G47="응시",ISNUMBER(L47)),L47,""))</f>
        <v/>
      </c>
      <c r="O47">
        <f>IF(A47="","",IF(F47="","결석 - 기록 없음",IF(J47="첫 응시(평가B)","판정 보류 - 평가A가 없어 이번 결과가 기준점수(평가C부터 판정)",IF(I47="","기준점수 없음",IF(F47&gt;=HIGH_CUT,"숙달 - 이번 정답률이 숙달 기준 이상",IF(K47&gt;=STEP2,"향상 - 기준보다 크게 오름",IF(K47&gt;=STEP1,"유지 - 기준과 비슷함","보완 필요 - 기준보다 크게 내려감"))))))&amp;IF(G47="비경쟁 응시"," / 비경쟁: 팀 점수 제외",""))</f>
        <v/>
      </c>
      <c r="R47" s="3" t="n"/>
      <c r="S47" s="3" t="n"/>
      <c r="T47" s="3" t="n"/>
      <c r="U47" s="3" t="n"/>
      <c r="W47">
        <f>IF(UPPER(TRIM(R47&amp;""))="","",IF(RIGHT(UPPER(TRIM(R47&amp;"")),2)="-N",TRIM(LEFT(UPPER(TRIM(R47&amp;"")),LEN(UPPER(TRIM(R47&amp;"")))-2)),UPPER(TRIM(R47&amp;""))))</f>
        <v/>
      </c>
      <c r="X47">
        <f>IF(W47="","",IF(ISNUMBER(U47),ROUND(U47,1),IF(AND(ISNUMBER(S47),ISNUMBER(T47)),IF(T47&gt;0,ROUND(S47/T47*100,1),""),"")))</f>
        <v/>
      </c>
      <c r="Y47">
        <f>IF(W47="","",IF(RIGHT(UPPER(TRIM(R47&amp;"")),2)="-N","비경쟁",""))</f>
        <v/>
      </c>
      <c r="Z47">
        <f>IF(W47="","",IF(COUNTIF(참가자!$A$3:$A$52,W47)=0,"명단에 없는 코드",""))</f>
        <v/>
      </c>
      <c r="AA47">
        <f>IF(W47="","",IF(ISNUMBER(U47),ROUND(U47*EVAL_ITEMS/100,1),IF(AND(ISNUMBER(S47),ISNUMBER(T47)),IF(T47&gt;0,S47,""),"")))</f>
        <v/>
      </c>
    </row>
    <row r="48">
      <c r="A48">
        <f>IF(참가자!A48="","",UPPER(TRIM(참가자!A48)))</f>
        <v/>
      </c>
      <c r="B48">
        <f>IF(A48="","",IF(참가자!B48="","(팀 없음)",TRIM(참가자!B48)))</f>
        <v/>
      </c>
      <c r="C48">
        <f>IF(A48="","",평가A!C48)</f>
        <v/>
      </c>
      <c r="D48">
        <f>IF(A48="","",IFERROR(INDEX($AA$3:$AA$102,MATCH(A48,$W$3:$W$102,0)),""))</f>
        <v/>
      </c>
      <c r="E48">
        <f>IF(A48="","",IF(OR(NOT(ISNUMBER(D48)),J48="첫 응시(평가B)",NOT(ISNUMBER(평가A!I48))),"",ROUND(D48-평가A!I48,1)))</f>
        <v/>
      </c>
      <c r="F48">
        <f>IF(A48="","",IFERROR(INDEX($X$3:$X$102,MATCH(A48,$W$3:$W$102,0)),""))</f>
        <v/>
      </c>
      <c r="G48">
        <f>IF(A48="","",IF(F48="","결석",IF(IFERROR(INDEX($Y$3:$Y$102,MATCH(A48,$W$3:$W$102,0)),"")="비경쟁","비경쟁 응시","응시")))</f>
        <v/>
      </c>
      <c r="H48">
        <f>IF(A48="","",IF(COUNTIF($W$3:$W$102,A48)&gt;1,"중복! 확인",""))</f>
        <v/>
      </c>
      <c r="I48">
        <f>IF(A48="","",평가A!G48)</f>
        <v/>
      </c>
      <c r="J48">
        <f>IF(A48="","",평가A!H48)</f>
        <v/>
      </c>
      <c r="K48">
        <f>IF(A48="","",IF(OR(F48="",I48="",J48="첫 응시(평가B)"),"",ROUND(F48-I48,1)))</f>
        <v/>
      </c>
      <c r="L48">
        <f>IF(A48="","",IF(OR(F48="",I48="",J48="첫 응시(평가B)"),"",IF(F48&gt;=HIGH_CUT,PTS_HIGH,IF(K48&gt;=STEP2,PTS_HIGH,IF(K48&gt;=STEP1,PTS_MID,PTS_LOW)))))</f>
        <v/>
      </c>
      <c r="M48">
        <f>IF(A48="","",IF(F48="","",IF(J48="첫 응시(평가B)","보류",IF(I48="","",IF(F48&gt;=HIGH_CUT,"숙달",IF(K48&gt;=STEP2,"향상",IF(K48&gt;=STEP1,"유지","보완 필요")))))))</f>
        <v/>
      </c>
      <c r="N48">
        <f>IF(A48="","",IF(AND(G48="응시",ISNUMBER(L48)),L48,""))</f>
        <v/>
      </c>
      <c r="O48">
        <f>IF(A48="","",IF(F48="","결석 - 기록 없음",IF(J48="첫 응시(평가B)","판정 보류 - 평가A가 없어 이번 결과가 기준점수(평가C부터 판정)",IF(I48="","기준점수 없음",IF(F48&gt;=HIGH_CUT,"숙달 - 이번 정답률이 숙달 기준 이상",IF(K48&gt;=STEP2,"향상 - 기준보다 크게 오름",IF(K48&gt;=STEP1,"유지 - 기준과 비슷함","보완 필요 - 기준보다 크게 내려감"))))))&amp;IF(G48="비경쟁 응시"," / 비경쟁: 팀 점수 제외",""))</f>
        <v/>
      </c>
      <c r="R48" s="3" t="n"/>
      <c r="S48" s="3" t="n"/>
      <c r="T48" s="3" t="n"/>
      <c r="U48" s="3" t="n"/>
      <c r="W48">
        <f>IF(UPPER(TRIM(R48&amp;""))="","",IF(RIGHT(UPPER(TRIM(R48&amp;"")),2)="-N",TRIM(LEFT(UPPER(TRIM(R48&amp;"")),LEN(UPPER(TRIM(R48&amp;"")))-2)),UPPER(TRIM(R48&amp;""))))</f>
        <v/>
      </c>
      <c r="X48">
        <f>IF(W48="","",IF(ISNUMBER(U48),ROUND(U48,1),IF(AND(ISNUMBER(S48),ISNUMBER(T48)),IF(T48&gt;0,ROUND(S48/T48*100,1),""),"")))</f>
        <v/>
      </c>
      <c r="Y48">
        <f>IF(W48="","",IF(RIGHT(UPPER(TRIM(R48&amp;"")),2)="-N","비경쟁",""))</f>
        <v/>
      </c>
      <c r="Z48">
        <f>IF(W48="","",IF(COUNTIF(참가자!$A$3:$A$52,W48)=0,"명단에 없는 코드",""))</f>
        <v/>
      </c>
      <c r="AA48">
        <f>IF(W48="","",IF(ISNUMBER(U48),ROUND(U48*EVAL_ITEMS/100,1),IF(AND(ISNUMBER(S48),ISNUMBER(T48)),IF(T48&gt;0,S48,""),"")))</f>
        <v/>
      </c>
    </row>
    <row r="49">
      <c r="A49">
        <f>IF(참가자!A49="","",UPPER(TRIM(참가자!A49)))</f>
        <v/>
      </c>
      <c r="B49">
        <f>IF(A49="","",IF(참가자!B49="","(팀 없음)",TRIM(참가자!B49)))</f>
        <v/>
      </c>
      <c r="C49">
        <f>IF(A49="","",평가A!C49)</f>
        <v/>
      </c>
      <c r="D49">
        <f>IF(A49="","",IFERROR(INDEX($AA$3:$AA$102,MATCH(A49,$W$3:$W$102,0)),""))</f>
        <v/>
      </c>
      <c r="E49">
        <f>IF(A49="","",IF(OR(NOT(ISNUMBER(D49)),J49="첫 응시(평가B)",NOT(ISNUMBER(평가A!I49))),"",ROUND(D49-평가A!I49,1)))</f>
        <v/>
      </c>
      <c r="F49">
        <f>IF(A49="","",IFERROR(INDEX($X$3:$X$102,MATCH(A49,$W$3:$W$102,0)),""))</f>
        <v/>
      </c>
      <c r="G49">
        <f>IF(A49="","",IF(F49="","결석",IF(IFERROR(INDEX($Y$3:$Y$102,MATCH(A49,$W$3:$W$102,0)),"")="비경쟁","비경쟁 응시","응시")))</f>
        <v/>
      </c>
      <c r="H49">
        <f>IF(A49="","",IF(COUNTIF($W$3:$W$102,A49)&gt;1,"중복! 확인",""))</f>
        <v/>
      </c>
      <c r="I49">
        <f>IF(A49="","",평가A!G49)</f>
        <v/>
      </c>
      <c r="J49">
        <f>IF(A49="","",평가A!H49)</f>
        <v/>
      </c>
      <c r="K49">
        <f>IF(A49="","",IF(OR(F49="",I49="",J49="첫 응시(평가B)"),"",ROUND(F49-I49,1)))</f>
        <v/>
      </c>
      <c r="L49">
        <f>IF(A49="","",IF(OR(F49="",I49="",J49="첫 응시(평가B)"),"",IF(F49&gt;=HIGH_CUT,PTS_HIGH,IF(K49&gt;=STEP2,PTS_HIGH,IF(K49&gt;=STEP1,PTS_MID,PTS_LOW)))))</f>
        <v/>
      </c>
      <c r="M49">
        <f>IF(A49="","",IF(F49="","",IF(J49="첫 응시(평가B)","보류",IF(I49="","",IF(F49&gt;=HIGH_CUT,"숙달",IF(K49&gt;=STEP2,"향상",IF(K49&gt;=STEP1,"유지","보완 필요")))))))</f>
        <v/>
      </c>
      <c r="N49">
        <f>IF(A49="","",IF(AND(G49="응시",ISNUMBER(L49)),L49,""))</f>
        <v/>
      </c>
      <c r="O49">
        <f>IF(A49="","",IF(F49="","결석 - 기록 없음",IF(J49="첫 응시(평가B)","판정 보류 - 평가A가 없어 이번 결과가 기준점수(평가C부터 판정)",IF(I49="","기준점수 없음",IF(F49&gt;=HIGH_CUT,"숙달 - 이번 정답률이 숙달 기준 이상",IF(K49&gt;=STEP2,"향상 - 기준보다 크게 오름",IF(K49&gt;=STEP1,"유지 - 기준과 비슷함","보완 필요 - 기준보다 크게 내려감"))))))&amp;IF(G49="비경쟁 응시"," / 비경쟁: 팀 점수 제외",""))</f>
        <v/>
      </c>
      <c r="R49" s="3" t="n"/>
      <c r="S49" s="3" t="n"/>
      <c r="T49" s="3" t="n"/>
      <c r="U49" s="3" t="n"/>
      <c r="W49">
        <f>IF(UPPER(TRIM(R49&amp;""))="","",IF(RIGHT(UPPER(TRIM(R49&amp;"")),2)="-N",TRIM(LEFT(UPPER(TRIM(R49&amp;"")),LEN(UPPER(TRIM(R49&amp;"")))-2)),UPPER(TRIM(R49&amp;""))))</f>
        <v/>
      </c>
      <c r="X49">
        <f>IF(W49="","",IF(ISNUMBER(U49),ROUND(U49,1),IF(AND(ISNUMBER(S49),ISNUMBER(T49)),IF(T49&gt;0,ROUND(S49/T49*100,1),""),"")))</f>
        <v/>
      </c>
      <c r="Y49">
        <f>IF(W49="","",IF(RIGHT(UPPER(TRIM(R49&amp;"")),2)="-N","비경쟁",""))</f>
        <v/>
      </c>
      <c r="Z49">
        <f>IF(W49="","",IF(COUNTIF(참가자!$A$3:$A$52,W49)=0,"명단에 없는 코드",""))</f>
        <v/>
      </c>
      <c r="AA49">
        <f>IF(W49="","",IF(ISNUMBER(U49),ROUND(U49*EVAL_ITEMS/100,1),IF(AND(ISNUMBER(S49),ISNUMBER(T49)),IF(T49&gt;0,S49,""),"")))</f>
        <v/>
      </c>
    </row>
    <row r="50">
      <c r="A50">
        <f>IF(참가자!A50="","",UPPER(TRIM(참가자!A50)))</f>
        <v/>
      </c>
      <c r="B50">
        <f>IF(A50="","",IF(참가자!B50="","(팀 없음)",TRIM(참가자!B50)))</f>
        <v/>
      </c>
      <c r="C50">
        <f>IF(A50="","",평가A!C50)</f>
        <v/>
      </c>
      <c r="D50">
        <f>IF(A50="","",IFERROR(INDEX($AA$3:$AA$102,MATCH(A50,$W$3:$W$102,0)),""))</f>
        <v/>
      </c>
      <c r="E50">
        <f>IF(A50="","",IF(OR(NOT(ISNUMBER(D50)),J50="첫 응시(평가B)",NOT(ISNUMBER(평가A!I50))),"",ROUND(D50-평가A!I50,1)))</f>
        <v/>
      </c>
      <c r="F50">
        <f>IF(A50="","",IFERROR(INDEX($X$3:$X$102,MATCH(A50,$W$3:$W$102,0)),""))</f>
        <v/>
      </c>
      <c r="G50">
        <f>IF(A50="","",IF(F50="","결석",IF(IFERROR(INDEX($Y$3:$Y$102,MATCH(A50,$W$3:$W$102,0)),"")="비경쟁","비경쟁 응시","응시")))</f>
        <v/>
      </c>
      <c r="H50">
        <f>IF(A50="","",IF(COUNTIF($W$3:$W$102,A50)&gt;1,"중복! 확인",""))</f>
        <v/>
      </c>
      <c r="I50">
        <f>IF(A50="","",평가A!G50)</f>
        <v/>
      </c>
      <c r="J50">
        <f>IF(A50="","",평가A!H50)</f>
        <v/>
      </c>
      <c r="K50">
        <f>IF(A50="","",IF(OR(F50="",I50="",J50="첫 응시(평가B)"),"",ROUND(F50-I50,1)))</f>
        <v/>
      </c>
      <c r="L50">
        <f>IF(A50="","",IF(OR(F50="",I50="",J50="첫 응시(평가B)"),"",IF(F50&gt;=HIGH_CUT,PTS_HIGH,IF(K50&gt;=STEP2,PTS_HIGH,IF(K50&gt;=STEP1,PTS_MID,PTS_LOW)))))</f>
        <v/>
      </c>
      <c r="M50">
        <f>IF(A50="","",IF(F50="","",IF(J50="첫 응시(평가B)","보류",IF(I50="","",IF(F50&gt;=HIGH_CUT,"숙달",IF(K50&gt;=STEP2,"향상",IF(K50&gt;=STEP1,"유지","보완 필요")))))))</f>
        <v/>
      </c>
      <c r="N50">
        <f>IF(A50="","",IF(AND(G50="응시",ISNUMBER(L50)),L50,""))</f>
        <v/>
      </c>
      <c r="O50">
        <f>IF(A50="","",IF(F50="","결석 - 기록 없음",IF(J50="첫 응시(평가B)","판정 보류 - 평가A가 없어 이번 결과가 기준점수(평가C부터 판정)",IF(I50="","기준점수 없음",IF(F50&gt;=HIGH_CUT,"숙달 - 이번 정답률이 숙달 기준 이상",IF(K50&gt;=STEP2,"향상 - 기준보다 크게 오름",IF(K50&gt;=STEP1,"유지 - 기준과 비슷함","보완 필요 - 기준보다 크게 내려감"))))))&amp;IF(G50="비경쟁 응시"," / 비경쟁: 팀 점수 제외",""))</f>
        <v/>
      </c>
      <c r="R50" s="3" t="n"/>
      <c r="S50" s="3" t="n"/>
      <c r="T50" s="3" t="n"/>
      <c r="U50" s="3" t="n"/>
      <c r="W50">
        <f>IF(UPPER(TRIM(R50&amp;""))="","",IF(RIGHT(UPPER(TRIM(R50&amp;"")),2)="-N",TRIM(LEFT(UPPER(TRIM(R50&amp;"")),LEN(UPPER(TRIM(R50&amp;"")))-2)),UPPER(TRIM(R50&amp;""))))</f>
        <v/>
      </c>
      <c r="X50">
        <f>IF(W50="","",IF(ISNUMBER(U50),ROUND(U50,1),IF(AND(ISNUMBER(S50),ISNUMBER(T50)),IF(T50&gt;0,ROUND(S50/T50*100,1),""),"")))</f>
        <v/>
      </c>
      <c r="Y50">
        <f>IF(W50="","",IF(RIGHT(UPPER(TRIM(R50&amp;"")),2)="-N","비경쟁",""))</f>
        <v/>
      </c>
      <c r="Z50">
        <f>IF(W50="","",IF(COUNTIF(참가자!$A$3:$A$52,W50)=0,"명단에 없는 코드",""))</f>
        <v/>
      </c>
      <c r="AA50">
        <f>IF(W50="","",IF(ISNUMBER(U50),ROUND(U50*EVAL_ITEMS/100,1),IF(AND(ISNUMBER(S50),ISNUMBER(T50)),IF(T50&gt;0,S50,""),"")))</f>
        <v/>
      </c>
    </row>
    <row r="51">
      <c r="A51">
        <f>IF(참가자!A51="","",UPPER(TRIM(참가자!A51)))</f>
        <v/>
      </c>
      <c r="B51">
        <f>IF(A51="","",IF(참가자!B51="","(팀 없음)",TRIM(참가자!B51)))</f>
        <v/>
      </c>
      <c r="C51">
        <f>IF(A51="","",평가A!C51)</f>
        <v/>
      </c>
      <c r="D51">
        <f>IF(A51="","",IFERROR(INDEX($AA$3:$AA$102,MATCH(A51,$W$3:$W$102,0)),""))</f>
        <v/>
      </c>
      <c r="E51">
        <f>IF(A51="","",IF(OR(NOT(ISNUMBER(D51)),J51="첫 응시(평가B)",NOT(ISNUMBER(평가A!I51))),"",ROUND(D51-평가A!I51,1)))</f>
        <v/>
      </c>
      <c r="F51">
        <f>IF(A51="","",IFERROR(INDEX($X$3:$X$102,MATCH(A51,$W$3:$W$102,0)),""))</f>
        <v/>
      </c>
      <c r="G51">
        <f>IF(A51="","",IF(F51="","결석",IF(IFERROR(INDEX($Y$3:$Y$102,MATCH(A51,$W$3:$W$102,0)),"")="비경쟁","비경쟁 응시","응시")))</f>
        <v/>
      </c>
      <c r="H51">
        <f>IF(A51="","",IF(COUNTIF($W$3:$W$102,A51)&gt;1,"중복! 확인",""))</f>
        <v/>
      </c>
      <c r="I51">
        <f>IF(A51="","",평가A!G51)</f>
        <v/>
      </c>
      <c r="J51">
        <f>IF(A51="","",평가A!H51)</f>
        <v/>
      </c>
      <c r="K51">
        <f>IF(A51="","",IF(OR(F51="",I51="",J51="첫 응시(평가B)"),"",ROUND(F51-I51,1)))</f>
        <v/>
      </c>
      <c r="L51">
        <f>IF(A51="","",IF(OR(F51="",I51="",J51="첫 응시(평가B)"),"",IF(F51&gt;=HIGH_CUT,PTS_HIGH,IF(K51&gt;=STEP2,PTS_HIGH,IF(K51&gt;=STEP1,PTS_MID,PTS_LOW)))))</f>
        <v/>
      </c>
      <c r="M51">
        <f>IF(A51="","",IF(F51="","",IF(J51="첫 응시(평가B)","보류",IF(I51="","",IF(F51&gt;=HIGH_CUT,"숙달",IF(K51&gt;=STEP2,"향상",IF(K51&gt;=STEP1,"유지","보완 필요")))))))</f>
        <v/>
      </c>
      <c r="N51">
        <f>IF(A51="","",IF(AND(G51="응시",ISNUMBER(L51)),L51,""))</f>
        <v/>
      </c>
      <c r="O51">
        <f>IF(A51="","",IF(F51="","결석 - 기록 없음",IF(J51="첫 응시(평가B)","판정 보류 - 평가A가 없어 이번 결과가 기준점수(평가C부터 판정)",IF(I51="","기준점수 없음",IF(F51&gt;=HIGH_CUT,"숙달 - 이번 정답률이 숙달 기준 이상",IF(K51&gt;=STEP2,"향상 - 기준보다 크게 오름",IF(K51&gt;=STEP1,"유지 - 기준과 비슷함","보완 필요 - 기준보다 크게 내려감"))))))&amp;IF(G51="비경쟁 응시"," / 비경쟁: 팀 점수 제외",""))</f>
        <v/>
      </c>
      <c r="R51" s="3" t="n"/>
      <c r="S51" s="3" t="n"/>
      <c r="T51" s="3" t="n"/>
      <c r="U51" s="3" t="n"/>
      <c r="W51">
        <f>IF(UPPER(TRIM(R51&amp;""))="","",IF(RIGHT(UPPER(TRIM(R51&amp;"")),2)="-N",TRIM(LEFT(UPPER(TRIM(R51&amp;"")),LEN(UPPER(TRIM(R51&amp;"")))-2)),UPPER(TRIM(R51&amp;""))))</f>
        <v/>
      </c>
      <c r="X51">
        <f>IF(W51="","",IF(ISNUMBER(U51),ROUND(U51,1),IF(AND(ISNUMBER(S51),ISNUMBER(T51)),IF(T51&gt;0,ROUND(S51/T51*100,1),""),"")))</f>
        <v/>
      </c>
      <c r="Y51">
        <f>IF(W51="","",IF(RIGHT(UPPER(TRIM(R51&amp;"")),2)="-N","비경쟁",""))</f>
        <v/>
      </c>
      <c r="Z51">
        <f>IF(W51="","",IF(COUNTIF(참가자!$A$3:$A$52,W51)=0,"명단에 없는 코드",""))</f>
        <v/>
      </c>
      <c r="AA51">
        <f>IF(W51="","",IF(ISNUMBER(U51),ROUND(U51*EVAL_ITEMS/100,1),IF(AND(ISNUMBER(S51),ISNUMBER(T51)),IF(T51&gt;0,S51,""),"")))</f>
        <v/>
      </c>
    </row>
    <row r="52">
      <c r="A52">
        <f>IF(참가자!A52="","",UPPER(TRIM(참가자!A52)))</f>
        <v/>
      </c>
      <c r="B52">
        <f>IF(A52="","",IF(참가자!B52="","(팀 없음)",TRIM(참가자!B52)))</f>
        <v/>
      </c>
      <c r="C52">
        <f>IF(A52="","",평가A!C52)</f>
        <v/>
      </c>
      <c r="D52">
        <f>IF(A52="","",IFERROR(INDEX($AA$3:$AA$102,MATCH(A52,$W$3:$W$102,0)),""))</f>
        <v/>
      </c>
      <c r="E52">
        <f>IF(A52="","",IF(OR(NOT(ISNUMBER(D52)),J52="첫 응시(평가B)",NOT(ISNUMBER(평가A!I52))),"",ROUND(D52-평가A!I52,1)))</f>
        <v/>
      </c>
      <c r="F52">
        <f>IF(A52="","",IFERROR(INDEX($X$3:$X$102,MATCH(A52,$W$3:$W$102,0)),""))</f>
        <v/>
      </c>
      <c r="G52">
        <f>IF(A52="","",IF(F52="","결석",IF(IFERROR(INDEX($Y$3:$Y$102,MATCH(A52,$W$3:$W$102,0)),"")="비경쟁","비경쟁 응시","응시")))</f>
        <v/>
      </c>
      <c r="H52">
        <f>IF(A52="","",IF(COUNTIF($W$3:$W$102,A52)&gt;1,"중복! 확인",""))</f>
        <v/>
      </c>
      <c r="I52">
        <f>IF(A52="","",평가A!G52)</f>
        <v/>
      </c>
      <c r="J52">
        <f>IF(A52="","",평가A!H52)</f>
        <v/>
      </c>
      <c r="K52">
        <f>IF(A52="","",IF(OR(F52="",I52="",J52="첫 응시(평가B)"),"",ROUND(F52-I52,1)))</f>
        <v/>
      </c>
      <c r="L52">
        <f>IF(A52="","",IF(OR(F52="",I52="",J52="첫 응시(평가B)"),"",IF(F52&gt;=HIGH_CUT,PTS_HIGH,IF(K52&gt;=STEP2,PTS_HIGH,IF(K52&gt;=STEP1,PTS_MID,PTS_LOW)))))</f>
        <v/>
      </c>
      <c r="M52">
        <f>IF(A52="","",IF(F52="","",IF(J52="첫 응시(평가B)","보류",IF(I52="","",IF(F52&gt;=HIGH_CUT,"숙달",IF(K52&gt;=STEP2,"향상",IF(K52&gt;=STEP1,"유지","보완 필요")))))))</f>
        <v/>
      </c>
      <c r="N52">
        <f>IF(A52="","",IF(AND(G52="응시",ISNUMBER(L52)),L52,""))</f>
        <v/>
      </c>
      <c r="O52">
        <f>IF(A52="","",IF(F52="","결석 - 기록 없음",IF(J52="첫 응시(평가B)","판정 보류 - 평가A가 없어 이번 결과가 기준점수(평가C부터 판정)",IF(I52="","기준점수 없음",IF(F52&gt;=HIGH_CUT,"숙달 - 이번 정답률이 숙달 기준 이상",IF(K52&gt;=STEP2,"향상 - 기준보다 크게 오름",IF(K52&gt;=STEP1,"유지 - 기준과 비슷함","보완 필요 - 기준보다 크게 내려감"))))))&amp;IF(G52="비경쟁 응시"," / 비경쟁: 팀 점수 제외",""))</f>
        <v/>
      </c>
      <c r="R52" s="3" t="n"/>
      <c r="S52" s="3" t="n"/>
      <c r="T52" s="3" t="n"/>
      <c r="U52" s="3" t="n"/>
      <c r="W52">
        <f>IF(UPPER(TRIM(R52&amp;""))="","",IF(RIGHT(UPPER(TRIM(R52&amp;"")),2)="-N",TRIM(LEFT(UPPER(TRIM(R52&amp;"")),LEN(UPPER(TRIM(R52&amp;"")))-2)),UPPER(TRIM(R52&amp;""))))</f>
        <v/>
      </c>
      <c r="X52">
        <f>IF(W52="","",IF(ISNUMBER(U52),ROUND(U52,1),IF(AND(ISNUMBER(S52),ISNUMBER(T52)),IF(T52&gt;0,ROUND(S52/T52*100,1),""),"")))</f>
        <v/>
      </c>
      <c r="Y52">
        <f>IF(W52="","",IF(RIGHT(UPPER(TRIM(R52&amp;"")),2)="-N","비경쟁",""))</f>
        <v/>
      </c>
      <c r="Z52">
        <f>IF(W52="","",IF(COUNTIF(참가자!$A$3:$A$52,W52)=0,"명단에 없는 코드",""))</f>
        <v/>
      </c>
      <c r="AA52">
        <f>IF(W52="","",IF(ISNUMBER(U52),ROUND(U52*EVAL_ITEMS/100,1),IF(AND(ISNUMBER(S52),ISNUMBER(T52)),IF(T52&gt;0,S52,""),"")))</f>
        <v/>
      </c>
    </row>
    <row r="53">
      <c r="R53" s="3" t="n"/>
      <c r="S53" s="3" t="n"/>
      <c r="T53" s="3" t="n"/>
      <c r="U53" s="3" t="n"/>
      <c r="W53">
        <f>IF(UPPER(TRIM(R53&amp;""))="","",IF(RIGHT(UPPER(TRIM(R53&amp;"")),2)="-N",TRIM(LEFT(UPPER(TRIM(R53&amp;"")),LEN(UPPER(TRIM(R53&amp;"")))-2)),UPPER(TRIM(R53&amp;""))))</f>
        <v/>
      </c>
      <c r="X53">
        <f>IF(W53="","",IF(ISNUMBER(U53),ROUND(U53,1),IF(AND(ISNUMBER(S53),ISNUMBER(T53)),IF(T53&gt;0,ROUND(S53/T53*100,1),""),"")))</f>
        <v/>
      </c>
      <c r="Y53">
        <f>IF(W53="","",IF(RIGHT(UPPER(TRIM(R53&amp;"")),2)="-N","비경쟁",""))</f>
        <v/>
      </c>
      <c r="Z53">
        <f>IF(W53="","",IF(COUNTIF(참가자!$A$3:$A$52,W53)=0,"명단에 없는 코드",""))</f>
        <v/>
      </c>
      <c r="AA53">
        <f>IF(W53="","",IF(ISNUMBER(U53),ROUND(U53*EVAL_ITEMS/100,1),IF(AND(ISNUMBER(S53),ISNUMBER(T53)),IF(T53&gt;0,S53,""),"")))</f>
        <v/>
      </c>
    </row>
    <row r="54">
      <c r="R54" s="3" t="n"/>
      <c r="S54" s="3" t="n"/>
      <c r="T54" s="3" t="n"/>
      <c r="U54" s="3" t="n"/>
      <c r="W54">
        <f>IF(UPPER(TRIM(R54&amp;""))="","",IF(RIGHT(UPPER(TRIM(R54&amp;"")),2)="-N",TRIM(LEFT(UPPER(TRIM(R54&amp;"")),LEN(UPPER(TRIM(R54&amp;"")))-2)),UPPER(TRIM(R54&amp;""))))</f>
        <v/>
      </c>
      <c r="X54">
        <f>IF(W54="","",IF(ISNUMBER(U54),ROUND(U54,1),IF(AND(ISNUMBER(S54),ISNUMBER(T54)),IF(T54&gt;0,ROUND(S54/T54*100,1),""),"")))</f>
        <v/>
      </c>
      <c r="Y54">
        <f>IF(W54="","",IF(RIGHT(UPPER(TRIM(R54&amp;"")),2)="-N","비경쟁",""))</f>
        <v/>
      </c>
      <c r="Z54">
        <f>IF(W54="","",IF(COUNTIF(참가자!$A$3:$A$52,W54)=0,"명단에 없는 코드",""))</f>
        <v/>
      </c>
      <c r="AA54">
        <f>IF(W54="","",IF(ISNUMBER(U54),ROUND(U54*EVAL_ITEMS/100,1),IF(AND(ISNUMBER(S54),ISNUMBER(T54)),IF(T54&gt;0,S54,""),"")))</f>
        <v/>
      </c>
    </row>
    <row r="55">
      <c r="R55" s="3" t="n"/>
      <c r="S55" s="3" t="n"/>
      <c r="T55" s="3" t="n"/>
      <c r="U55" s="3" t="n"/>
      <c r="W55">
        <f>IF(UPPER(TRIM(R55&amp;""))="","",IF(RIGHT(UPPER(TRIM(R55&amp;"")),2)="-N",TRIM(LEFT(UPPER(TRIM(R55&amp;"")),LEN(UPPER(TRIM(R55&amp;"")))-2)),UPPER(TRIM(R55&amp;""))))</f>
        <v/>
      </c>
      <c r="X55">
        <f>IF(W55="","",IF(ISNUMBER(U55),ROUND(U55,1),IF(AND(ISNUMBER(S55),ISNUMBER(T55)),IF(T55&gt;0,ROUND(S55/T55*100,1),""),"")))</f>
        <v/>
      </c>
      <c r="Y55">
        <f>IF(W55="","",IF(RIGHT(UPPER(TRIM(R55&amp;"")),2)="-N","비경쟁",""))</f>
        <v/>
      </c>
      <c r="Z55">
        <f>IF(W55="","",IF(COUNTIF(참가자!$A$3:$A$52,W55)=0,"명단에 없는 코드",""))</f>
        <v/>
      </c>
      <c r="AA55">
        <f>IF(W55="","",IF(ISNUMBER(U55),ROUND(U55*EVAL_ITEMS/100,1),IF(AND(ISNUMBER(S55),ISNUMBER(T55)),IF(T55&gt;0,S55,""),"")))</f>
        <v/>
      </c>
    </row>
    <row r="56">
      <c r="R56" s="3" t="n"/>
      <c r="S56" s="3" t="n"/>
      <c r="T56" s="3" t="n"/>
      <c r="U56" s="3" t="n"/>
      <c r="W56">
        <f>IF(UPPER(TRIM(R56&amp;""))="","",IF(RIGHT(UPPER(TRIM(R56&amp;"")),2)="-N",TRIM(LEFT(UPPER(TRIM(R56&amp;"")),LEN(UPPER(TRIM(R56&amp;"")))-2)),UPPER(TRIM(R56&amp;""))))</f>
        <v/>
      </c>
      <c r="X56">
        <f>IF(W56="","",IF(ISNUMBER(U56),ROUND(U56,1),IF(AND(ISNUMBER(S56),ISNUMBER(T56)),IF(T56&gt;0,ROUND(S56/T56*100,1),""),"")))</f>
        <v/>
      </c>
      <c r="Y56">
        <f>IF(W56="","",IF(RIGHT(UPPER(TRIM(R56&amp;"")),2)="-N","비경쟁",""))</f>
        <v/>
      </c>
      <c r="Z56">
        <f>IF(W56="","",IF(COUNTIF(참가자!$A$3:$A$52,W56)=0,"명단에 없는 코드",""))</f>
        <v/>
      </c>
      <c r="AA56">
        <f>IF(W56="","",IF(ISNUMBER(U56),ROUND(U56*EVAL_ITEMS/100,1),IF(AND(ISNUMBER(S56),ISNUMBER(T56)),IF(T56&gt;0,S56,""),"")))</f>
        <v/>
      </c>
    </row>
    <row r="57">
      <c r="R57" s="3" t="n"/>
      <c r="S57" s="3" t="n"/>
      <c r="T57" s="3" t="n"/>
      <c r="U57" s="3" t="n"/>
      <c r="W57">
        <f>IF(UPPER(TRIM(R57&amp;""))="","",IF(RIGHT(UPPER(TRIM(R57&amp;"")),2)="-N",TRIM(LEFT(UPPER(TRIM(R57&amp;"")),LEN(UPPER(TRIM(R57&amp;"")))-2)),UPPER(TRIM(R57&amp;""))))</f>
        <v/>
      </c>
      <c r="X57">
        <f>IF(W57="","",IF(ISNUMBER(U57),ROUND(U57,1),IF(AND(ISNUMBER(S57),ISNUMBER(T57)),IF(T57&gt;0,ROUND(S57/T57*100,1),""),"")))</f>
        <v/>
      </c>
      <c r="Y57">
        <f>IF(W57="","",IF(RIGHT(UPPER(TRIM(R57&amp;"")),2)="-N","비경쟁",""))</f>
        <v/>
      </c>
      <c r="Z57">
        <f>IF(W57="","",IF(COUNTIF(참가자!$A$3:$A$52,W57)=0,"명단에 없는 코드",""))</f>
        <v/>
      </c>
      <c r="AA57">
        <f>IF(W57="","",IF(ISNUMBER(U57),ROUND(U57*EVAL_ITEMS/100,1),IF(AND(ISNUMBER(S57),ISNUMBER(T57)),IF(T57&gt;0,S57,""),"")))</f>
        <v/>
      </c>
    </row>
    <row r="58">
      <c r="R58" s="3" t="n"/>
      <c r="S58" s="3" t="n"/>
      <c r="T58" s="3" t="n"/>
      <c r="U58" s="3" t="n"/>
      <c r="W58">
        <f>IF(UPPER(TRIM(R58&amp;""))="","",IF(RIGHT(UPPER(TRIM(R58&amp;"")),2)="-N",TRIM(LEFT(UPPER(TRIM(R58&amp;"")),LEN(UPPER(TRIM(R58&amp;"")))-2)),UPPER(TRIM(R58&amp;""))))</f>
        <v/>
      </c>
      <c r="X58">
        <f>IF(W58="","",IF(ISNUMBER(U58),ROUND(U58,1),IF(AND(ISNUMBER(S58),ISNUMBER(T58)),IF(T58&gt;0,ROUND(S58/T58*100,1),""),"")))</f>
        <v/>
      </c>
      <c r="Y58">
        <f>IF(W58="","",IF(RIGHT(UPPER(TRIM(R58&amp;"")),2)="-N","비경쟁",""))</f>
        <v/>
      </c>
      <c r="Z58">
        <f>IF(W58="","",IF(COUNTIF(참가자!$A$3:$A$52,W58)=0,"명단에 없는 코드",""))</f>
        <v/>
      </c>
      <c r="AA58">
        <f>IF(W58="","",IF(ISNUMBER(U58),ROUND(U58*EVAL_ITEMS/100,1),IF(AND(ISNUMBER(S58),ISNUMBER(T58)),IF(T58&gt;0,S58,""),"")))</f>
        <v/>
      </c>
    </row>
    <row r="59">
      <c r="R59" s="3" t="n"/>
      <c r="S59" s="3" t="n"/>
      <c r="T59" s="3" t="n"/>
      <c r="U59" s="3" t="n"/>
      <c r="W59">
        <f>IF(UPPER(TRIM(R59&amp;""))="","",IF(RIGHT(UPPER(TRIM(R59&amp;"")),2)="-N",TRIM(LEFT(UPPER(TRIM(R59&amp;"")),LEN(UPPER(TRIM(R59&amp;"")))-2)),UPPER(TRIM(R59&amp;""))))</f>
        <v/>
      </c>
      <c r="X59">
        <f>IF(W59="","",IF(ISNUMBER(U59),ROUND(U59,1),IF(AND(ISNUMBER(S59),ISNUMBER(T59)),IF(T59&gt;0,ROUND(S59/T59*100,1),""),"")))</f>
        <v/>
      </c>
      <c r="Y59">
        <f>IF(W59="","",IF(RIGHT(UPPER(TRIM(R59&amp;"")),2)="-N","비경쟁",""))</f>
        <v/>
      </c>
      <c r="Z59">
        <f>IF(W59="","",IF(COUNTIF(참가자!$A$3:$A$52,W59)=0,"명단에 없는 코드",""))</f>
        <v/>
      </c>
      <c r="AA59">
        <f>IF(W59="","",IF(ISNUMBER(U59),ROUND(U59*EVAL_ITEMS/100,1),IF(AND(ISNUMBER(S59),ISNUMBER(T59)),IF(T59&gt;0,S59,""),"")))</f>
        <v/>
      </c>
    </row>
    <row r="60">
      <c r="R60" s="3" t="n"/>
      <c r="S60" s="3" t="n"/>
      <c r="T60" s="3" t="n"/>
      <c r="U60" s="3" t="n"/>
      <c r="W60">
        <f>IF(UPPER(TRIM(R60&amp;""))="","",IF(RIGHT(UPPER(TRIM(R60&amp;"")),2)="-N",TRIM(LEFT(UPPER(TRIM(R60&amp;"")),LEN(UPPER(TRIM(R60&amp;"")))-2)),UPPER(TRIM(R60&amp;""))))</f>
        <v/>
      </c>
      <c r="X60">
        <f>IF(W60="","",IF(ISNUMBER(U60),ROUND(U60,1),IF(AND(ISNUMBER(S60),ISNUMBER(T60)),IF(T60&gt;0,ROUND(S60/T60*100,1),""),"")))</f>
        <v/>
      </c>
      <c r="Y60">
        <f>IF(W60="","",IF(RIGHT(UPPER(TRIM(R60&amp;"")),2)="-N","비경쟁",""))</f>
        <v/>
      </c>
      <c r="Z60">
        <f>IF(W60="","",IF(COUNTIF(참가자!$A$3:$A$52,W60)=0,"명단에 없는 코드",""))</f>
        <v/>
      </c>
      <c r="AA60">
        <f>IF(W60="","",IF(ISNUMBER(U60),ROUND(U60*EVAL_ITEMS/100,1),IF(AND(ISNUMBER(S60),ISNUMBER(T60)),IF(T60&gt;0,S60,""),"")))</f>
        <v/>
      </c>
    </row>
    <row r="61">
      <c r="R61" s="3" t="n"/>
      <c r="S61" s="3" t="n"/>
      <c r="T61" s="3" t="n"/>
      <c r="U61" s="3" t="n"/>
      <c r="W61">
        <f>IF(UPPER(TRIM(R61&amp;""))="","",IF(RIGHT(UPPER(TRIM(R61&amp;"")),2)="-N",TRIM(LEFT(UPPER(TRIM(R61&amp;"")),LEN(UPPER(TRIM(R61&amp;"")))-2)),UPPER(TRIM(R61&amp;""))))</f>
        <v/>
      </c>
      <c r="X61">
        <f>IF(W61="","",IF(ISNUMBER(U61),ROUND(U61,1),IF(AND(ISNUMBER(S61),ISNUMBER(T61)),IF(T61&gt;0,ROUND(S61/T61*100,1),""),"")))</f>
        <v/>
      </c>
      <c r="Y61">
        <f>IF(W61="","",IF(RIGHT(UPPER(TRIM(R61&amp;"")),2)="-N","비경쟁",""))</f>
        <v/>
      </c>
      <c r="Z61">
        <f>IF(W61="","",IF(COUNTIF(참가자!$A$3:$A$52,W61)=0,"명단에 없는 코드",""))</f>
        <v/>
      </c>
      <c r="AA61">
        <f>IF(W61="","",IF(ISNUMBER(U61),ROUND(U61*EVAL_ITEMS/100,1),IF(AND(ISNUMBER(S61),ISNUMBER(T61)),IF(T61&gt;0,S61,""),"")))</f>
        <v/>
      </c>
    </row>
    <row r="62">
      <c r="R62" s="3" t="n"/>
      <c r="S62" s="3" t="n"/>
      <c r="T62" s="3" t="n"/>
      <c r="U62" s="3" t="n"/>
      <c r="W62">
        <f>IF(UPPER(TRIM(R62&amp;""))="","",IF(RIGHT(UPPER(TRIM(R62&amp;"")),2)="-N",TRIM(LEFT(UPPER(TRIM(R62&amp;"")),LEN(UPPER(TRIM(R62&amp;"")))-2)),UPPER(TRIM(R62&amp;""))))</f>
        <v/>
      </c>
      <c r="X62">
        <f>IF(W62="","",IF(ISNUMBER(U62),ROUND(U62,1),IF(AND(ISNUMBER(S62),ISNUMBER(T62)),IF(T62&gt;0,ROUND(S62/T62*100,1),""),"")))</f>
        <v/>
      </c>
      <c r="Y62">
        <f>IF(W62="","",IF(RIGHT(UPPER(TRIM(R62&amp;"")),2)="-N","비경쟁",""))</f>
        <v/>
      </c>
      <c r="Z62">
        <f>IF(W62="","",IF(COUNTIF(참가자!$A$3:$A$52,W62)=0,"명단에 없는 코드",""))</f>
        <v/>
      </c>
      <c r="AA62">
        <f>IF(W62="","",IF(ISNUMBER(U62),ROUND(U62*EVAL_ITEMS/100,1),IF(AND(ISNUMBER(S62),ISNUMBER(T62)),IF(T62&gt;0,S62,""),"")))</f>
        <v/>
      </c>
    </row>
    <row r="63">
      <c r="R63" s="3" t="n"/>
      <c r="S63" s="3" t="n"/>
      <c r="T63" s="3" t="n"/>
      <c r="U63" s="3" t="n"/>
      <c r="W63">
        <f>IF(UPPER(TRIM(R63&amp;""))="","",IF(RIGHT(UPPER(TRIM(R63&amp;"")),2)="-N",TRIM(LEFT(UPPER(TRIM(R63&amp;"")),LEN(UPPER(TRIM(R63&amp;"")))-2)),UPPER(TRIM(R63&amp;""))))</f>
        <v/>
      </c>
      <c r="X63">
        <f>IF(W63="","",IF(ISNUMBER(U63),ROUND(U63,1),IF(AND(ISNUMBER(S63),ISNUMBER(T63)),IF(T63&gt;0,ROUND(S63/T63*100,1),""),"")))</f>
        <v/>
      </c>
      <c r="Y63">
        <f>IF(W63="","",IF(RIGHT(UPPER(TRIM(R63&amp;"")),2)="-N","비경쟁",""))</f>
        <v/>
      </c>
      <c r="Z63">
        <f>IF(W63="","",IF(COUNTIF(참가자!$A$3:$A$52,W63)=0,"명단에 없는 코드",""))</f>
        <v/>
      </c>
      <c r="AA63">
        <f>IF(W63="","",IF(ISNUMBER(U63),ROUND(U63*EVAL_ITEMS/100,1),IF(AND(ISNUMBER(S63),ISNUMBER(T63)),IF(T63&gt;0,S63,""),"")))</f>
        <v/>
      </c>
    </row>
    <row r="64">
      <c r="R64" s="3" t="n"/>
      <c r="S64" s="3" t="n"/>
      <c r="T64" s="3" t="n"/>
      <c r="U64" s="3" t="n"/>
      <c r="W64">
        <f>IF(UPPER(TRIM(R64&amp;""))="","",IF(RIGHT(UPPER(TRIM(R64&amp;"")),2)="-N",TRIM(LEFT(UPPER(TRIM(R64&amp;"")),LEN(UPPER(TRIM(R64&amp;"")))-2)),UPPER(TRIM(R64&amp;""))))</f>
        <v/>
      </c>
      <c r="X64">
        <f>IF(W64="","",IF(ISNUMBER(U64),ROUND(U64,1),IF(AND(ISNUMBER(S64),ISNUMBER(T64)),IF(T64&gt;0,ROUND(S64/T64*100,1),""),"")))</f>
        <v/>
      </c>
      <c r="Y64">
        <f>IF(W64="","",IF(RIGHT(UPPER(TRIM(R64&amp;"")),2)="-N","비경쟁",""))</f>
        <v/>
      </c>
      <c r="Z64">
        <f>IF(W64="","",IF(COUNTIF(참가자!$A$3:$A$52,W64)=0,"명단에 없는 코드",""))</f>
        <v/>
      </c>
      <c r="AA64">
        <f>IF(W64="","",IF(ISNUMBER(U64),ROUND(U64*EVAL_ITEMS/100,1),IF(AND(ISNUMBER(S64),ISNUMBER(T64)),IF(T64&gt;0,S64,""),"")))</f>
        <v/>
      </c>
    </row>
    <row r="65">
      <c r="R65" s="3" t="n"/>
      <c r="S65" s="3" t="n"/>
      <c r="T65" s="3" t="n"/>
      <c r="U65" s="3" t="n"/>
      <c r="W65">
        <f>IF(UPPER(TRIM(R65&amp;""))="","",IF(RIGHT(UPPER(TRIM(R65&amp;"")),2)="-N",TRIM(LEFT(UPPER(TRIM(R65&amp;"")),LEN(UPPER(TRIM(R65&amp;"")))-2)),UPPER(TRIM(R65&amp;""))))</f>
        <v/>
      </c>
      <c r="X65">
        <f>IF(W65="","",IF(ISNUMBER(U65),ROUND(U65,1),IF(AND(ISNUMBER(S65),ISNUMBER(T65)),IF(T65&gt;0,ROUND(S65/T65*100,1),""),"")))</f>
        <v/>
      </c>
      <c r="Y65">
        <f>IF(W65="","",IF(RIGHT(UPPER(TRIM(R65&amp;"")),2)="-N","비경쟁",""))</f>
        <v/>
      </c>
      <c r="Z65">
        <f>IF(W65="","",IF(COUNTIF(참가자!$A$3:$A$52,W65)=0,"명단에 없는 코드",""))</f>
        <v/>
      </c>
      <c r="AA65">
        <f>IF(W65="","",IF(ISNUMBER(U65),ROUND(U65*EVAL_ITEMS/100,1),IF(AND(ISNUMBER(S65),ISNUMBER(T65)),IF(T65&gt;0,S65,""),"")))</f>
        <v/>
      </c>
    </row>
    <row r="66">
      <c r="R66" s="3" t="n"/>
      <c r="S66" s="3" t="n"/>
      <c r="T66" s="3" t="n"/>
      <c r="U66" s="3" t="n"/>
      <c r="W66">
        <f>IF(UPPER(TRIM(R66&amp;""))="","",IF(RIGHT(UPPER(TRIM(R66&amp;"")),2)="-N",TRIM(LEFT(UPPER(TRIM(R66&amp;"")),LEN(UPPER(TRIM(R66&amp;"")))-2)),UPPER(TRIM(R66&amp;""))))</f>
        <v/>
      </c>
      <c r="X66">
        <f>IF(W66="","",IF(ISNUMBER(U66),ROUND(U66,1),IF(AND(ISNUMBER(S66),ISNUMBER(T66)),IF(T66&gt;0,ROUND(S66/T66*100,1),""),"")))</f>
        <v/>
      </c>
      <c r="Y66">
        <f>IF(W66="","",IF(RIGHT(UPPER(TRIM(R66&amp;"")),2)="-N","비경쟁",""))</f>
        <v/>
      </c>
      <c r="Z66">
        <f>IF(W66="","",IF(COUNTIF(참가자!$A$3:$A$52,W66)=0,"명단에 없는 코드",""))</f>
        <v/>
      </c>
      <c r="AA66">
        <f>IF(W66="","",IF(ISNUMBER(U66),ROUND(U66*EVAL_ITEMS/100,1),IF(AND(ISNUMBER(S66),ISNUMBER(T66)),IF(T66&gt;0,S66,""),"")))</f>
        <v/>
      </c>
    </row>
    <row r="67">
      <c r="R67" s="3" t="n"/>
      <c r="S67" s="3" t="n"/>
      <c r="T67" s="3" t="n"/>
      <c r="U67" s="3" t="n"/>
      <c r="W67">
        <f>IF(UPPER(TRIM(R67&amp;""))="","",IF(RIGHT(UPPER(TRIM(R67&amp;"")),2)="-N",TRIM(LEFT(UPPER(TRIM(R67&amp;"")),LEN(UPPER(TRIM(R67&amp;"")))-2)),UPPER(TRIM(R67&amp;""))))</f>
        <v/>
      </c>
      <c r="X67">
        <f>IF(W67="","",IF(ISNUMBER(U67),ROUND(U67,1),IF(AND(ISNUMBER(S67),ISNUMBER(T67)),IF(T67&gt;0,ROUND(S67/T67*100,1),""),"")))</f>
        <v/>
      </c>
      <c r="Y67">
        <f>IF(W67="","",IF(RIGHT(UPPER(TRIM(R67&amp;"")),2)="-N","비경쟁",""))</f>
        <v/>
      </c>
      <c r="Z67">
        <f>IF(W67="","",IF(COUNTIF(참가자!$A$3:$A$52,W67)=0,"명단에 없는 코드",""))</f>
        <v/>
      </c>
      <c r="AA67">
        <f>IF(W67="","",IF(ISNUMBER(U67),ROUND(U67*EVAL_ITEMS/100,1),IF(AND(ISNUMBER(S67),ISNUMBER(T67)),IF(T67&gt;0,S67,""),"")))</f>
        <v/>
      </c>
    </row>
    <row r="68">
      <c r="R68" s="3" t="n"/>
      <c r="S68" s="3" t="n"/>
      <c r="T68" s="3" t="n"/>
      <c r="U68" s="3" t="n"/>
      <c r="W68">
        <f>IF(UPPER(TRIM(R68&amp;""))="","",IF(RIGHT(UPPER(TRIM(R68&amp;"")),2)="-N",TRIM(LEFT(UPPER(TRIM(R68&amp;"")),LEN(UPPER(TRIM(R68&amp;"")))-2)),UPPER(TRIM(R68&amp;""))))</f>
        <v/>
      </c>
      <c r="X68">
        <f>IF(W68="","",IF(ISNUMBER(U68),ROUND(U68,1),IF(AND(ISNUMBER(S68),ISNUMBER(T68)),IF(T68&gt;0,ROUND(S68/T68*100,1),""),"")))</f>
        <v/>
      </c>
      <c r="Y68">
        <f>IF(W68="","",IF(RIGHT(UPPER(TRIM(R68&amp;"")),2)="-N","비경쟁",""))</f>
        <v/>
      </c>
      <c r="Z68">
        <f>IF(W68="","",IF(COUNTIF(참가자!$A$3:$A$52,W68)=0,"명단에 없는 코드",""))</f>
        <v/>
      </c>
      <c r="AA68">
        <f>IF(W68="","",IF(ISNUMBER(U68),ROUND(U68*EVAL_ITEMS/100,1),IF(AND(ISNUMBER(S68),ISNUMBER(T68)),IF(T68&gt;0,S68,""),"")))</f>
        <v/>
      </c>
    </row>
    <row r="69">
      <c r="R69" s="3" t="n"/>
      <c r="S69" s="3" t="n"/>
      <c r="T69" s="3" t="n"/>
      <c r="U69" s="3" t="n"/>
      <c r="W69">
        <f>IF(UPPER(TRIM(R69&amp;""))="","",IF(RIGHT(UPPER(TRIM(R69&amp;"")),2)="-N",TRIM(LEFT(UPPER(TRIM(R69&amp;"")),LEN(UPPER(TRIM(R69&amp;"")))-2)),UPPER(TRIM(R69&amp;""))))</f>
        <v/>
      </c>
      <c r="X69">
        <f>IF(W69="","",IF(ISNUMBER(U69),ROUND(U69,1),IF(AND(ISNUMBER(S69),ISNUMBER(T69)),IF(T69&gt;0,ROUND(S69/T69*100,1),""),"")))</f>
        <v/>
      </c>
      <c r="Y69">
        <f>IF(W69="","",IF(RIGHT(UPPER(TRIM(R69&amp;"")),2)="-N","비경쟁",""))</f>
        <v/>
      </c>
      <c r="Z69">
        <f>IF(W69="","",IF(COUNTIF(참가자!$A$3:$A$52,W69)=0,"명단에 없는 코드",""))</f>
        <v/>
      </c>
      <c r="AA69">
        <f>IF(W69="","",IF(ISNUMBER(U69),ROUND(U69*EVAL_ITEMS/100,1),IF(AND(ISNUMBER(S69),ISNUMBER(T69)),IF(T69&gt;0,S69,""),"")))</f>
        <v/>
      </c>
    </row>
    <row r="70">
      <c r="R70" s="3" t="n"/>
      <c r="S70" s="3" t="n"/>
      <c r="T70" s="3" t="n"/>
      <c r="U70" s="3" t="n"/>
      <c r="W70">
        <f>IF(UPPER(TRIM(R70&amp;""))="","",IF(RIGHT(UPPER(TRIM(R70&amp;"")),2)="-N",TRIM(LEFT(UPPER(TRIM(R70&amp;"")),LEN(UPPER(TRIM(R70&amp;"")))-2)),UPPER(TRIM(R70&amp;""))))</f>
        <v/>
      </c>
      <c r="X70">
        <f>IF(W70="","",IF(ISNUMBER(U70),ROUND(U70,1),IF(AND(ISNUMBER(S70),ISNUMBER(T70)),IF(T70&gt;0,ROUND(S70/T70*100,1),""),"")))</f>
        <v/>
      </c>
      <c r="Y70">
        <f>IF(W70="","",IF(RIGHT(UPPER(TRIM(R70&amp;"")),2)="-N","비경쟁",""))</f>
        <v/>
      </c>
      <c r="Z70">
        <f>IF(W70="","",IF(COUNTIF(참가자!$A$3:$A$52,W70)=0,"명단에 없는 코드",""))</f>
        <v/>
      </c>
      <c r="AA70">
        <f>IF(W70="","",IF(ISNUMBER(U70),ROUND(U70*EVAL_ITEMS/100,1),IF(AND(ISNUMBER(S70),ISNUMBER(T70)),IF(T70&gt;0,S70,""),"")))</f>
        <v/>
      </c>
    </row>
    <row r="71">
      <c r="R71" s="3" t="n"/>
      <c r="S71" s="3" t="n"/>
      <c r="T71" s="3" t="n"/>
      <c r="U71" s="3" t="n"/>
      <c r="W71">
        <f>IF(UPPER(TRIM(R71&amp;""))="","",IF(RIGHT(UPPER(TRIM(R71&amp;"")),2)="-N",TRIM(LEFT(UPPER(TRIM(R71&amp;"")),LEN(UPPER(TRIM(R71&amp;"")))-2)),UPPER(TRIM(R71&amp;""))))</f>
        <v/>
      </c>
      <c r="X71">
        <f>IF(W71="","",IF(ISNUMBER(U71),ROUND(U71,1),IF(AND(ISNUMBER(S71),ISNUMBER(T71)),IF(T71&gt;0,ROUND(S71/T71*100,1),""),"")))</f>
        <v/>
      </c>
      <c r="Y71">
        <f>IF(W71="","",IF(RIGHT(UPPER(TRIM(R71&amp;"")),2)="-N","비경쟁",""))</f>
        <v/>
      </c>
      <c r="Z71">
        <f>IF(W71="","",IF(COUNTIF(참가자!$A$3:$A$52,W71)=0,"명단에 없는 코드",""))</f>
        <v/>
      </c>
      <c r="AA71">
        <f>IF(W71="","",IF(ISNUMBER(U71),ROUND(U71*EVAL_ITEMS/100,1),IF(AND(ISNUMBER(S71),ISNUMBER(T71)),IF(T71&gt;0,S71,""),"")))</f>
        <v/>
      </c>
    </row>
    <row r="72">
      <c r="R72" s="3" t="n"/>
      <c r="S72" s="3" t="n"/>
      <c r="T72" s="3" t="n"/>
      <c r="U72" s="3" t="n"/>
      <c r="W72">
        <f>IF(UPPER(TRIM(R72&amp;""))="","",IF(RIGHT(UPPER(TRIM(R72&amp;"")),2)="-N",TRIM(LEFT(UPPER(TRIM(R72&amp;"")),LEN(UPPER(TRIM(R72&amp;"")))-2)),UPPER(TRIM(R72&amp;""))))</f>
        <v/>
      </c>
      <c r="X72">
        <f>IF(W72="","",IF(ISNUMBER(U72),ROUND(U72,1),IF(AND(ISNUMBER(S72),ISNUMBER(T72)),IF(T72&gt;0,ROUND(S72/T72*100,1),""),"")))</f>
        <v/>
      </c>
      <c r="Y72">
        <f>IF(W72="","",IF(RIGHT(UPPER(TRIM(R72&amp;"")),2)="-N","비경쟁",""))</f>
        <v/>
      </c>
      <c r="Z72">
        <f>IF(W72="","",IF(COUNTIF(참가자!$A$3:$A$52,W72)=0,"명단에 없는 코드",""))</f>
        <v/>
      </c>
      <c r="AA72">
        <f>IF(W72="","",IF(ISNUMBER(U72),ROUND(U72*EVAL_ITEMS/100,1),IF(AND(ISNUMBER(S72),ISNUMBER(T72)),IF(T72&gt;0,S72,""),"")))</f>
        <v/>
      </c>
    </row>
    <row r="73">
      <c r="R73" s="3" t="n"/>
      <c r="S73" s="3" t="n"/>
      <c r="T73" s="3" t="n"/>
      <c r="U73" s="3" t="n"/>
      <c r="W73">
        <f>IF(UPPER(TRIM(R73&amp;""))="","",IF(RIGHT(UPPER(TRIM(R73&amp;"")),2)="-N",TRIM(LEFT(UPPER(TRIM(R73&amp;"")),LEN(UPPER(TRIM(R73&amp;"")))-2)),UPPER(TRIM(R73&amp;""))))</f>
        <v/>
      </c>
      <c r="X73">
        <f>IF(W73="","",IF(ISNUMBER(U73),ROUND(U73,1),IF(AND(ISNUMBER(S73),ISNUMBER(T73)),IF(T73&gt;0,ROUND(S73/T73*100,1),""),"")))</f>
        <v/>
      </c>
      <c r="Y73">
        <f>IF(W73="","",IF(RIGHT(UPPER(TRIM(R73&amp;"")),2)="-N","비경쟁",""))</f>
        <v/>
      </c>
      <c r="Z73">
        <f>IF(W73="","",IF(COUNTIF(참가자!$A$3:$A$52,W73)=0,"명단에 없는 코드",""))</f>
        <v/>
      </c>
      <c r="AA73">
        <f>IF(W73="","",IF(ISNUMBER(U73),ROUND(U73*EVAL_ITEMS/100,1),IF(AND(ISNUMBER(S73),ISNUMBER(T73)),IF(T73&gt;0,S73,""),"")))</f>
        <v/>
      </c>
    </row>
    <row r="74">
      <c r="R74" s="3" t="n"/>
      <c r="S74" s="3" t="n"/>
      <c r="T74" s="3" t="n"/>
      <c r="U74" s="3" t="n"/>
      <c r="W74">
        <f>IF(UPPER(TRIM(R74&amp;""))="","",IF(RIGHT(UPPER(TRIM(R74&amp;"")),2)="-N",TRIM(LEFT(UPPER(TRIM(R74&amp;"")),LEN(UPPER(TRIM(R74&amp;"")))-2)),UPPER(TRIM(R74&amp;""))))</f>
        <v/>
      </c>
      <c r="X74">
        <f>IF(W74="","",IF(ISNUMBER(U74),ROUND(U74,1),IF(AND(ISNUMBER(S74),ISNUMBER(T74)),IF(T74&gt;0,ROUND(S74/T74*100,1),""),"")))</f>
        <v/>
      </c>
      <c r="Y74">
        <f>IF(W74="","",IF(RIGHT(UPPER(TRIM(R74&amp;"")),2)="-N","비경쟁",""))</f>
        <v/>
      </c>
      <c r="Z74">
        <f>IF(W74="","",IF(COUNTIF(참가자!$A$3:$A$52,W74)=0,"명단에 없는 코드",""))</f>
        <v/>
      </c>
      <c r="AA74">
        <f>IF(W74="","",IF(ISNUMBER(U74),ROUND(U74*EVAL_ITEMS/100,1),IF(AND(ISNUMBER(S74),ISNUMBER(T74)),IF(T74&gt;0,S74,""),"")))</f>
        <v/>
      </c>
    </row>
    <row r="75">
      <c r="R75" s="3" t="n"/>
      <c r="S75" s="3" t="n"/>
      <c r="T75" s="3" t="n"/>
      <c r="U75" s="3" t="n"/>
      <c r="W75">
        <f>IF(UPPER(TRIM(R75&amp;""))="","",IF(RIGHT(UPPER(TRIM(R75&amp;"")),2)="-N",TRIM(LEFT(UPPER(TRIM(R75&amp;"")),LEN(UPPER(TRIM(R75&amp;"")))-2)),UPPER(TRIM(R75&amp;""))))</f>
        <v/>
      </c>
      <c r="X75">
        <f>IF(W75="","",IF(ISNUMBER(U75),ROUND(U75,1),IF(AND(ISNUMBER(S75),ISNUMBER(T75)),IF(T75&gt;0,ROUND(S75/T75*100,1),""),"")))</f>
        <v/>
      </c>
      <c r="Y75">
        <f>IF(W75="","",IF(RIGHT(UPPER(TRIM(R75&amp;"")),2)="-N","비경쟁",""))</f>
        <v/>
      </c>
      <c r="Z75">
        <f>IF(W75="","",IF(COUNTIF(참가자!$A$3:$A$52,W75)=0,"명단에 없는 코드",""))</f>
        <v/>
      </c>
      <c r="AA75">
        <f>IF(W75="","",IF(ISNUMBER(U75),ROUND(U75*EVAL_ITEMS/100,1),IF(AND(ISNUMBER(S75),ISNUMBER(T75)),IF(T75&gt;0,S75,""),"")))</f>
        <v/>
      </c>
    </row>
    <row r="76">
      <c r="R76" s="3" t="n"/>
      <c r="S76" s="3" t="n"/>
      <c r="T76" s="3" t="n"/>
      <c r="U76" s="3" t="n"/>
      <c r="W76">
        <f>IF(UPPER(TRIM(R76&amp;""))="","",IF(RIGHT(UPPER(TRIM(R76&amp;"")),2)="-N",TRIM(LEFT(UPPER(TRIM(R76&amp;"")),LEN(UPPER(TRIM(R76&amp;"")))-2)),UPPER(TRIM(R76&amp;""))))</f>
        <v/>
      </c>
      <c r="X76">
        <f>IF(W76="","",IF(ISNUMBER(U76),ROUND(U76,1),IF(AND(ISNUMBER(S76),ISNUMBER(T76)),IF(T76&gt;0,ROUND(S76/T76*100,1),""),"")))</f>
        <v/>
      </c>
      <c r="Y76">
        <f>IF(W76="","",IF(RIGHT(UPPER(TRIM(R76&amp;"")),2)="-N","비경쟁",""))</f>
        <v/>
      </c>
      <c r="Z76">
        <f>IF(W76="","",IF(COUNTIF(참가자!$A$3:$A$52,W76)=0,"명단에 없는 코드",""))</f>
        <v/>
      </c>
      <c r="AA76">
        <f>IF(W76="","",IF(ISNUMBER(U76),ROUND(U76*EVAL_ITEMS/100,1),IF(AND(ISNUMBER(S76),ISNUMBER(T76)),IF(T76&gt;0,S76,""),"")))</f>
        <v/>
      </c>
    </row>
    <row r="77">
      <c r="R77" s="3" t="n"/>
      <c r="S77" s="3" t="n"/>
      <c r="T77" s="3" t="n"/>
      <c r="U77" s="3" t="n"/>
      <c r="W77">
        <f>IF(UPPER(TRIM(R77&amp;""))="","",IF(RIGHT(UPPER(TRIM(R77&amp;"")),2)="-N",TRIM(LEFT(UPPER(TRIM(R77&amp;"")),LEN(UPPER(TRIM(R77&amp;"")))-2)),UPPER(TRIM(R77&amp;""))))</f>
        <v/>
      </c>
      <c r="X77">
        <f>IF(W77="","",IF(ISNUMBER(U77),ROUND(U77,1),IF(AND(ISNUMBER(S77),ISNUMBER(T77)),IF(T77&gt;0,ROUND(S77/T77*100,1),""),"")))</f>
        <v/>
      </c>
      <c r="Y77">
        <f>IF(W77="","",IF(RIGHT(UPPER(TRIM(R77&amp;"")),2)="-N","비경쟁",""))</f>
        <v/>
      </c>
      <c r="Z77">
        <f>IF(W77="","",IF(COUNTIF(참가자!$A$3:$A$52,W77)=0,"명단에 없는 코드",""))</f>
        <v/>
      </c>
      <c r="AA77">
        <f>IF(W77="","",IF(ISNUMBER(U77),ROUND(U77*EVAL_ITEMS/100,1),IF(AND(ISNUMBER(S77),ISNUMBER(T77)),IF(T77&gt;0,S77,""),"")))</f>
        <v/>
      </c>
    </row>
    <row r="78">
      <c r="R78" s="3" t="n"/>
      <c r="S78" s="3" t="n"/>
      <c r="T78" s="3" t="n"/>
      <c r="U78" s="3" t="n"/>
      <c r="W78">
        <f>IF(UPPER(TRIM(R78&amp;""))="","",IF(RIGHT(UPPER(TRIM(R78&amp;"")),2)="-N",TRIM(LEFT(UPPER(TRIM(R78&amp;"")),LEN(UPPER(TRIM(R78&amp;"")))-2)),UPPER(TRIM(R78&amp;""))))</f>
        <v/>
      </c>
      <c r="X78">
        <f>IF(W78="","",IF(ISNUMBER(U78),ROUND(U78,1),IF(AND(ISNUMBER(S78),ISNUMBER(T78)),IF(T78&gt;0,ROUND(S78/T78*100,1),""),"")))</f>
        <v/>
      </c>
      <c r="Y78">
        <f>IF(W78="","",IF(RIGHT(UPPER(TRIM(R78&amp;"")),2)="-N","비경쟁",""))</f>
        <v/>
      </c>
      <c r="Z78">
        <f>IF(W78="","",IF(COUNTIF(참가자!$A$3:$A$52,W78)=0,"명단에 없는 코드",""))</f>
        <v/>
      </c>
      <c r="AA78">
        <f>IF(W78="","",IF(ISNUMBER(U78),ROUND(U78*EVAL_ITEMS/100,1),IF(AND(ISNUMBER(S78),ISNUMBER(T78)),IF(T78&gt;0,S78,""),"")))</f>
        <v/>
      </c>
    </row>
    <row r="79">
      <c r="R79" s="3" t="n"/>
      <c r="S79" s="3" t="n"/>
      <c r="T79" s="3" t="n"/>
      <c r="U79" s="3" t="n"/>
      <c r="W79">
        <f>IF(UPPER(TRIM(R79&amp;""))="","",IF(RIGHT(UPPER(TRIM(R79&amp;"")),2)="-N",TRIM(LEFT(UPPER(TRIM(R79&amp;"")),LEN(UPPER(TRIM(R79&amp;"")))-2)),UPPER(TRIM(R79&amp;""))))</f>
        <v/>
      </c>
      <c r="X79">
        <f>IF(W79="","",IF(ISNUMBER(U79),ROUND(U79,1),IF(AND(ISNUMBER(S79),ISNUMBER(T79)),IF(T79&gt;0,ROUND(S79/T79*100,1),""),"")))</f>
        <v/>
      </c>
      <c r="Y79">
        <f>IF(W79="","",IF(RIGHT(UPPER(TRIM(R79&amp;"")),2)="-N","비경쟁",""))</f>
        <v/>
      </c>
      <c r="Z79">
        <f>IF(W79="","",IF(COUNTIF(참가자!$A$3:$A$52,W79)=0,"명단에 없는 코드",""))</f>
        <v/>
      </c>
      <c r="AA79">
        <f>IF(W79="","",IF(ISNUMBER(U79),ROUND(U79*EVAL_ITEMS/100,1),IF(AND(ISNUMBER(S79),ISNUMBER(T79)),IF(T79&gt;0,S79,""),"")))</f>
        <v/>
      </c>
    </row>
    <row r="80">
      <c r="R80" s="3" t="n"/>
      <c r="S80" s="3" t="n"/>
      <c r="T80" s="3" t="n"/>
      <c r="U80" s="3" t="n"/>
      <c r="W80">
        <f>IF(UPPER(TRIM(R80&amp;""))="","",IF(RIGHT(UPPER(TRIM(R80&amp;"")),2)="-N",TRIM(LEFT(UPPER(TRIM(R80&amp;"")),LEN(UPPER(TRIM(R80&amp;"")))-2)),UPPER(TRIM(R80&amp;""))))</f>
        <v/>
      </c>
      <c r="X80">
        <f>IF(W80="","",IF(ISNUMBER(U80),ROUND(U80,1),IF(AND(ISNUMBER(S80),ISNUMBER(T80)),IF(T80&gt;0,ROUND(S80/T80*100,1),""),"")))</f>
        <v/>
      </c>
      <c r="Y80">
        <f>IF(W80="","",IF(RIGHT(UPPER(TRIM(R80&amp;"")),2)="-N","비경쟁",""))</f>
        <v/>
      </c>
      <c r="Z80">
        <f>IF(W80="","",IF(COUNTIF(참가자!$A$3:$A$52,W80)=0,"명단에 없는 코드",""))</f>
        <v/>
      </c>
      <c r="AA80">
        <f>IF(W80="","",IF(ISNUMBER(U80),ROUND(U80*EVAL_ITEMS/100,1),IF(AND(ISNUMBER(S80),ISNUMBER(T80)),IF(T80&gt;0,S80,""),"")))</f>
        <v/>
      </c>
    </row>
    <row r="81">
      <c r="R81" s="3" t="n"/>
      <c r="S81" s="3" t="n"/>
      <c r="T81" s="3" t="n"/>
      <c r="U81" s="3" t="n"/>
      <c r="W81">
        <f>IF(UPPER(TRIM(R81&amp;""))="","",IF(RIGHT(UPPER(TRIM(R81&amp;"")),2)="-N",TRIM(LEFT(UPPER(TRIM(R81&amp;"")),LEN(UPPER(TRIM(R81&amp;"")))-2)),UPPER(TRIM(R81&amp;""))))</f>
        <v/>
      </c>
      <c r="X81">
        <f>IF(W81="","",IF(ISNUMBER(U81),ROUND(U81,1),IF(AND(ISNUMBER(S81),ISNUMBER(T81)),IF(T81&gt;0,ROUND(S81/T81*100,1),""),"")))</f>
        <v/>
      </c>
      <c r="Y81">
        <f>IF(W81="","",IF(RIGHT(UPPER(TRIM(R81&amp;"")),2)="-N","비경쟁",""))</f>
        <v/>
      </c>
      <c r="Z81">
        <f>IF(W81="","",IF(COUNTIF(참가자!$A$3:$A$52,W81)=0,"명단에 없는 코드",""))</f>
        <v/>
      </c>
      <c r="AA81">
        <f>IF(W81="","",IF(ISNUMBER(U81),ROUND(U81*EVAL_ITEMS/100,1),IF(AND(ISNUMBER(S81),ISNUMBER(T81)),IF(T81&gt;0,S81,""),"")))</f>
        <v/>
      </c>
    </row>
    <row r="82">
      <c r="R82" s="3" t="n"/>
      <c r="S82" s="3" t="n"/>
      <c r="T82" s="3" t="n"/>
      <c r="U82" s="3" t="n"/>
      <c r="W82">
        <f>IF(UPPER(TRIM(R82&amp;""))="","",IF(RIGHT(UPPER(TRIM(R82&amp;"")),2)="-N",TRIM(LEFT(UPPER(TRIM(R82&amp;"")),LEN(UPPER(TRIM(R82&amp;"")))-2)),UPPER(TRIM(R82&amp;""))))</f>
        <v/>
      </c>
      <c r="X82">
        <f>IF(W82="","",IF(ISNUMBER(U82),ROUND(U82,1),IF(AND(ISNUMBER(S82),ISNUMBER(T82)),IF(T82&gt;0,ROUND(S82/T82*100,1),""),"")))</f>
        <v/>
      </c>
      <c r="Y82">
        <f>IF(W82="","",IF(RIGHT(UPPER(TRIM(R82&amp;"")),2)="-N","비경쟁",""))</f>
        <v/>
      </c>
      <c r="Z82">
        <f>IF(W82="","",IF(COUNTIF(참가자!$A$3:$A$52,W82)=0,"명단에 없는 코드",""))</f>
        <v/>
      </c>
      <c r="AA82">
        <f>IF(W82="","",IF(ISNUMBER(U82),ROUND(U82*EVAL_ITEMS/100,1),IF(AND(ISNUMBER(S82),ISNUMBER(T82)),IF(T82&gt;0,S82,""),"")))</f>
        <v/>
      </c>
    </row>
    <row r="83">
      <c r="R83" s="3" t="n"/>
      <c r="S83" s="3" t="n"/>
      <c r="T83" s="3" t="n"/>
      <c r="U83" s="3" t="n"/>
      <c r="W83">
        <f>IF(UPPER(TRIM(R83&amp;""))="","",IF(RIGHT(UPPER(TRIM(R83&amp;"")),2)="-N",TRIM(LEFT(UPPER(TRIM(R83&amp;"")),LEN(UPPER(TRIM(R83&amp;"")))-2)),UPPER(TRIM(R83&amp;""))))</f>
        <v/>
      </c>
      <c r="X83">
        <f>IF(W83="","",IF(ISNUMBER(U83),ROUND(U83,1),IF(AND(ISNUMBER(S83),ISNUMBER(T83)),IF(T83&gt;0,ROUND(S83/T83*100,1),""),"")))</f>
        <v/>
      </c>
      <c r="Y83">
        <f>IF(W83="","",IF(RIGHT(UPPER(TRIM(R83&amp;"")),2)="-N","비경쟁",""))</f>
        <v/>
      </c>
      <c r="Z83">
        <f>IF(W83="","",IF(COUNTIF(참가자!$A$3:$A$52,W83)=0,"명단에 없는 코드",""))</f>
        <v/>
      </c>
      <c r="AA83">
        <f>IF(W83="","",IF(ISNUMBER(U83),ROUND(U83*EVAL_ITEMS/100,1),IF(AND(ISNUMBER(S83),ISNUMBER(T83)),IF(T83&gt;0,S83,""),"")))</f>
        <v/>
      </c>
    </row>
    <row r="84">
      <c r="R84" s="3" t="n"/>
      <c r="S84" s="3" t="n"/>
      <c r="T84" s="3" t="n"/>
      <c r="U84" s="3" t="n"/>
      <c r="W84">
        <f>IF(UPPER(TRIM(R84&amp;""))="","",IF(RIGHT(UPPER(TRIM(R84&amp;"")),2)="-N",TRIM(LEFT(UPPER(TRIM(R84&amp;"")),LEN(UPPER(TRIM(R84&amp;"")))-2)),UPPER(TRIM(R84&amp;""))))</f>
        <v/>
      </c>
      <c r="X84">
        <f>IF(W84="","",IF(ISNUMBER(U84),ROUND(U84,1),IF(AND(ISNUMBER(S84),ISNUMBER(T84)),IF(T84&gt;0,ROUND(S84/T84*100,1),""),"")))</f>
        <v/>
      </c>
      <c r="Y84">
        <f>IF(W84="","",IF(RIGHT(UPPER(TRIM(R84&amp;"")),2)="-N","비경쟁",""))</f>
        <v/>
      </c>
      <c r="Z84">
        <f>IF(W84="","",IF(COUNTIF(참가자!$A$3:$A$52,W84)=0,"명단에 없는 코드",""))</f>
        <v/>
      </c>
      <c r="AA84">
        <f>IF(W84="","",IF(ISNUMBER(U84),ROUND(U84*EVAL_ITEMS/100,1),IF(AND(ISNUMBER(S84),ISNUMBER(T84)),IF(T84&gt;0,S84,""),"")))</f>
        <v/>
      </c>
    </row>
    <row r="85">
      <c r="R85" s="3" t="n"/>
      <c r="S85" s="3" t="n"/>
      <c r="T85" s="3" t="n"/>
      <c r="U85" s="3" t="n"/>
      <c r="W85">
        <f>IF(UPPER(TRIM(R85&amp;""))="","",IF(RIGHT(UPPER(TRIM(R85&amp;"")),2)="-N",TRIM(LEFT(UPPER(TRIM(R85&amp;"")),LEN(UPPER(TRIM(R85&amp;"")))-2)),UPPER(TRIM(R85&amp;""))))</f>
        <v/>
      </c>
      <c r="X85">
        <f>IF(W85="","",IF(ISNUMBER(U85),ROUND(U85,1),IF(AND(ISNUMBER(S85),ISNUMBER(T85)),IF(T85&gt;0,ROUND(S85/T85*100,1),""),"")))</f>
        <v/>
      </c>
      <c r="Y85">
        <f>IF(W85="","",IF(RIGHT(UPPER(TRIM(R85&amp;"")),2)="-N","비경쟁",""))</f>
        <v/>
      </c>
      <c r="Z85">
        <f>IF(W85="","",IF(COUNTIF(참가자!$A$3:$A$52,W85)=0,"명단에 없는 코드",""))</f>
        <v/>
      </c>
      <c r="AA85">
        <f>IF(W85="","",IF(ISNUMBER(U85),ROUND(U85*EVAL_ITEMS/100,1),IF(AND(ISNUMBER(S85),ISNUMBER(T85)),IF(T85&gt;0,S85,""),"")))</f>
        <v/>
      </c>
    </row>
    <row r="86">
      <c r="R86" s="3" t="n"/>
      <c r="S86" s="3" t="n"/>
      <c r="T86" s="3" t="n"/>
      <c r="U86" s="3" t="n"/>
      <c r="W86">
        <f>IF(UPPER(TRIM(R86&amp;""))="","",IF(RIGHT(UPPER(TRIM(R86&amp;"")),2)="-N",TRIM(LEFT(UPPER(TRIM(R86&amp;"")),LEN(UPPER(TRIM(R86&amp;"")))-2)),UPPER(TRIM(R86&amp;""))))</f>
        <v/>
      </c>
      <c r="X86">
        <f>IF(W86="","",IF(ISNUMBER(U86),ROUND(U86,1),IF(AND(ISNUMBER(S86),ISNUMBER(T86)),IF(T86&gt;0,ROUND(S86/T86*100,1),""),"")))</f>
        <v/>
      </c>
      <c r="Y86">
        <f>IF(W86="","",IF(RIGHT(UPPER(TRIM(R86&amp;"")),2)="-N","비경쟁",""))</f>
        <v/>
      </c>
      <c r="Z86">
        <f>IF(W86="","",IF(COUNTIF(참가자!$A$3:$A$52,W86)=0,"명단에 없는 코드",""))</f>
        <v/>
      </c>
      <c r="AA86">
        <f>IF(W86="","",IF(ISNUMBER(U86),ROUND(U86*EVAL_ITEMS/100,1),IF(AND(ISNUMBER(S86),ISNUMBER(T86)),IF(T86&gt;0,S86,""),"")))</f>
        <v/>
      </c>
    </row>
    <row r="87">
      <c r="R87" s="3" t="n"/>
      <c r="S87" s="3" t="n"/>
      <c r="T87" s="3" t="n"/>
      <c r="U87" s="3" t="n"/>
      <c r="W87">
        <f>IF(UPPER(TRIM(R87&amp;""))="","",IF(RIGHT(UPPER(TRIM(R87&amp;"")),2)="-N",TRIM(LEFT(UPPER(TRIM(R87&amp;"")),LEN(UPPER(TRIM(R87&amp;"")))-2)),UPPER(TRIM(R87&amp;""))))</f>
        <v/>
      </c>
      <c r="X87">
        <f>IF(W87="","",IF(ISNUMBER(U87),ROUND(U87,1),IF(AND(ISNUMBER(S87),ISNUMBER(T87)),IF(T87&gt;0,ROUND(S87/T87*100,1),""),"")))</f>
        <v/>
      </c>
      <c r="Y87">
        <f>IF(W87="","",IF(RIGHT(UPPER(TRIM(R87&amp;"")),2)="-N","비경쟁",""))</f>
        <v/>
      </c>
      <c r="Z87">
        <f>IF(W87="","",IF(COUNTIF(참가자!$A$3:$A$52,W87)=0,"명단에 없는 코드",""))</f>
        <v/>
      </c>
      <c r="AA87">
        <f>IF(W87="","",IF(ISNUMBER(U87),ROUND(U87*EVAL_ITEMS/100,1),IF(AND(ISNUMBER(S87),ISNUMBER(T87)),IF(T87&gt;0,S87,""),"")))</f>
        <v/>
      </c>
    </row>
    <row r="88">
      <c r="R88" s="3" t="n"/>
      <c r="S88" s="3" t="n"/>
      <c r="T88" s="3" t="n"/>
      <c r="U88" s="3" t="n"/>
      <c r="W88">
        <f>IF(UPPER(TRIM(R88&amp;""))="","",IF(RIGHT(UPPER(TRIM(R88&amp;"")),2)="-N",TRIM(LEFT(UPPER(TRIM(R88&amp;"")),LEN(UPPER(TRIM(R88&amp;"")))-2)),UPPER(TRIM(R88&amp;""))))</f>
        <v/>
      </c>
      <c r="X88">
        <f>IF(W88="","",IF(ISNUMBER(U88),ROUND(U88,1),IF(AND(ISNUMBER(S88),ISNUMBER(T88)),IF(T88&gt;0,ROUND(S88/T88*100,1),""),"")))</f>
        <v/>
      </c>
      <c r="Y88">
        <f>IF(W88="","",IF(RIGHT(UPPER(TRIM(R88&amp;"")),2)="-N","비경쟁",""))</f>
        <v/>
      </c>
      <c r="Z88">
        <f>IF(W88="","",IF(COUNTIF(참가자!$A$3:$A$52,W88)=0,"명단에 없는 코드",""))</f>
        <v/>
      </c>
      <c r="AA88">
        <f>IF(W88="","",IF(ISNUMBER(U88),ROUND(U88*EVAL_ITEMS/100,1),IF(AND(ISNUMBER(S88),ISNUMBER(T88)),IF(T88&gt;0,S88,""),"")))</f>
        <v/>
      </c>
    </row>
    <row r="89">
      <c r="R89" s="3" t="n"/>
      <c r="S89" s="3" t="n"/>
      <c r="T89" s="3" t="n"/>
      <c r="U89" s="3" t="n"/>
      <c r="W89">
        <f>IF(UPPER(TRIM(R89&amp;""))="","",IF(RIGHT(UPPER(TRIM(R89&amp;"")),2)="-N",TRIM(LEFT(UPPER(TRIM(R89&amp;"")),LEN(UPPER(TRIM(R89&amp;"")))-2)),UPPER(TRIM(R89&amp;""))))</f>
        <v/>
      </c>
      <c r="X89">
        <f>IF(W89="","",IF(ISNUMBER(U89),ROUND(U89,1),IF(AND(ISNUMBER(S89),ISNUMBER(T89)),IF(T89&gt;0,ROUND(S89/T89*100,1),""),"")))</f>
        <v/>
      </c>
      <c r="Y89">
        <f>IF(W89="","",IF(RIGHT(UPPER(TRIM(R89&amp;"")),2)="-N","비경쟁",""))</f>
        <v/>
      </c>
      <c r="Z89">
        <f>IF(W89="","",IF(COUNTIF(참가자!$A$3:$A$52,W89)=0,"명단에 없는 코드",""))</f>
        <v/>
      </c>
      <c r="AA89">
        <f>IF(W89="","",IF(ISNUMBER(U89),ROUND(U89*EVAL_ITEMS/100,1),IF(AND(ISNUMBER(S89),ISNUMBER(T89)),IF(T89&gt;0,S89,""),"")))</f>
        <v/>
      </c>
    </row>
    <row r="90">
      <c r="R90" s="3" t="n"/>
      <c r="S90" s="3" t="n"/>
      <c r="T90" s="3" t="n"/>
      <c r="U90" s="3" t="n"/>
      <c r="W90">
        <f>IF(UPPER(TRIM(R90&amp;""))="","",IF(RIGHT(UPPER(TRIM(R90&amp;"")),2)="-N",TRIM(LEFT(UPPER(TRIM(R90&amp;"")),LEN(UPPER(TRIM(R90&amp;"")))-2)),UPPER(TRIM(R90&amp;""))))</f>
        <v/>
      </c>
      <c r="X90">
        <f>IF(W90="","",IF(ISNUMBER(U90),ROUND(U90,1),IF(AND(ISNUMBER(S90),ISNUMBER(T90)),IF(T90&gt;0,ROUND(S90/T90*100,1),""),"")))</f>
        <v/>
      </c>
      <c r="Y90">
        <f>IF(W90="","",IF(RIGHT(UPPER(TRIM(R90&amp;"")),2)="-N","비경쟁",""))</f>
        <v/>
      </c>
      <c r="Z90">
        <f>IF(W90="","",IF(COUNTIF(참가자!$A$3:$A$52,W90)=0,"명단에 없는 코드",""))</f>
        <v/>
      </c>
      <c r="AA90">
        <f>IF(W90="","",IF(ISNUMBER(U90),ROUND(U90*EVAL_ITEMS/100,1),IF(AND(ISNUMBER(S90),ISNUMBER(T90)),IF(T90&gt;0,S90,""),"")))</f>
        <v/>
      </c>
    </row>
    <row r="91">
      <c r="R91" s="3" t="n"/>
      <c r="S91" s="3" t="n"/>
      <c r="T91" s="3" t="n"/>
      <c r="U91" s="3" t="n"/>
      <c r="W91">
        <f>IF(UPPER(TRIM(R91&amp;""))="","",IF(RIGHT(UPPER(TRIM(R91&amp;"")),2)="-N",TRIM(LEFT(UPPER(TRIM(R91&amp;"")),LEN(UPPER(TRIM(R91&amp;"")))-2)),UPPER(TRIM(R91&amp;""))))</f>
        <v/>
      </c>
      <c r="X91">
        <f>IF(W91="","",IF(ISNUMBER(U91),ROUND(U91,1),IF(AND(ISNUMBER(S91),ISNUMBER(T91)),IF(T91&gt;0,ROUND(S91/T91*100,1),""),"")))</f>
        <v/>
      </c>
      <c r="Y91">
        <f>IF(W91="","",IF(RIGHT(UPPER(TRIM(R91&amp;"")),2)="-N","비경쟁",""))</f>
        <v/>
      </c>
      <c r="Z91">
        <f>IF(W91="","",IF(COUNTIF(참가자!$A$3:$A$52,W91)=0,"명단에 없는 코드",""))</f>
        <v/>
      </c>
      <c r="AA91">
        <f>IF(W91="","",IF(ISNUMBER(U91),ROUND(U91*EVAL_ITEMS/100,1),IF(AND(ISNUMBER(S91),ISNUMBER(T91)),IF(T91&gt;0,S91,""),"")))</f>
        <v/>
      </c>
    </row>
    <row r="92">
      <c r="R92" s="3" t="n"/>
      <c r="S92" s="3" t="n"/>
      <c r="T92" s="3" t="n"/>
      <c r="U92" s="3" t="n"/>
      <c r="W92">
        <f>IF(UPPER(TRIM(R92&amp;""))="","",IF(RIGHT(UPPER(TRIM(R92&amp;"")),2)="-N",TRIM(LEFT(UPPER(TRIM(R92&amp;"")),LEN(UPPER(TRIM(R92&amp;"")))-2)),UPPER(TRIM(R92&amp;""))))</f>
        <v/>
      </c>
      <c r="X92">
        <f>IF(W92="","",IF(ISNUMBER(U92),ROUND(U92,1),IF(AND(ISNUMBER(S92),ISNUMBER(T92)),IF(T92&gt;0,ROUND(S92/T92*100,1),""),"")))</f>
        <v/>
      </c>
      <c r="Y92">
        <f>IF(W92="","",IF(RIGHT(UPPER(TRIM(R92&amp;"")),2)="-N","비경쟁",""))</f>
        <v/>
      </c>
      <c r="Z92">
        <f>IF(W92="","",IF(COUNTIF(참가자!$A$3:$A$52,W92)=0,"명단에 없는 코드",""))</f>
        <v/>
      </c>
      <c r="AA92">
        <f>IF(W92="","",IF(ISNUMBER(U92),ROUND(U92*EVAL_ITEMS/100,1),IF(AND(ISNUMBER(S92),ISNUMBER(T92)),IF(T92&gt;0,S92,""),"")))</f>
        <v/>
      </c>
    </row>
    <row r="93">
      <c r="R93" s="3" t="n"/>
      <c r="S93" s="3" t="n"/>
      <c r="T93" s="3" t="n"/>
      <c r="U93" s="3" t="n"/>
      <c r="W93">
        <f>IF(UPPER(TRIM(R93&amp;""))="","",IF(RIGHT(UPPER(TRIM(R93&amp;"")),2)="-N",TRIM(LEFT(UPPER(TRIM(R93&amp;"")),LEN(UPPER(TRIM(R93&amp;"")))-2)),UPPER(TRIM(R93&amp;""))))</f>
        <v/>
      </c>
      <c r="X93">
        <f>IF(W93="","",IF(ISNUMBER(U93),ROUND(U93,1),IF(AND(ISNUMBER(S93),ISNUMBER(T93)),IF(T93&gt;0,ROUND(S93/T93*100,1),""),"")))</f>
        <v/>
      </c>
      <c r="Y93">
        <f>IF(W93="","",IF(RIGHT(UPPER(TRIM(R93&amp;"")),2)="-N","비경쟁",""))</f>
        <v/>
      </c>
      <c r="Z93">
        <f>IF(W93="","",IF(COUNTIF(참가자!$A$3:$A$52,W93)=0,"명단에 없는 코드",""))</f>
        <v/>
      </c>
      <c r="AA93">
        <f>IF(W93="","",IF(ISNUMBER(U93),ROUND(U93*EVAL_ITEMS/100,1),IF(AND(ISNUMBER(S93),ISNUMBER(T93)),IF(T93&gt;0,S93,""),"")))</f>
        <v/>
      </c>
    </row>
    <row r="94">
      <c r="R94" s="3" t="n"/>
      <c r="S94" s="3" t="n"/>
      <c r="T94" s="3" t="n"/>
      <c r="U94" s="3" t="n"/>
      <c r="W94">
        <f>IF(UPPER(TRIM(R94&amp;""))="","",IF(RIGHT(UPPER(TRIM(R94&amp;"")),2)="-N",TRIM(LEFT(UPPER(TRIM(R94&amp;"")),LEN(UPPER(TRIM(R94&amp;"")))-2)),UPPER(TRIM(R94&amp;""))))</f>
        <v/>
      </c>
      <c r="X94">
        <f>IF(W94="","",IF(ISNUMBER(U94),ROUND(U94,1),IF(AND(ISNUMBER(S94),ISNUMBER(T94)),IF(T94&gt;0,ROUND(S94/T94*100,1),""),"")))</f>
        <v/>
      </c>
      <c r="Y94">
        <f>IF(W94="","",IF(RIGHT(UPPER(TRIM(R94&amp;"")),2)="-N","비경쟁",""))</f>
        <v/>
      </c>
      <c r="Z94">
        <f>IF(W94="","",IF(COUNTIF(참가자!$A$3:$A$52,W94)=0,"명단에 없는 코드",""))</f>
        <v/>
      </c>
      <c r="AA94">
        <f>IF(W94="","",IF(ISNUMBER(U94),ROUND(U94*EVAL_ITEMS/100,1),IF(AND(ISNUMBER(S94),ISNUMBER(T94)),IF(T94&gt;0,S94,""),"")))</f>
        <v/>
      </c>
    </row>
    <row r="95">
      <c r="R95" s="3" t="n"/>
      <c r="S95" s="3" t="n"/>
      <c r="T95" s="3" t="n"/>
      <c r="U95" s="3" t="n"/>
      <c r="W95">
        <f>IF(UPPER(TRIM(R95&amp;""))="","",IF(RIGHT(UPPER(TRIM(R95&amp;"")),2)="-N",TRIM(LEFT(UPPER(TRIM(R95&amp;"")),LEN(UPPER(TRIM(R95&amp;"")))-2)),UPPER(TRIM(R95&amp;""))))</f>
        <v/>
      </c>
      <c r="X95">
        <f>IF(W95="","",IF(ISNUMBER(U95),ROUND(U95,1),IF(AND(ISNUMBER(S95),ISNUMBER(T95)),IF(T95&gt;0,ROUND(S95/T95*100,1),""),"")))</f>
        <v/>
      </c>
      <c r="Y95">
        <f>IF(W95="","",IF(RIGHT(UPPER(TRIM(R95&amp;"")),2)="-N","비경쟁",""))</f>
        <v/>
      </c>
      <c r="Z95">
        <f>IF(W95="","",IF(COUNTIF(참가자!$A$3:$A$52,W95)=0,"명단에 없는 코드",""))</f>
        <v/>
      </c>
      <c r="AA95">
        <f>IF(W95="","",IF(ISNUMBER(U95),ROUND(U95*EVAL_ITEMS/100,1),IF(AND(ISNUMBER(S95),ISNUMBER(T95)),IF(T95&gt;0,S95,""),"")))</f>
        <v/>
      </c>
    </row>
    <row r="96">
      <c r="R96" s="3" t="n"/>
      <c r="S96" s="3" t="n"/>
      <c r="T96" s="3" t="n"/>
      <c r="U96" s="3" t="n"/>
      <c r="W96">
        <f>IF(UPPER(TRIM(R96&amp;""))="","",IF(RIGHT(UPPER(TRIM(R96&amp;"")),2)="-N",TRIM(LEFT(UPPER(TRIM(R96&amp;"")),LEN(UPPER(TRIM(R96&amp;"")))-2)),UPPER(TRIM(R96&amp;""))))</f>
        <v/>
      </c>
      <c r="X96">
        <f>IF(W96="","",IF(ISNUMBER(U96),ROUND(U96,1),IF(AND(ISNUMBER(S96),ISNUMBER(T96)),IF(T96&gt;0,ROUND(S96/T96*100,1),""),"")))</f>
        <v/>
      </c>
      <c r="Y96">
        <f>IF(W96="","",IF(RIGHT(UPPER(TRIM(R96&amp;"")),2)="-N","비경쟁",""))</f>
        <v/>
      </c>
      <c r="Z96">
        <f>IF(W96="","",IF(COUNTIF(참가자!$A$3:$A$52,W96)=0,"명단에 없는 코드",""))</f>
        <v/>
      </c>
      <c r="AA96">
        <f>IF(W96="","",IF(ISNUMBER(U96),ROUND(U96*EVAL_ITEMS/100,1),IF(AND(ISNUMBER(S96),ISNUMBER(T96)),IF(T96&gt;0,S96,""),"")))</f>
        <v/>
      </c>
    </row>
    <row r="97">
      <c r="R97" s="3" t="n"/>
      <c r="S97" s="3" t="n"/>
      <c r="T97" s="3" t="n"/>
      <c r="U97" s="3" t="n"/>
      <c r="W97">
        <f>IF(UPPER(TRIM(R97&amp;""))="","",IF(RIGHT(UPPER(TRIM(R97&amp;"")),2)="-N",TRIM(LEFT(UPPER(TRIM(R97&amp;"")),LEN(UPPER(TRIM(R97&amp;"")))-2)),UPPER(TRIM(R97&amp;""))))</f>
        <v/>
      </c>
      <c r="X97">
        <f>IF(W97="","",IF(ISNUMBER(U97),ROUND(U97,1),IF(AND(ISNUMBER(S97),ISNUMBER(T97)),IF(T97&gt;0,ROUND(S97/T97*100,1),""),"")))</f>
        <v/>
      </c>
      <c r="Y97">
        <f>IF(W97="","",IF(RIGHT(UPPER(TRIM(R97&amp;"")),2)="-N","비경쟁",""))</f>
        <v/>
      </c>
      <c r="Z97">
        <f>IF(W97="","",IF(COUNTIF(참가자!$A$3:$A$52,W97)=0,"명단에 없는 코드",""))</f>
        <v/>
      </c>
      <c r="AA97">
        <f>IF(W97="","",IF(ISNUMBER(U97),ROUND(U97*EVAL_ITEMS/100,1),IF(AND(ISNUMBER(S97),ISNUMBER(T97)),IF(T97&gt;0,S97,""),"")))</f>
        <v/>
      </c>
    </row>
    <row r="98">
      <c r="R98" s="3" t="n"/>
      <c r="S98" s="3" t="n"/>
      <c r="T98" s="3" t="n"/>
      <c r="U98" s="3" t="n"/>
      <c r="W98">
        <f>IF(UPPER(TRIM(R98&amp;""))="","",IF(RIGHT(UPPER(TRIM(R98&amp;"")),2)="-N",TRIM(LEFT(UPPER(TRIM(R98&amp;"")),LEN(UPPER(TRIM(R98&amp;"")))-2)),UPPER(TRIM(R98&amp;""))))</f>
        <v/>
      </c>
      <c r="X98">
        <f>IF(W98="","",IF(ISNUMBER(U98),ROUND(U98,1),IF(AND(ISNUMBER(S98),ISNUMBER(T98)),IF(T98&gt;0,ROUND(S98/T98*100,1),""),"")))</f>
        <v/>
      </c>
      <c r="Y98">
        <f>IF(W98="","",IF(RIGHT(UPPER(TRIM(R98&amp;"")),2)="-N","비경쟁",""))</f>
        <v/>
      </c>
      <c r="Z98">
        <f>IF(W98="","",IF(COUNTIF(참가자!$A$3:$A$52,W98)=0,"명단에 없는 코드",""))</f>
        <v/>
      </c>
      <c r="AA98">
        <f>IF(W98="","",IF(ISNUMBER(U98),ROUND(U98*EVAL_ITEMS/100,1),IF(AND(ISNUMBER(S98),ISNUMBER(T98)),IF(T98&gt;0,S98,""),"")))</f>
        <v/>
      </c>
    </row>
    <row r="99">
      <c r="R99" s="3" t="n"/>
      <c r="S99" s="3" t="n"/>
      <c r="T99" s="3" t="n"/>
      <c r="U99" s="3" t="n"/>
      <c r="W99">
        <f>IF(UPPER(TRIM(R99&amp;""))="","",IF(RIGHT(UPPER(TRIM(R99&amp;"")),2)="-N",TRIM(LEFT(UPPER(TRIM(R99&amp;"")),LEN(UPPER(TRIM(R99&amp;"")))-2)),UPPER(TRIM(R99&amp;""))))</f>
        <v/>
      </c>
      <c r="X99">
        <f>IF(W99="","",IF(ISNUMBER(U99),ROUND(U99,1),IF(AND(ISNUMBER(S99),ISNUMBER(T99)),IF(T99&gt;0,ROUND(S99/T99*100,1),""),"")))</f>
        <v/>
      </c>
      <c r="Y99">
        <f>IF(W99="","",IF(RIGHT(UPPER(TRIM(R99&amp;"")),2)="-N","비경쟁",""))</f>
        <v/>
      </c>
      <c r="Z99">
        <f>IF(W99="","",IF(COUNTIF(참가자!$A$3:$A$52,W99)=0,"명단에 없는 코드",""))</f>
        <v/>
      </c>
      <c r="AA99">
        <f>IF(W99="","",IF(ISNUMBER(U99),ROUND(U99*EVAL_ITEMS/100,1),IF(AND(ISNUMBER(S99),ISNUMBER(T99)),IF(T99&gt;0,S99,""),"")))</f>
        <v/>
      </c>
    </row>
    <row r="100">
      <c r="R100" s="3" t="n"/>
      <c r="S100" s="3" t="n"/>
      <c r="T100" s="3" t="n"/>
      <c r="U100" s="3" t="n"/>
      <c r="W100">
        <f>IF(UPPER(TRIM(R100&amp;""))="","",IF(RIGHT(UPPER(TRIM(R100&amp;"")),2)="-N",TRIM(LEFT(UPPER(TRIM(R100&amp;"")),LEN(UPPER(TRIM(R100&amp;"")))-2)),UPPER(TRIM(R100&amp;""))))</f>
        <v/>
      </c>
      <c r="X100">
        <f>IF(W100="","",IF(ISNUMBER(U100),ROUND(U100,1),IF(AND(ISNUMBER(S100),ISNUMBER(T100)),IF(T100&gt;0,ROUND(S100/T100*100,1),""),"")))</f>
        <v/>
      </c>
      <c r="Y100">
        <f>IF(W100="","",IF(RIGHT(UPPER(TRIM(R100&amp;"")),2)="-N","비경쟁",""))</f>
        <v/>
      </c>
      <c r="Z100">
        <f>IF(W100="","",IF(COUNTIF(참가자!$A$3:$A$52,W100)=0,"명단에 없는 코드",""))</f>
        <v/>
      </c>
      <c r="AA100">
        <f>IF(W100="","",IF(ISNUMBER(U100),ROUND(U100*EVAL_ITEMS/100,1),IF(AND(ISNUMBER(S100),ISNUMBER(T100)),IF(T100&gt;0,S100,""),"")))</f>
        <v/>
      </c>
    </row>
    <row r="101">
      <c r="R101" s="3" t="n"/>
      <c r="S101" s="3" t="n"/>
      <c r="T101" s="3" t="n"/>
      <c r="U101" s="3" t="n"/>
      <c r="W101">
        <f>IF(UPPER(TRIM(R101&amp;""))="","",IF(RIGHT(UPPER(TRIM(R101&amp;"")),2)="-N",TRIM(LEFT(UPPER(TRIM(R101&amp;"")),LEN(UPPER(TRIM(R101&amp;"")))-2)),UPPER(TRIM(R101&amp;""))))</f>
        <v/>
      </c>
      <c r="X101">
        <f>IF(W101="","",IF(ISNUMBER(U101),ROUND(U101,1),IF(AND(ISNUMBER(S101),ISNUMBER(T101)),IF(T101&gt;0,ROUND(S101/T101*100,1),""),"")))</f>
        <v/>
      </c>
      <c r="Y101">
        <f>IF(W101="","",IF(RIGHT(UPPER(TRIM(R101&amp;"")),2)="-N","비경쟁",""))</f>
        <v/>
      </c>
      <c r="Z101">
        <f>IF(W101="","",IF(COUNTIF(참가자!$A$3:$A$52,W101)=0,"명단에 없는 코드",""))</f>
        <v/>
      </c>
      <c r="AA101">
        <f>IF(W101="","",IF(ISNUMBER(U101),ROUND(U101*EVAL_ITEMS/100,1),IF(AND(ISNUMBER(S101),ISNUMBER(T101)),IF(T101&gt;0,S101,""),"")))</f>
        <v/>
      </c>
    </row>
    <row r="102">
      <c r="R102" s="3" t="n"/>
      <c r="S102" s="3" t="n"/>
      <c r="T102" s="3" t="n"/>
      <c r="U102" s="3" t="n"/>
      <c r="W102">
        <f>IF(UPPER(TRIM(R102&amp;""))="","",IF(RIGHT(UPPER(TRIM(R102&amp;"")),2)="-N",TRIM(LEFT(UPPER(TRIM(R102&amp;"")),LEN(UPPER(TRIM(R102&amp;"")))-2)),UPPER(TRIM(R102&amp;""))))</f>
        <v/>
      </c>
      <c r="X102">
        <f>IF(W102="","",IF(ISNUMBER(U102),ROUND(U102,1),IF(AND(ISNUMBER(S102),ISNUMBER(T102)),IF(T102&gt;0,ROUND(S102/T102*100,1),""),"")))</f>
        <v/>
      </c>
      <c r="Y102">
        <f>IF(W102="","",IF(RIGHT(UPPER(TRIM(R102&amp;"")),2)="-N","비경쟁",""))</f>
        <v/>
      </c>
      <c r="Z102">
        <f>IF(W102="","",IF(COUNTIF(참가자!$A$3:$A$52,W102)=0,"명단에 없는 코드",""))</f>
        <v/>
      </c>
      <c r="AA102">
        <f>IF(W102="","",IF(ISNUMBER(U102),ROUND(U102*EVAL_ITEMS/100,1),IF(AND(ISNUMBER(S102),ISNUMBER(T102)),IF(T102&gt;0,S102,""),"")))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1" customWidth="1" min="9" max="9"/>
    <col width="9" customWidth="1" min="10" max="10"/>
    <col width="15" customWidth="1" min="11" max="11"/>
    <col width="9" customWidth="1" min="12" max="12"/>
    <col width="9" customWidth="1" min="13" max="13"/>
    <col width="10" customWidth="1" min="14" max="14"/>
    <col width="9" customWidth="1" min="15" max="15"/>
    <col width="40" customWidth="1" min="16" max="16"/>
    <col width="3" customWidth="1" min="17" max="17"/>
    <col width="12" customWidth="1" min="18" max="18"/>
    <col width="8" customWidth="1" min="19" max="19"/>
    <col width="8" customWidth="1" min="20" max="20"/>
    <col width="10" customWidth="1" min="21" max="21"/>
    <col width="3" customWidth="1" min="22" max="22"/>
    <col width="12" customWidth="1" min="23" max="23"/>
    <col width="10" customWidth="1" min="24" max="24"/>
    <col width="10" customWidth="1" min="25" max="25"/>
    <col width="16" customWidth="1" min="26" max="26"/>
    <col width="10" customWidth="1" min="27" max="27"/>
  </cols>
  <sheetData>
    <row r="1">
      <c r="A1" s="1" t="inlineStr">
        <is>
          <t>평가C (3회차 공통 평가, 8문항) — 기준점수 대비 향상점수. 개인 결과는 교수님만 봄</t>
        </is>
      </c>
      <c r="R1" s="4" t="inlineStr">
        <is>
          <t>붙여넣기 영역 (노란 칸, 3행부터)</t>
        </is>
      </c>
    </row>
    <row r="2">
      <c r="A2" s="5" t="inlineStr">
        <is>
          <t>참가자 코드</t>
        </is>
      </c>
      <c r="B2" s="5" t="inlineStr">
        <is>
          <t>팀</t>
        </is>
      </c>
      <c r="C2" s="5" t="inlineStr">
        <is>
          <t>A 맞힌 수</t>
        </is>
      </c>
      <c r="D2" s="5" t="inlineStr">
        <is>
          <t>B 맞힌 수</t>
        </is>
      </c>
      <c r="E2" s="5" t="inlineStr">
        <is>
          <t>C 맞힌 수(이번)</t>
        </is>
      </c>
      <c r="F2" s="5" t="inlineStr">
        <is>
          <t>변화(개, 기준 대비)</t>
        </is>
      </c>
      <c r="G2" s="5" t="inlineStr">
        <is>
          <t>정답률(%)</t>
        </is>
      </c>
      <c r="H2" s="5" t="inlineStr">
        <is>
          <t>상태</t>
        </is>
      </c>
      <c r="I2" s="5" t="inlineStr">
        <is>
          <t>중복 점검</t>
        </is>
      </c>
      <c r="J2" s="5" t="inlineStr">
        <is>
          <t>기준점수(%)</t>
        </is>
      </c>
      <c r="K2" s="5" t="inlineStr">
        <is>
          <t>기준 출처</t>
        </is>
      </c>
      <c r="L2" s="5" t="inlineStr">
        <is>
          <t>변화(%p)</t>
        </is>
      </c>
      <c r="M2" s="5" t="inlineStr">
        <is>
          <t>향상점수</t>
        </is>
      </c>
      <c r="N2" s="5" t="inlineStr">
        <is>
          <t>결과 명칭</t>
        </is>
      </c>
      <c r="O2" s="5" t="inlineStr">
        <is>
          <t>팀 반영 점수</t>
        </is>
      </c>
      <c r="P2" s="5" t="inlineStr">
        <is>
          <t>판정 이유</t>
        </is>
      </c>
      <c r="R2" s="6" t="inlineStr">
        <is>
          <t>참가자 코드</t>
        </is>
      </c>
      <c r="S2" s="6" t="inlineStr">
        <is>
          <t>맞힌 수</t>
        </is>
      </c>
      <c r="T2" s="6" t="inlineStr">
        <is>
          <t>문항 수</t>
        </is>
      </c>
      <c r="U2" s="6" t="inlineStr">
        <is>
          <t>정답률(%)</t>
        </is>
      </c>
      <c r="W2" s="2" t="inlineStr">
        <is>
          <t>정리된 코드(자동)</t>
        </is>
      </c>
      <c r="X2" s="2" t="inlineStr">
        <is>
          <t>계산 정답률(자동)</t>
        </is>
      </c>
      <c r="Y2" s="2" t="inlineStr">
        <is>
          <t>비경쟁(자동)</t>
        </is>
      </c>
      <c r="Z2" s="2" t="inlineStr">
        <is>
          <t>명단 점검(자동)</t>
        </is>
      </c>
      <c r="AA2" s="2" t="inlineStr">
        <is>
          <t>맞힌 수(자동)</t>
        </is>
      </c>
    </row>
    <row r="3">
      <c r="A3">
        <f>IF(참가자!A3="","",UPPER(TRIM(참가자!A3)))</f>
        <v/>
      </c>
      <c r="B3">
        <f>IF(A3="","",IF(참가자!B3="","(팀 없음)",TRIM(참가자!B3)))</f>
        <v/>
      </c>
      <c r="C3">
        <f>IF(A3="","",평가A!C3)</f>
        <v/>
      </c>
      <c r="D3">
        <f>IF(A3="","",평가B!D3)</f>
        <v/>
      </c>
      <c r="E3">
        <f>IF(A3="","",IFERROR(INDEX($AA$3:$AA$102,MATCH(A3,$W$3:$W$102,0)),""))</f>
        <v/>
      </c>
      <c r="F3">
        <f>IF(A3="","",IF(OR(NOT(ISNUMBER(E3)),K3="첫 응시(평가C)",NOT(ISNUMBER(평가A!I3))),"",ROUND(E3-평가A!I3,1)))</f>
        <v/>
      </c>
      <c r="G3">
        <f>IF(A3="","",IFERROR(INDEX($X$3:$X$102,MATCH(A3,$W$3:$W$102,0)),""))</f>
        <v/>
      </c>
      <c r="H3">
        <f>IF(A3="","",IF(G3="","결석",IF(IFERROR(INDEX($Y$3:$Y$102,MATCH(A3,$W$3:$W$102,0)),"")="비경쟁","비경쟁 응시","응시")))</f>
        <v/>
      </c>
      <c r="I3">
        <f>IF(A3="","",IF(COUNTIF($W$3:$W$102,A3)&gt;1,"중복! 확인",""))</f>
        <v/>
      </c>
      <c r="J3">
        <f>IF(A3="","",평가A!G3)</f>
        <v/>
      </c>
      <c r="K3">
        <f>IF(A3="","",평가A!H3)</f>
        <v/>
      </c>
      <c r="L3">
        <f>IF(A3="","",IF(OR(G3="",J3="",K3="첫 응시(평가C)"),"",ROUND(G3-J3,1)))</f>
        <v/>
      </c>
      <c r="M3">
        <f>IF(A3="","",IF(OR(G3="",J3="",K3="첫 응시(평가C)"),"",IF(G3&gt;=HIGH_CUT,PTS_HIGH,IF(L3&gt;=STEP2,PTS_HIGH,IF(L3&gt;=STEP1,PTS_MID,PTS_LOW)))))</f>
        <v/>
      </c>
      <c r="N3">
        <f>IF(A3="","",IF(G3="","",IF(K3="첫 응시(평가C)","보류",IF(J3="","",IF(G3&gt;=HIGH_CUT,"숙달",IF(L3&gt;=STEP2,"향상",IF(L3&gt;=STEP1,"유지","보완 필요")))))))</f>
        <v/>
      </c>
      <c r="O3">
        <f>IF(A3="","",IF(AND(H3="응시",ISNUMBER(M3)),M3,""))</f>
        <v/>
      </c>
      <c r="P3">
        <f>IF(A3="","",IF(G3="","결석 - 기록 없음",IF(K3="첫 응시(평가C)","판정 보류 - 평가A·B가 없어 이번 결과가 기준점수",IF(J3="","기준점수 없음",IF(G3&gt;=HIGH_CUT,"숙달 - 이번 정답률이 숙달 기준 이상",IF(L3&gt;=STEP2,"향상 - 기준보다 크게 오름",IF(L3&gt;=STEP1,"유지 - 기준과 비슷함","보완 필요 - 기준보다 크게 내려감"))))))&amp;IF(H3="비경쟁 응시"," / 비경쟁: 팀 점수 제외",""))</f>
        <v/>
      </c>
      <c r="R3" s="3" t="inlineStr">
        <is>
          <t>K7M2QX</t>
        </is>
      </c>
      <c r="S3" s="3" t="n"/>
      <c r="T3" s="3" t="n"/>
      <c r="U3" s="3" t="n">
        <v>70</v>
      </c>
      <c r="W3">
        <f>IF(UPPER(TRIM(R3&amp;""))="","",IF(RIGHT(UPPER(TRIM(R3&amp;"")),2)="-N",TRIM(LEFT(UPPER(TRIM(R3&amp;"")),LEN(UPPER(TRIM(R3&amp;"")))-2)),UPPER(TRIM(R3&amp;""))))</f>
        <v/>
      </c>
      <c r="X3">
        <f>IF(W3="","",IF(ISNUMBER(U3),ROUND(U3,1),IF(AND(ISNUMBER(S3),ISNUMBER(T3)),IF(T3&gt;0,ROUND(S3/T3*100,1),""),"")))</f>
        <v/>
      </c>
      <c r="Y3">
        <f>IF(W3="","",IF(RIGHT(UPPER(TRIM(R3&amp;"")),2)="-N","비경쟁",""))</f>
        <v/>
      </c>
      <c r="Z3">
        <f>IF(W3="","",IF(COUNTIF(참가자!$A$3:$A$52,W3)=0,"명단에 없는 코드",""))</f>
        <v/>
      </c>
      <c r="AA3">
        <f>IF(W3="","",IF(ISNUMBER(U3),ROUND(U3*EVAL_ITEMS/100,1),IF(AND(ISNUMBER(S3),ISNUMBER(T3)),IF(T3&gt;0,S3,""),"")))</f>
        <v/>
      </c>
    </row>
    <row r="4">
      <c r="A4">
        <f>IF(참가자!A4="","",UPPER(TRIM(참가자!A4)))</f>
        <v/>
      </c>
      <c r="B4">
        <f>IF(A4="","",IF(참가자!B4="","(팀 없음)",TRIM(참가자!B4)))</f>
        <v/>
      </c>
      <c r="C4">
        <f>IF(A4="","",평가A!C4)</f>
        <v/>
      </c>
      <c r="D4">
        <f>IF(A4="","",평가B!D4)</f>
        <v/>
      </c>
      <c r="E4">
        <f>IF(A4="","",IFERROR(INDEX($AA$3:$AA$102,MATCH(A4,$W$3:$W$102,0)),""))</f>
        <v/>
      </c>
      <c r="F4">
        <f>IF(A4="","",IF(OR(NOT(ISNUMBER(E4)),K4="첫 응시(평가C)",NOT(ISNUMBER(평가A!I4))),"",ROUND(E4-평가A!I4,1)))</f>
        <v/>
      </c>
      <c r="G4">
        <f>IF(A4="","",IFERROR(INDEX($X$3:$X$102,MATCH(A4,$W$3:$W$102,0)),""))</f>
        <v/>
      </c>
      <c r="H4">
        <f>IF(A4="","",IF(G4="","결석",IF(IFERROR(INDEX($Y$3:$Y$102,MATCH(A4,$W$3:$W$102,0)),"")="비경쟁","비경쟁 응시","응시")))</f>
        <v/>
      </c>
      <c r="I4">
        <f>IF(A4="","",IF(COUNTIF($W$3:$W$102,A4)&gt;1,"중복! 확인",""))</f>
        <v/>
      </c>
      <c r="J4">
        <f>IF(A4="","",평가A!G4)</f>
        <v/>
      </c>
      <c r="K4">
        <f>IF(A4="","",평가A!H4)</f>
        <v/>
      </c>
      <c r="L4">
        <f>IF(A4="","",IF(OR(G4="",J4="",K4="첫 응시(평가C)"),"",ROUND(G4-J4,1)))</f>
        <v/>
      </c>
      <c r="M4">
        <f>IF(A4="","",IF(OR(G4="",J4="",K4="첫 응시(평가C)"),"",IF(G4&gt;=HIGH_CUT,PTS_HIGH,IF(L4&gt;=STEP2,PTS_HIGH,IF(L4&gt;=STEP1,PTS_MID,PTS_LOW)))))</f>
        <v/>
      </c>
      <c r="N4">
        <f>IF(A4="","",IF(G4="","",IF(K4="첫 응시(평가C)","보류",IF(J4="","",IF(G4&gt;=HIGH_CUT,"숙달",IF(L4&gt;=STEP2,"향상",IF(L4&gt;=STEP1,"유지","보완 필요")))))))</f>
        <v/>
      </c>
      <c r="O4">
        <f>IF(A4="","",IF(AND(H4="응시",ISNUMBER(M4)),M4,""))</f>
        <v/>
      </c>
      <c r="P4">
        <f>IF(A4="","",IF(G4="","결석 - 기록 없음",IF(K4="첫 응시(평가C)","판정 보류 - 평가A·B가 없어 이번 결과가 기준점수",IF(J4="","기준점수 없음",IF(G4&gt;=HIGH_CUT,"숙달 - 이번 정답률이 숙달 기준 이상",IF(L4&gt;=STEP2,"향상 - 기준보다 크게 오름",IF(L4&gt;=STEP1,"유지 - 기준과 비슷함","보완 필요 - 기준보다 크게 내려감"))))))&amp;IF(H4="비경쟁 응시"," / 비경쟁: 팀 점수 제외",""))</f>
        <v/>
      </c>
      <c r="R4" s="3" t="inlineStr">
        <is>
          <t>R4XT9H</t>
        </is>
      </c>
      <c r="S4" s="3" t="n"/>
      <c r="T4" s="3" t="n"/>
      <c r="U4" s="3" t="n">
        <v>67.5</v>
      </c>
      <c r="W4">
        <f>IF(UPPER(TRIM(R4&amp;""))="","",IF(RIGHT(UPPER(TRIM(R4&amp;"")),2)="-N",TRIM(LEFT(UPPER(TRIM(R4&amp;"")),LEN(UPPER(TRIM(R4&amp;"")))-2)),UPPER(TRIM(R4&amp;""))))</f>
        <v/>
      </c>
      <c r="X4">
        <f>IF(W4="","",IF(ISNUMBER(U4),ROUND(U4,1),IF(AND(ISNUMBER(S4),ISNUMBER(T4)),IF(T4&gt;0,ROUND(S4/T4*100,1),""),"")))</f>
        <v/>
      </c>
      <c r="Y4">
        <f>IF(W4="","",IF(RIGHT(UPPER(TRIM(R4&amp;"")),2)="-N","비경쟁",""))</f>
        <v/>
      </c>
      <c r="Z4">
        <f>IF(W4="","",IF(COUNTIF(참가자!$A$3:$A$52,W4)=0,"명단에 없는 코드",""))</f>
        <v/>
      </c>
      <c r="AA4">
        <f>IF(W4="","",IF(ISNUMBER(U4),ROUND(U4*EVAL_ITEMS/100,1),IF(AND(ISNUMBER(S4),ISNUMBER(T4)),IF(T4&gt;0,S4,""),"")))</f>
        <v/>
      </c>
    </row>
    <row r="5">
      <c r="A5">
        <f>IF(참가자!A5="","",UPPER(TRIM(참가자!A5)))</f>
        <v/>
      </c>
      <c r="B5">
        <f>IF(A5="","",IF(참가자!B5="","(팀 없음)",TRIM(참가자!B5)))</f>
        <v/>
      </c>
      <c r="C5">
        <f>IF(A5="","",평가A!C5)</f>
        <v/>
      </c>
      <c r="D5">
        <f>IF(A5="","",평가B!D5)</f>
        <v/>
      </c>
      <c r="E5">
        <f>IF(A5="","",IFERROR(INDEX($AA$3:$AA$102,MATCH(A5,$W$3:$W$102,0)),""))</f>
        <v/>
      </c>
      <c r="F5">
        <f>IF(A5="","",IF(OR(NOT(ISNUMBER(E5)),K5="첫 응시(평가C)",NOT(ISNUMBER(평가A!I5))),"",ROUND(E5-평가A!I5,1)))</f>
        <v/>
      </c>
      <c r="G5">
        <f>IF(A5="","",IFERROR(INDEX($X$3:$X$102,MATCH(A5,$W$3:$W$102,0)),""))</f>
        <v/>
      </c>
      <c r="H5">
        <f>IF(A5="","",IF(G5="","결석",IF(IFERROR(INDEX($Y$3:$Y$102,MATCH(A5,$W$3:$W$102,0)),"")="비경쟁","비경쟁 응시","응시")))</f>
        <v/>
      </c>
      <c r="I5">
        <f>IF(A5="","",IF(COUNTIF($W$3:$W$102,A5)&gt;1,"중복! 확인",""))</f>
        <v/>
      </c>
      <c r="J5">
        <f>IF(A5="","",평가A!G5)</f>
        <v/>
      </c>
      <c r="K5">
        <f>IF(A5="","",평가A!H5)</f>
        <v/>
      </c>
      <c r="L5">
        <f>IF(A5="","",IF(OR(G5="",J5="",K5="첫 응시(평가C)"),"",ROUND(G5-J5,1)))</f>
        <v/>
      </c>
      <c r="M5">
        <f>IF(A5="","",IF(OR(G5="",J5="",K5="첫 응시(평가C)"),"",IF(G5&gt;=HIGH_CUT,PTS_HIGH,IF(L5&gt;=STEP2,PTS_HIGH,IF(L5&gt;=STEP1,PTS_MID,PTS_LOW)))))</f>
        <v/>
      </c>
      <c r="N5">
        <f>IF(A5="","",IF(G5="","",IF(K5="첫 응시(평가C)","보류",IF(J5="","",IF(G5&gt;=HIGH_CUT,"숙달",IF(L5&gt;=STEP2,"향상",IF(L5&gt;=STEP1,"유지","보완 필요")))))))</f>
        <v/>
      </c>
      <c r="O5">
        <f>IF(A5="","",IF(AND(H5="응시",ISNUMBER(M5)),M5,""))</f>
        <v/>
      </c>
      <c r="P5">
        <f>IF(A5="","",IF(G5="","결석 - 기록 없음",IF(K5="첫 응시(평가C)","판정 보류 - 평가A·B가 없어 이번 결과가 기준점수",IF(J5="","기준점수 없음",IF(G5&gt;=HIGH_CUT,"숙달 - 이번 정답률이 숙달 기준 이상",IF(L5&gt;=STEP2,"향상 - 기준보다 크게 오름",IF(L5&gt;=STEP1,"유지 - 기준과 비슷함","보완 필요 - 기준보다 크게 내려감"))))))&amp;IF(H5="비경쟁 응시"," / 비경쟁: 팀 점수 제외",""))</f>
        <v/>
      </c>
      <c r="R5" s="3" t="inlineStr">
        <is>
          <t>H9WC3P</t>
        </is>
      </c>
      <c r="S5" s="3" t="n">
        <v>2</v>
      </c>
      <c r="T5" s="3" t="n">
        <v>8</v>
      </c>
      <c r="U5" s="3" t="n"/>
      <c r="W5">
        <f>IF(UPPER(TRIM(R5&amp;""))="","",IF(RIGHT(UPPER(TRIM(R5&amp;"")),2)="-N",TRIM(LEFT(UPPER(TRIM(R5&amp;"")),LEN(UPPER(TRIM(R5&amp;"")))-2)),UPPER(TRIM(R5&amp;""))))</f>
        <v/>
      </c>
      <c r="X5">
        <f>IF(W5="","",IF(ISNUMBER(U5),ROUND(U5,1),IF(AND(ISNUMBER(S5),ISNUMBER(T5)),IF(T5&gt;0,ROUND(S5/T5*100,1),""),"")))</f>
        <v/>
      </c>
      <c r="Y5">
        <f>IF(W5="","",IF(RIGHT(UPPER(TRIM(R5&amp;"")),2)="-N","비경쟁",""))</f>
        <v/>
      </c>
      <c r="Z5">
        <f>IF(W5="","",IF(COUNTIF(참가자!$A$3:$A$52,W5)=0,"명단에 없는 코드",""))</f>
        <v/>
      </c>
      <c r="AA5">
        <f>IF(W5="","",IF(ISNUMBER(U5),ROUND(U5*EVAL_ITEMS/100,1),IF(AND(ISNUMBER(S5),ISNUMBER(T5)),IF(T5&gt;0,S5,""),"")))</f>
        <v/>
      </c>
    </row>
    <row r="6">
      <c r="A6">
        <f>IF(참가자!A6="","",UPPER(TRIM(참가자!A6)))</f>
        <v/>
      </c>
      <c r="B6">
        <f>IF(A6="","",IF(참가자!B6="","(팀 없음)",TRIM(참가자!B6)))</f>
        <v/>
      </c>
      <c r="C6">
        <f>IF(A6="","",평가A!C6)</f>
        <v/>
      </c>
      <c r="D6">
        <f>IF(A6="","",평가B!D6)</f>
        <v/>
      </c>
      <c r="E6">
        <f>IF(A6="","",IFERROR(INDEX($AA$3:$AA$102,MATCH(A6,$W$3:$W$102,0)),""))</f>
        <v/>
      </c>
      <c r="F6">
        <f>IF(A6="","",IF(OR(NOT(ISNUMBER(E6)),K6="첫 응시(평가C)",NOT(ISNUMBER(평가A!I6))),"",ROUND(E6-평가A!I6,1)))</f>
        <v/>
      </c>
      <c r="G6">
        <f>IF(A6="","",IFERROR(INDEX($X$3:$X$102,MATCH(A6,$W$3:$W$102,0)),""))</f>
        <v/>
      </c>
      <c r="H6">
        <f>IF(A6="","",IF(G6="","결석",IF(IFERROR(INDEX($Y$3:$Y$102,MATCH(A6,$W$3:$W$102,0)),"")="비경쟁","비경쟁 응시","응시")))</f>
        <v/>
      </c>
      <c r="I6">
        <f>IF(A6="","",IF(COUNTIF($W$3:$W$102,A6)&gt;1,"중복! 확인",""))</f>
        <v/>
      </c>
      <c r="J6">
        <f>IF(A6="","",평가A!G6)</f>
        <v/>
      </c>
      <c r="K6">
        <f>IF(A6="","",평가A!H6)</f>
        <v/>
      </c>
      <c r="L6">
        <f>IF(A6="","",IF(OR(G6="",J6="",K6="첫 응시(평가C)"),"",ROUND(G6-J6,1)))</f>
        <v/>
      </c>
      <c r="M6">
        <f>IF(A6="","",IF(OR(G6="",J6="",K6="첫 응시(평가C)"),"",IF(G6&gt;=HIGH_CUT,PTS_HIGH,IF(L6&gt;=STEP2,PTS_HIGH,IF(L6&gt;=STEP1,PTS_MID,PTS_LOW)))))</f>
        <v/>
      </c>
      <c r="N6">
        <f>IF(A6="","",IF(G6="","",IF(K6="첫 응시(평가C)","보류",IF(J6="","",IF(G6&gt;=HIGH_CUT,"숙달",IF(L6&gt;=STEP2,"향상",IF(L6&gt;=STEP1,"유지","보완 필요")))))))</f>
        <v/>
      </c>
      <c r="O6">
        <f>IF(A6="","",IF(AND(H6="응시",ISNUMBER(M6)),M6,""))</f>
        <v/>
      </c>
      <c r="P6">
        <f>IF(A6="","",IF(G6="","결석 - 기록 없음",IF(K6="첫 응시(평가C)","판정 보류 - 평가A·B가 없어 이번 결과가 기준점수",IF(J6="","기준점수 없음",IF(G6&gt;=HIGH_CUT,"숙달 - 이번 정답률이 숙달 기준 이상",IF(L6&gt;=STEP2,"향상 - 기준보다 크게 오름",IF(L6&gt;=STEP1,"유지 - 기준과 비슷함","보완 필요 - 기준보다 크게 내려감"))))))&amp;IF(H6="비경쟁 응시"," / 비경쟁: 팀 점수 제외",""))</f>
        <v/>
      </c>
      <c r="R6" s="3" t="inlineStr">
        <is>
          <t>Z8DQ4T</t>
        </is>
      </c>
      <c r="S6" s="3" t="n">
        <v>7</v>
      </c>
      <c r="T6" s="3" t="n">
        <v>8</v>
      </c>
      <c r="U6" s="3" t="n"/>
      <c r="W6">
        <f>IF(UPPER(TRIM(R6&amp;""))="","",IF(RIGHT(UPPER(TRIM(R6&amp;"")),2)="-N",TRIM(LEFT(UPPER(TRIM(R6&amp;"")),LEN(UPPER(TRIM(R6&amp;"")))-2)),UPPER(TRIM(R6&amp;""))))</f>
        <v/>
      </c>
      <c r="X6">
        <f>IF(W6="","",IF(ISNUMBER(U6),ROUND(U6,1),IF(AND(ISNUMBER(S6),ISNUMBER(T6)),IF(T6&gt;0,ROUND(S6/T6*100,1),""),"")))</f>
        <v/>
      </c>
      <c r="Y6">
        <f>IF(W6="","",IF(RIGHT(UPPER(TRIM(R6&amp;"")),2)="-N","비경쟁",""))</f>
        <v/>
      </c>
      <c r="Z6">
        <f>IF(W6="","",IF(COUNTIF(참가자!$A$3:$A$52,W6)=0,"명단에 없는 코드",""))</f>
        <v/>
      </c>
      <c r="AA6">
        <f>IF(W6="","",IF(ISNUMBER(U6),ROUND(U6*EVAL_ITEMS/100,1),IF(AND(ISNUMBER(S6),ISNUMBER(T6)),IF(T6&gt;0,S6,""),"")))</f>
        <v/>
      </c>
    </row>
    <row r="7">
      <c r="A7">
        <f>IF(참가자!A7="","",UPPER(TRIM(참가자!A7)))</f>
        <v/>
      </c>
      <c r="B7">
        <f>IF(A7="","",IF(참가자!B7="","(팀 없음)",TRIM(참가자!B7)))</f>
        <v/>
      </c>
      <c r="C7">
        <f>IF(A7="","",평가A!C7)</f>
        <v/>
      </c>
      <c r="D7">
        <f>IF(A7="","",평가B!D7)</f>
        <v/>
      </c>
      <c r="E7">
        <f>IF(A7="","",IFERROR(INDEX($AA$3:$AA$102,MATCH(A7,$W$3:$W$102,0)),""))</f>
        <v/>
      </c>
      <c r="F7">
        <f>IF(A7="","",IF(OR(NOT(ISNUMBER(E7)),K7="첫 응시(평가C)",NOT(ISNUMBER(평가A!I7))),"",ROUND(E7-평가A!I7,1)))</f>
        <v/>
      </c>
      <c r="G7">
        <f>IF(A7="","",IFERROR(INDEX($X$3:$X$102,MATCH(A7,$W$3:$W$102,0)),""))</f>
        <v/>
      </c>
      <c r="H7">
        <f>IF(A7="","",IF(G7="","결석",IF(IFERROR(INDEX($Y$3:$Y$102,MATCH(A7,$W$3:$W$102,0)),"")="비경쟁","비경쟁 응시","응시")))</f>
        <v/>
      </c>
      <c r="I7">
        <f>IF(A7="","",IF(COUNTIF($W$3:$W$102,A7)&gt;1,"중복! 확인",""))</f>
        <v/>
      </c>
      <c r="J7">
        <f>IF(A7="","",평가A!G7)</f>
        <v/>
      </c>
      <c r="K7">
        <f>IF(A7="","",평가A!H7)</f>
        <v/>
      </c>
      <c r="L7">
        <f>IF(A7="","",IF(OR(G7="",J7="",K7="첫 응시(평가C)"),"",ROUND(G7-J7,1)))</f>
        <v/>
      </c>
      <c r="M7">
        <f>IF(A7="","",IF(OR(G7="",J7="",K7="첫 응시(평가C)"),"",IF(G7&gt;=HIGH_CUT,PTS_HIGH,IF(L7&gt;=STEP2,PTS_HIGH,IF(L7&gt;=STEP1,PTS_MID,PTS_LOW)))))</f>
        <v/>
      </c>
      <c r="N7">
        <f>IF(A7="","",IF(G7="","",IF(K7="첫 응시(평가C)","보류",IF(J7="","",IF(G7&gt;=HIGH_CUT,"숙달",IF(L7&gt;=STEP2,"향상",IF(L7&gt;=STEP1,"유지","보완 필요")))))))</f>
        <v/>
      </c>
      <c r="O7">
        <f>IF(A7="","",IF(AND(H7="응시",ISNUMBER(M7)),M7,""))</f>
        <v/>
      </c>
      <c r="P7">
        <f>IF(A7="","",IF(G7="","결석 - 기록 없음",IF(K7="첫 응시(평가C)","판정 보류 - 평가A·B가 없어 이번 결과가 기준점수",IF(J7="","기준점수 없음",IF(G7&gt;=HIGH_CUT,"숙달 - 이번 정답률이 숙달 기준 이상",IF(L7&gt;=STEP2,"향상 - 기준보다 크게 오름",IF(L7&gt;=STEP1,"유지 - 기준과 비슷함","보완 필요 - 기준보다 크게 내려감"))))))&amp;IF(H7="비경쟁 응시"," / 비경쟁: 팀 점수 제외",""))</f>
        <v/>
      </c>
      <c r="R7" s="3" t="inlineStr">
        <is>
          <t>M2PF6Y</t>
        </is>
      </c>
      <c r="S7" s="3" t="n">
        <v>5</v>
      </c>
      <c r="T7" s="3" t="n">
        <v>8</v>
      </c>
      <c r="U7" s="3" t="n"/>
      <c r="W7">
        <f>IF(UPPER(TRIM(R7&amp;""))="","",IF(RIGHT(UPPER(TRIM(R7&amp;"")),2)="-N",TRIM(LEFT(UPPER(TRIM(R7&amp;"")),LEN(UPPER(TRIM(R7&amp;"")))-2)),UPPER(TRIM(R7&amp;""))))</f>
        <v/>
      </c>
      <c r="X7">
        <f>IF(W7="","",IF(ISNUMBER(U7),ROUND(U7,1),IF(AND(ISNUMBER(S7),ISNUMBER(T7)),IF(T7&gt;0,ROUND(S7/T7*100,1),""),"")))</f>
        <v/>
      </c>
      <c r="Y7">
        <f>IF(W7="","",IF(RIGHT(UPPER(TRIM(R7&amp;"")),2)="-N","비경쟁",""))</f>
        <v/>
      </c>
      <c r="Z7">
        <f>IF(W7="","",IF(COUNTIF(참가자!$A$3:$A$52,W7)=0,"명단에 없는 코드",""))</f>
        <v/>
      </c>
      <c r="AA7">
        <f>IF(W7="","",IF(ISNUMBER(U7),ROUND(U7*EVAL_ITEMS/100,1),IF(AND(ISNUMBER(S7),ISNUMBER(T7)),IF(T7&gt;0,S7,""),"")))</f>
        <v/>
      </c>
    </row>
    <row r="8">
      <c r="A8">
        <f>IF(참가자!A8="","",UPPER(TRIM(참가자!A8)))</f>
        <v/>
      </c>
      <c r="B8">
        <f>IF(A8="","",IF(참가자!B8="","(팀 없음)",TRIM(참가자!B8)))</f>
        <v/>
      </c>
      <c r="C8">
        <f>IF(A8="","",평가A!C8)</f>
        <v/>
      </c>
      <c r="D8">
        <f>IF(A8="","",평가B!D8)</f>
        <v/>
      </c>
      <c r="E8">
        <f>IF(A8="","",IFERROR(INDEX($AA$3:$AA$102,MATCH(A8,$W$3:$W$102,0)),""))</f>
        <v/>
      </c>
      <c r="F8">
        <f>IF(A8="","",IF(OR(NOT(ISNUMBER(E8)),K8="첫 응시(평가C)",NOT(ISNUMBER(평가A!I8))),"",ROUND(E8-평가A!I8,1)))</f>
        <v/>
      </c>
      <c r="G8">
        <f>IF(A8="","",IFERROR(INDEX($X$3:$X$102,MATCH(A8,$W$3:$W$102,0)),""))</f>
        <v/>
      </c>
      <c r="H8">
        <f>IF(A8="","",IF(G8="","결석",IF(IFERROR(INDEX($Y$3:$Y$102,MATCH(A8,$W$3:$W$102,0)),"")="비경쟁","비경쟁 응시","응시")))</f>
        <v/>
      </c>
      <c r="I8">
        <f>IF(A8="","",IF(COUNTIF($W$3:$W$102,A8)&gt;1,"중복! 확인",""))</f>
        <v/>
      </c>
      <c r="J8">
        <f>IF(A8="","",평가A!G8)</f>
        <v/>
      </c>
      <c r="K8">
        <f>IF(A8="","",평가A!H8)</f>
        <v/>
      </c>
      <c r="L8">
        <f>IF(A8="","",IF(OR(G8="",J8="",K8="첫 응시(평가C)"),"",ROUND(G8-J8,1)))</f>
        <v/>
      </c>
      <c r="M8">
        <f>IF(A8="","",IF(OR(G8="",J8="",K8="첫 응시(평가C)"),"",IF(G8&gt;=HIGH_CUT,PTS_HIGH,IF(L8&gt;=STEP2,PTS_HIGH,IF(L8&gt;=STEP1,PTS_MID,PTS_LOW)))))</f>
        <v/>
      </c>
      <c r="N8">
        <f>IF(A8="","",IF(G8="","",IF(K8="첫 응시(평가C)","보류",IF(J8="","",IF(G8&gt;=HIGH_CUT,"숙달",IF(L8&gt;=STEP2,"향상",IF(L8&gt;=STEP1,"유지","보완 필요")))))))</f>
        <v/>
      </c>
      <c r="O8">
        <f>IF(A8="","",IF(AND(H8="응시",ISNUMBER(M8)),M8,""))</f>
        <v/>
      </c>
      <c r="P8">
        <f>IF(A8="","",IF(G8="","결석 - 기록 없음",IF(K8="첫 응시(평가C)","판정 보류 - 평가A·B가 없어 이번 결과가 기준점수",IF(J8="","기준점수 없음",IF(G8&gt;=HIGH_CUT,"숙달 - 이번 정답률이 숙달 기준 이상",IF(L8&gt;=STEP2,"향상 - 기준보다 크게 오름",IF(L8&gt;=STEP1,"유지 - 기준과 비슷함","보완 필요 - 기준보다 크게 내려감"))))))&amp;IF(H8="비경쟁 응시"," / 비경쟁: 팀 점수 제외",""))</f>
        <v/>
      </c>
      <c r="R8" s="3" t="inlineStr">
        <is>
          <t>T6YH8R</t>
        </is>
      </c>
      <c r="S8" s="3" t="n">
        <v>6</v>
      </c>
      <c r="T8" s="3" t="n">
        <v>8</v>
      </c>
      <c r="U8" s="3" t="n"/>
      <c r="W8">
        <f>IF(UPPER(TRIM(R8&amp;""))="","",IF(RIGHT(UPPER(TRIM(R8&amp;"")),2)="-N",TRIM(LEFT(UPPER(TRIM(R8&amp;"")),LEN(UPPER(TRIM(R8&amp;"")))-2)),UPPER(TRIM(R8&amp;""))))</f>
        <v/>
      </c>
      <c r="X8">
        <f>IF(W8="","",IF(ISNUMBER(U8),ROUND(U8,1),IF(AND(ISNUMBER(S8),ISNUMBER(T8)),IF(T8&gt;0,ROUND(S8/T8*100,1),""),"")))</f>
        <v/>
      </c>
      <c r="Y8">
        <f>IF(W8="","",IF(RIGHT(UPPER(TRIM(R8&amp;"")),2)="-N","비경쟁",""))</f>
        <v/>
      </c>
      <c r="Z8">
        <f>IF(W8="","",IF(COUNTIF(참가자!$A$3:$A$52,W8)=0,"명단에 없는 코드",""))</f>
        <v/>
      </c>
      <c r="AA8">
        <f>IF(W8="","",IF(ISNUMBER(U8),ROUND(U8*EVAL_ITEMS/100,1),IF(AND(ISNUMBER(S8),ISNUMBER(T8)),IF(T8&gt;0,S8,""),"")))</f>
        <v/>
      </c>
    </row>
    <row r="9">
      <c r="A9">
        <f>IF(참가자!A9="","",UPPER(TRIM(참가자!A9)))</f>
        <v/>
      </c>
      <c r="B9">
        <f>IF(A9="","",IF(참가자!B9="","(팀 없음)",TRIM(참가자!B9)))</f>
        <v/>
      </c>
      <c r="C9">
        <f>IF(A9="","",평가A!C9)</f>
        <v/>
      </c>
      <c r="D9">
        <f>IF(A9="","",평가B!D9)</f>
        <v/>
      </c>
      <c r="E9">
        <f>IF(A9="","",IFERROR(INDEX($AA$3:$AA$102,MATCH(A9,$W$3:$W$102,0)),""))</f>
        <v/>
      </c>
      <c r="F9">
        <f>IF(A9="","",IF(OR(NOT(ISNUMBER(E9)),K9="첫 응시(평가C)",NOT(ISNUMBER(평가A!I9))),"",ROUND(E9-평가A!I9,1)))</f>
        <v/>
      </c>
      <c r="G9">
        <f>IF(A9="","",IFERROR(INDEX($X$3:$X$102,MATCH(A9,$W$3:$W$102,0)),""))</f>
        <v/>
      </c>
      <c r="H9">
        <f>IF(A9="","",IF(G9="","결석",IF(IFERROR(INDEX($Y$3:$Y$102,MATCH(A9,$W$3:$W$102,0)),"")="비경쟁","비경쟁 응시","응시")))</f>
        <v/>
      </c>
      <c r="I9">
        <f>IF(A9="","",IF(COUNTIF($W$3:$W$102,A9)&gt;1,"중복! 확인",""))</f>
        <v/>
      </c>
      <c r="J9">
        <f>IF(A9="","",평가A!G9)</f>
        <v/>
      </c>
      <c r="K9">
        <f>IF(A9="","",평가A!H9)</f>
        <v/>
      </c>
      <c r="L9">
        <f>IF(A9="","",IF(OR(G9="",J9="",K9="첫 응시(평가C)"),"",ROUND(G9-J9,1)))</f>
        <v/>
      </c>
      <c r="M9">
        <f>IF(A9="","",IF(OR(G9="",J9="",K9="첫 응시(평가C)"),"",IF(G9&gt;=HIGH_CUT,PTS_HIGH,IF(L9&gt;=STEP2,PTS_HIGH,IF(L9&gt;=STEP1,PTS_MID,PTS_LOW)))))</f>
        <v/>
      </c>
      <c r="N9">
        <f>IF(A9="","",IF(G9="","",IF(K9="첫 응시(평가C)","보류",IF(J9="","",IF(G9&gt;=HIGH_CUT,"숙달",IF(L9&gt;=STEP2,"향상",IF(L9&gt;=STEP1,"유지","보완 필요")))))))</f>
        <v/>
      </c>
      <c r="O9">
        <f>IF(A9="","",IF(AND(H9="응시",ISNUMBER(M9)),M9,""))</f>
        <v/>
      </c>
      <c r="P9">
        <f>IF(A9="","",IF(G9="","결석 - 기록 없음",IF(K9="첫 응시(평가C)","판정 보류 - 평가A·B가 없어 이번 결과가 기준점수",IF(J9="","기준점수 없음",IF(G9&gt;=HIGH_CUT,"숙달 - 이번 정답률이 숙달 기준 이상",IF(L9&gt;=STEP2,"향상 - 기준보다 크게 오름",IF(L9&gt;=STEP1,"유지 - 기준과 비슷함","보완 필요 - 기준보다 크게 내려감"))))))&amp;IF(H9="비경쟁 응시"," / 비경쟁: 팀 점수 제외",""))</f>
        <v/>
      </c>
      <c r="R9" s="3" t="inlineStr">
        <is>
          <t>C5JR2W</t>
        </is>
      </c>
      <c r="S9" s="3" t="n">
        <v>5</v>
      </c>
      <c r="T9" s="3" t="n">
        <v>8</v>
      </c>
      <c r="U9" s="3" t="n"/>
      <c r="W9">
        <f>IF(UPPER(TRIM(R9&amp;""))="","",IF(RIGHT(UPPER(TRIM(R9&amp;"")),2)="-N",TRIM(LEFT(UPPER(TRIM(R9&amp;"")),LEN(UPPER(TRIM(R9&amp;"")))-2)),UPPER(TRIM(R9&amp;""))))</f>
        <v/>
      </c>
      <c r="X9">
        <f>IF(W9="","",IF(ISNUMBER(U9),ROUND(U9,1),IF(AND(ISNUMBER(S9),ISNUMBER(T9)),IF(T9&gt;0,ROUND(S9/T9*100,1),""),"")))</f>
        <v/>
      </c>
      <c r="Y9">
        <f>IF(W9="","",IF(RIGHT(UPPER(TRIM(R9&amp;"")),2)="-N","비경쟁",""))</f>
        <v/>
      </c>
      <c r="Z9">
        <f>IF(W9="","",IF(COUNTIF(참가자!$A$3:$A$52,W9)=0,"명단에 없는 코드",""))</f>
        <v/>
      </c>
      <c r="AA9">
        <f>IF(W9="","",IF(ISNUMBER(U9),ROUND(U9*EVAL_ITEMS/100,1),IF(AND(ISNUMBER(S9),ISNUMBER(T9)),IF(T9&gt;0,S9,""),"")))</f>
        <v/>
      </c>
    </row>
    <row r="10">
      <c r="A10">
        <f>IF(참가자!A10="","",UPPER(TRIM(참가자!A10)))</f>
        <v/>
      </c>
      <c r="B10">
        <f>IF(A10="","",IF(참가자!B10="","(팀 없음)",TRIM(참가자!B10)))</f>
        <v/>
      </c>
      <c r="C10">
        <f>IF(A10="","",평가A!C10)</f>
        <v/>
      </c>
      <c r="D10">
        <f>IF(A10="","",평가B!D10)</f>
        <v/>
      </c>
      <c r="E10">
        <f>IF(A10="","",IFERROR(INDEX($AA$3:$AA$102,MATCH(A10,$W$3:$W$102,0)),""))</f>
        <v/>
      </c>
      <c r="F10">
        <f>IF(A10="","",IF(OR(NOT(ISNUMBER(E10)),K10="첫 응시(평가C)",NOT(ISNUMBER(평가A!I10))),"",ROUND(E10-평가A!I10,1)))</f>
        <v/>
      </c>
      <c r="G10">
        <f>IF(A10="","",IFERROR(INDEX($X$3:$X$102,MATCH(A10,$W$3:$W$102,0)),""))</f>
        <v/>
      </c>
      <c r="H10">
        <f>IF(A10="","",IF(G10="","결석",IF(IFERROR(INDEX($Y$3:$Y$102,MATCH(A10,$W$3:$W$102,0)),"")="비경쟁","비경쟁 응시","응시")))</f>
        <v/>
      </c>
      <c r="I10">
        <f>IF(A10="","",IF(COUNTIF($W$3:$W$102,A10)&gt;1,"중복! 확인",""))</f>
        <v/>
      </c>
      <c r="J10">
        <f>IF(A10="","",평가A!G10)</f>
        <v/>
      </c>
      <c r="K10">
        <f>IF(A10="","",평가A!H10)</f>
        <v/>
      </c>
      <c r="L10">
        <f>IF(A10="","",IF(OR(G10="",J10="",K10="첫 응시(평가C)"),"",ROUND(G10-J10,1)))</f>
        <v/>
      </c>
      <c r="M10">
        <f>IF(A10="","",IF(OR(G10="",J10="",K10="첫 응시(평가C)"),"",IF(G10&gt;=HIGH_CUT,PTS_HIGH,IF(L10&gt;=STEP2,PTS_HIGH,IF(L10&gt;=STEP1,PTS_MID,PTS_LOW)))))</f>
        <v/>
      </c>
      <c r="N10">
        <f>IF(A10="","",IF(G10="","",IF(K10="첫 응시(평가C)","보류",IF(J10="","",IF(G10&gt;=HIGH_CUT,"숙달",IF(L10&gt;=STEP2,"향상",IF(L10&gt;=STEP1,"유지","보완 필요")))))))</f>
        <v/>
      </c>
      <c r="O10">
        <f>IF(A10="","",IF(AND(H10="응시",ISNUMBER(M10)),M10,""))</f>
        <v/>
      </c>
      <c r="P10">
        <f>IF(A10="","",IF(G10="","결석 - 기록 없음",IF(K10="첫 응시(평가C)","판정 보류 - 평가A·B가 없어 이번 결과가 기준점수",IF(J10="","기준점수 없음",IF(G10&gt;=HIGH_CUT,"숙달 - 이번 정답률이 숙달 기준 이상",IF(L10&gt;=STEP2,"향상 - 기준보다 크게 오름",IF(L10&gt;=STEP1,"유지 - 기준과 비슷함","보완 필요 - 기준보다 크게 내려감"))))))&amp;IF(H10="비경쟁 응시"," / 비경쟁: 팀 점수 제외",""))</f>
        <v/>
      </c>
      <c r="R10" s="3" t="inlineStr">
        <is>
          <t>W3KE5N</t>
        </is>
      </c>
      <c r="S10" s="3" t="n">
        <v>4</v>
      </c>
      <c r="T10" s="3" t="n">
        <v>8</v>
      </c>
      <c r="U10" s="3" t="n"/>
      <c r="W10">
        <f>IF(UPPER(TRIM(R10&amp;""))="","",IF(RIGHT(UPPER(TRIM(R10&amp;"")),2)="-N",TRIM(LEFT(UPPER(TRIM(R10&amp;"")),LEN(UPPER(TRIM(R10&amp;"")))-2)),UPPER(TRIM(R10&amp;""))))</f>
        <v/>
      </c>
      <c r="X10">
        <f>IF(W10="","",IF(ISNUMBER(U10),ROUND(U10,1),IF(AND(ISNUMBER(S10),ISNUMBER(T10)),IF(T10&gt;0,ROUND(S10/T10*100,1),""),"")))</f>
        <v/>
      </c>
      <c r="Y10">
        <f>IF(W10="","",IF(RIGHT(UPPER(TRIM(R10&amp;"")),2)="-N","비경쟁",""))</f>
        <v/>
      </c>
      <c r="Z10">
        <f>IF(W10="","",IF(COUNTIF(참가자!$A$3:$A$52,W10)=0,"명단에 없는 코드",""))</f>
        <v/>
      </c>
      <c r="AA10">
        <f>IF(W10="","",IF(ISNUMBER(U10),ROUND(U10*EVAL_ITEMS/100,1),IF(AND(ISNUMBER(S10),ISNUMBER(T10)),IF(T10&gt;0,S10,""),"")))</f>
        <v/>
      </c>
    </row>
    <row r="11">
      <c r="A11">
        <f>IF(참가자!A11="","",UPPER(TRIM(참가자!A11)))</f>
        <v/>
      </c>
      <c r="B11">
        <f>IF(A11="","",IF(참가자!B11="","(팀 없음)",TRIM(참가자!B11)))</f>
        <v/>
      </c>
      <c r="C11">
        <f>IF(A11="","",평가A!C11)</f>
        <v/>
      </c>
      <c r="D11">
        <f>IF(A11="","",평가B!D11)</f>
        <v/>
      </c>
      <c r="E11">
        <f>IF(A11="","",IFERROR(INDEX($AA$3:$AA$102,MATCH(A11,$W$3:$W$102,0)),""))</f>
        <v/>
      </c>
      <c r="F11">
        <f>IF(A11="","",IF(OR(NOT(ISNUMBER(E11)),K11="첫 응시(평가C)",NOT(ISNUMBER(평가A!I11))),"",ROUND(E11-평가A!I11,1)))</f>
        <v/>
      </c>
      <c r="G11">
        <f>IF(A11="","",IFERROR(INDEX($X$3:$X$102,MATCH(A11,$W$3:$W$102,0)),""))</f>
        <v/>
      </c>
      <c r="H11">
        <f>IF(A11="","",IF(G11="","결석",IF(IFERROR(INDEX($Y$3:$Y$102,MATCH(A11,$W$3:$W$102,0)),"")="비경쟁","비경쟁 응시","응시")))</f>
        <v/>
      </c>
      <c r="I11">
        <f>IF(A11="","",IF(COUNTIF($W$3:$W$102,A11)&gt;1,"중복! 확인",""))</f>
        <v/>
      </c>
      <c r="J11">
        <f>IF(A11="","",평가A!G11)</f>
        <v/>
      </c>
      <c r="K11">
        <f>IF(A11="","",평가A!H11)</f>
        <v/>
      </c>
      <c r="L11">
        <f>IF(A11="","",IF(OR(G11="",J11="",K11="첫 응시(평가C)"),"",ROUND(G11-J11,1)))</f>
        <v/>
      </c>
      <c r="M11">
        <f>IF(A11="","",IF(OR(G11="",J11="",K11="첫 응시(평가C)"),"",IF(G11&gt;=HIGH_CUT,PTS_HIGH,IF(L11&gt;=STEP2,PTS_HIGH,IF(L11&gt;=STEP1,PTS_MID,PTS_LOW)))))</f>
        <v/>
      </c>
      <c r="N11">
        <f>IF(A11="","",IF(G11="","",IF(K11="첫 응시(평가C)","보류",IF(J11="","",IF(G11&gt;=HIGH_CUT,"숙달",IF(L11&gt;=STEP2,"향상",IF(L11&gt;=STEP1,"유지","보완 필요")))))))</f>
        <v/>
      </c>
      <c r="O11">
        <f>IF(A11="","",IF(AND(H11="응시",ISNUMBER(M11)),M11,""))</f>
        <v/>
      </c>
      <c r="P11">
        <f>IF(A11="","",IF(G11="","결석 - 기록 없음",IF(K11="첫 응시(평가C)","판정 보류 - 평가A·B가 없어 이번 결과가 기준점수",IF(J11="","기준점수 없음",IF(G11&gt;=HIGH_CUT,"숙달 - 이번 정답률이 숙달 기준 이상",IF(L11&gt;=STEP2,"향상 - 기준보다 크게 오름",IF(L11&gt;=STEP1,"유지 - 기준과 비슷함","보완 필요 - 기준보다 크게 내려감"))))))&amp;IF(H11="비경쟁 응시"," / 비경쟁: 팀 점수 제외",""))</f>
        <v/>
      </c>
      <c r="R11" s="3" t="inlineStr">
        <is>
          <t>F8UA7G</t>
        </is>
      </c>
      <c r="S11" s="3" t="n"/>
      <c r="T11" s="3" t="n"/>
      <c r="U11" s="3" t="n">
        <v>17.5</v>
      </c>
      <c r="W11">
        <f>IF(UPPER(TRIM(R11&amp;""))="","",IF(RIGHT(UPPER(TRIM(R11&amp;"")),2)="-N",TRIM(LEFT(UPPER(TRIM(R11&amp;"")),LEN(UPPER(TRIM(R11&amp;"")))-2)),UPPER(TRIM(R11&amp;""))))</f>
        <v/>
      </c>
      <c r="X11">
        <f>IF(W11="","",IF(ISNUMBER(U11),ROUND(U11,1),IF(AND(ISNUMBER(S11),ISNUMBER(T11)),IF(T11&gt;0,ROUND(S11/T11*100,1),""),"")))</f>
        <v/>
      </c>
      <c r="Y11">
        <f>IF(W11="","",IF(RIGHT(UPPER(TRIM(R11&amp;"")),2)="-N","비경쟁",""))</f>
        <v/>
      </c>
      <c r="Z11">
        <f>IF(W11="","",IF(COUNTIF(참가자!$A$3:$A$52,W11)=0,"명단에 없는 코드",""))</f>
        <v/>
      </c>
      <c r="AA11">
        <f>IF(W11="","",IF(ISNUMBER(U11),ROUND(U11*EVAL_ITEMS/100,1),IF(AND(ISNUMBER(S11),ISNUMBER(T11)),IF(T11&gt;0,S11,""),"")))</f>
        <v/>
      </c>
    </row>
    <row r="12">
      <c r="A12">
        <f>IF(참가자!A12="","",UPPER(TRIM(참가자!A12)))</f>
        <v/>
      </c>
      <c r="B12">
        <f>IF(A12="","",IF(참가자!B12="","(팀 없음)",TRIM(참가자!B12)))</f>
        <v/>
      </c>
      <c r="C12">
        <f>IF(A12="","",평가A!C12)</f>
        <v/>
      </c>
      <c r="D12">
        <f>IF(A12="","",평가B!D12)</f>
        <v/>
      </c>
      <c r="E12">
        <f>IF(A12="","",IFERROR(INDEX($AA$3:$AA$102,MATCH(A12,$W$3:$W$102,0)),""))</f>
        <v/>
      </c>
      <c r="F12">
        <f>IF(A12="","",IF(OR(NOT(ISNUMBER(E12)),K12="첫 응시(평가C)",NOT(ISNUMBER(평가A!I12))),"",ROUND(E12-평가A!I12,1)))</f>
        <v/>
      </c>
      <c r="G12">
        <f>IF(A12="","",IFERROR(INDEX($X$3:$X$102,MATCH(A12,$W$3:$W$102,0)),""))</f>
        <v/>
      </c>
      <c r="H12">
        <f>IF(A12="","",IF(G12="","결석",IF(IFERROR(INDEX($Y$3:$Y$102,MATCH(A12,$W$3:$W$102,0)),"")="비경쟁","비경쟁 응시","응시")))</f>
        <v/>
      </c>
      <c r="I12">
        <f>IF(A12="","",IF(COUNTIF($W$3:$W$102,A12)&gt;1,"중복! 확인",""))</f>
        <v/>
      </c>
      <c r="J12">
        <f>IF(A12="","",평가A!G12)</f>
        <v/>
      </c>
      <c r="K12">
        <f>IF(A12="","",평가A!H12)</f>
        <v/>
      </c>
      <c r="L12">
        <f>IF(A12="","",IF(OR(G12="",J12="",K12="첫 응시(평가C)"),"",ROUND(G12-J12,1)))</f>
        <v/>
      </c>
      <c r="M12">
        <f>IF(A12="","",IF(OR(G12="",J12="",K12="첫 응시(평가C)"),"",IF(G12&gt;=HIGH_CUT,PTS_HIGH,IF(L12&gt;=STEP2,PTS_HIGH,IF(L12&gt;=STEP1,PTS_MID,PTS_LOW)))))</f>
        <v/>
      </c>
      <c r="N12">
        <f>IF(A12="","",IF(G12="","",IF(K12="첫 응시(평가C)","보류",IF(J12="","",IF(G12&gt;=HIGH_CUT,"숙달",IF(L12&gt;=STEP2,"향상",IF(L12&gt;=STEP1,"유지","보완 필요")))))))</f>
        <v/>
      </c>
      <c r="O12">
        <f>IF(A12="","",IF(AND(H12="응시",ISNUMBER(M12)),M12,""))</f>
        <v/>
      </c>
      <c r="P12">
        <f>IF(A12="","",IF(G12="","결석 - 기록 없음",IF(K12="첫 응시(평가C)","판정 보류 - 평가A·B가 없어 이번 결과가 기준점수",IF(J12="","기준점수 없음",IF(G12&gt;=HIGH_CUT,"숙달 - 이번 정답률이 숙달 기준 이상",IF(L12&gt;=STEP2,"향상 - 기준보다 크게 오름",IF(L12&gt;=STEP1,"유지 - 기준과 비슷함","보완 필요 - 기준보다 크게 내려감"))))))&amp;IF(H12="비경쟁 응시"," / 비경쟁: 팀 점수 제외",""))</f>
        <v/>
      </c>
      <c r="R12" s="3" t="inlineStr">
        <is>
          <t>N4GS9B</t>
        </is>
      </c>
      <c r="S12" s="3" t="n">
        <v>4</v>
      </c>
      <c r="T12" s="3" t="n">
        <v>8</v>
      </c>
      <c r="U12" s="3" t="n"/>
      <c r="W12">
        <f>IF(UPPER(TRIM(R12&amp;""))="","",IF(RIGHT(UPPER(TRIM(R12&amp;"")),2)="-N",TRIM(LEFT(UPPER(TRIM(R12&amp;"")),LEN(UPPER(TRIM(R12&amp;"")))-2)),UPPER(TRIM(R12&amp;""))))</f>
        <v/>
      </c>
      <c r="X12">
        <f>IF(W12="","",IF(ISNUMBER(U12),ROUND(U12,1),IF(AND(ISNUMBER(S12),ISNUMBER(T12)),IF(T12&gt;0,ROUND(S12/T12*100,1),""),"")))</f>
        <v/>
      </c>
      <c r="Y12">
        <f>IF(W12="","",IF(RIGHT(UPPER(TRIM(R12&amp;"")),2)="-N","비경쟁",""))</f>
        <v/>
      </c>
      <c r="Z12">
        <f>IF(W12="","",IF(COUNTIF(참가자!$A$3:$A$52,W12)=0,"명단에 없는 코드",""))</f>
        <v/>
      </c>
      <c r="AA12">
        <f>IF(W12="","",IF(ISNUMBER(U12),ROUND(U12*EVAL_ITEMS/100,1),IF(AND(ISNUMBER(S12),ISNUMBER(T12)),IF(T12&gt;0,S12,""),"")))</f>
        <v/>
      </c>
    </row>
    <row r="13">
      <c r="A13">
        <f>IF(참가자!A13="","",UPPER(TRIM(참가자!A13)))</f>
        <v/>
      </c>
      <c r="B13">
        <f>IF(A13="","",IF(참가자!B13="","(팀 없음)",TRIM(참가자!B13)))</f>
        <v/>
      </c>
      <c r="C13">
        <f>IF(A13="","",평가A!C13)</f>
        <v/>
      </c>
      <c r="D13">
        <f>IF(A13="","",평가B!D13)</f>
        <v/>
      </c>
      <c r="E13">
        <f>IF(A13="","",IFERROR(INDEX($AA$3:$AA$102,MATCH(A13,$W$3:$W$102,0)),""))</f>
        <v/>
      </c>
      <c r="F13">
        <f>IF(A13="","",IF(OR(NOT(ISNUMBER(E13)),K13="첫 응시(평가C)",NOT(ISNUMBER(평가A!I13))),"",ROUND(E13-평가A!I13,1)))</f>
        <v/>
      </c>
      <c r="G13">
        <f>IF(A13="","",IFERROR(INDEX($X$3:$X$102,MATCH(A13,$W$3:$W$102,0)),""))</f>
        <v/>
      </c>
      <c r="H13">
        <f>IF(A13="","",IF(G13="","결석",IF(IFERROR(INDEX($Y$3:$Y$102,MATCH(A13,$W$3:$W$102,0)),"")="비경쟁","비경쟁 응시","응시")))</f>
        <v/>
      </c>
      <c r="I13">
        <f>IF(A13="","",IF(COUNTIF($W$3:$W$102,A13)&gt;1,"중복! 확인",""))</f>
        <v/>
      </c>
      <c r="J13">
        <f>IF(A13="","",평가A!G13)</f>
        <v/>
      </c>
      <c r="K13">
        <f>IF(A13="","",평가A!H13)</f>
        <v/>
      </c>
      <c r="L13">
        <f>IF(A13="","",IF(OR(G13="",J13="",K13="첫 응시(평가C)"),"",ROUND(G13-J13,1)))</f>
        <v/>
      </c>
      <c r="M13">
        <f>IF(A13="","",IF(OR(G13="",J13="",K13="첫 응시(평가C)"),"",IF(G13&gt;=HIGH_CUT,PTS_HIGH,IF(L13&gt;=STEP2,PTS_HIGH,IF(L13&gt;=STEP1,PTS_MID,PTS_LOW)))))</f>
        <v/>
      </c>
      <c r="N13">
        <f>IF(A13="","",IF(G13="","",IF(K13="첫 응시(평가C)","보류",IF(J13="","",IF(G13&gt;=HIGH_CUT,"숙달",IF(L13&gt;=STEP2,"향상",IF(L13&gt;=STEP1,"유지","보완 필요")))))))</f>
        <v/>
      </c>
      <c r="O13">
        <f>IF(A13="","",IF(AND(H13="응시",ISNUMBER(M13)),M13,""))</f>
        <v/>
      </c>
      <c r="P13">
        <f>IF(A13="","",IF(G13="","결석 - 기록 없음",IF(K13="첫 응시(평가C)","판정 보류 - 평가A·B가 없어 이번 결과가 기준점수",IF(J13="","기준점수 없음",IF(G13&gt;=HIGH_CUT,"숙달 - 이번 정답률이 숙달 기준 이상",IF(L13&gt;=STEP2,"향상 - 기준보다 크게 오름",IF(L13&gt;=STEP1,"유지 - 기준과 비슷함","보완 필요 - 기준보다 크게 내려감"))))))&amp;IF(H13="비경쟁 응시"," / 비경쟁: 팀 점수 제외",""))</f>
        <v/>
      </c>
      <c r="R13" s="3" t="inlineStr">
        <is>
          <t>D7VB3N</t>
        </is>
      </c>
      <c r="S13" s="3" t="n">
        <v>5</v>
      </c>
      <c r="T13" s="3" t="n">
        <v>8</v>
      </c>
      <c r="U13" s="3" t="n"/>
      <c r="W13">
        <f>IF(UPPER(TRIM(R13&amp;""))="","",IF(RIGHT(UPPER(TRIM(R13&amp;"")),2)="-N",TRIM(LEFT(UPPER(TRIM(R13&amp;"")),LEN(UPPER(TRIM(R13&amp;"")))-2)),UPPER(TRIM(R13&amp;""))))</f>
        <v/>
      </c>
      <c r="X13">
        <f>IF(W13="","",IF(ISNUMBER(U13),ROUND(U13,1),IF(AND(ISNUMBER(S13),ISNUMBER(T13)),IF(T13&gt;0,ROUND(S13/T13*100,1),""),"")))</f>
        <v/>
      </c>
      <c r="Y13">
        <f>IF(W13="","",IF(RIGHT(UPPER(TRIM(R13&amp;"")),2)="-N","비경쟁",""))</f>
        <v/>
      </c>
      <c r="Z13">
        <f>IF(W13="","",IF(COUNTIF(참가자!$A$3:$A$52,W13)=0,"명단에 없는 코드",""))</f>
        <v/>
      </c>
      <c r="AA13">
        <f>IF(W13="","",IF(ISNUMBER(U13),ROUND(U13*EVAL_ITEMS/100,1),IF(AND(ISNUMBER(S13),ISNUMBER(T13)),IF(T13&gt;0,S13,""),"")))</f>
        <v/>
      </c>
    </row>
    <row r="14">
      <c r="A14">
        <f>IF(참가자!A14="","",UPPER(TRIM(참가자!A14)))</f>
        <v/>
      </c>
      <c r="B14">
        <f>IF(A14="","",IF(참가자!B14="","(팀 없음)",TRIM(참가자!B14)))</f>
        <v/>
      </c>
      <c r="C14">
        <f>IF(A14="","",평가A!C14)</f>
        <v/>
      </c>
      <c r="D14">
        <f>IF(A14="","",평가B!D14)</f>
        <v/>
      </c>
      <c r="E14">
        <f>IF(A14="","",IFERROR(INDEX($AA$3:$AA$102,MATCH(A14,$W$3:$W$102,0)),""))</f>
        <v/>
      </c>
      <c r="F14">
        <f>IF(A14="","",IF(OR(NOT(ISNUMBER(E14)),K14="첫 응시(평가C)",NOT(ISNUMBER(평가A!I14))),"",ROUND(E14-평가A!I14,1)))</f>
        <v/>
      </c>
      <c r="G14">
        <f>IF(A14="","",IFERROR(INDEX($X$3:$X$102,MATCH(A14,$W$3:$W$102,0)),""))</f>
        <v/>
      </c>
      <c r="H14">
        <f>IF(A14="","",IF(G14="","결석",IF(IFERROR(INDEX($Y$3:$Y$102,MATCH(A14,$W$3:$W$102,0)),"")="비경쟁","비경쟁 응시","응시")))</f>
        <v/>
      </c>
      <c r="I14">
        <f>IF(A14="","",IF(COUNTIF($W$3:$W$102,A14)&gt;1,"중복! 확인",""))</f>
        <v/>
      </c>
      <c r="J14">
        <f>IF(A14="","",평가A!G14)</f>
        <v/>
      </c>
      <c r="K14">
        <f>IF(A14="","",평가A!H14)</f>
        <v/>
      </c>
      <c r="L14">
        <f>IF(A14="","",IF(OR(G14="",J14="",K14="첫 응시(평가C)"),"",ROUND(G14-J14,1)))</f>
        <v/>
      </c>
      <c r="M14">
        <f>IF(A14="","",IF(OR(G14="",J14="",K14="첫 응시(평가C)"),"",IF(G14&gt;=HIGH_CUT,PTS_HIGH,IF(L14&gt;=STEP2,PTS_HIGH,IF(L14&gt;=STEP1,PTS_MID,PTS_LOW)))))</f>
        <v/>
      </c>
      <c r="N14">
        <f>IF(A14="","",IF(G14="","",IF(K14="첫 응시(평가C)","보류",IF(J14="","",IF(G14&gt;=HIGH_CUT,"숙달",IF(L14&gt;=STEP2,"향상",IF(L14&gt;=STEP1,"유지","보완 필요")))))))</f>
        <v/>
      </c>
      <c r="O14">
        <f>IF(A14="","",IF(AND(H14="응시",ISNUMBER(M14)),M14,""))</f>
        <v/>
      </c>
      <c r="P14">
        <f>IF(A14="","",IF(G14="","결석 - 기록 없음",IF(K14="첫 응시(평가C)","판정 보류 - 평가A·B가 없어 이번 결과가 기준점수",IF(J14="","기준점수 없음",IF(G14&gt;=HIGH_CUT,"숙달 - 이번 정답률이 숙달 기준 이상",IF(L14&gt;=STEP2,"향상 - 기준보다 크게 오름",IF(L14&gt;=STEP1,"유지 - 기준과 비슷함","보완 필요 - 기준보다 크게 내려감"))))))&amp;IF(H14="비경쟁 응시"," / 비경쟁: 팀 점수 제외",""))</f>
        <v/>
      </c>
      <c r="R14" s="3" t="n"/>
      <c r="S14" s="3" t="n"/>
      <c r="T14" s="3" t="n"/>
      <c r="U14" s="3" t="n"/>
      <c r="W14">
        <f>IF(UPPER(TRIM(R14&amp;""))="","",IF(RIGHT(UPPER(TRIM(R14&amp;"")),2)="-N",TRIM(LEFT(UPPER(TRIM(R14&amp;"")),LEN(UPPER(TRIM(R14&amp;"")))-2)),UPPER(TRIM(R14&amp;""))))</f>
        <v/>
      </c>
      <c r="X14">
        <f>IF(W14="","",IF(ISNUMBER(U14),ROUND(U14,1),IF(AND(ISNUMBER(S14),ISNUMBER(T14)),IF(T14&gt;0,ROUND(S14/T14*100,1),""),"")))</f>
        <v/>
      </c>
      <c r="Y14">
        <f>IF(W14="","",IF(RIGHT(UPPER(TRIM(R14&amp;"")),2)="-N","비경쟁",""))</f>
        <v/>
      </c>
      <c r="Z14">
        <f>IF(W14="","",IF(COUNTIF(참가자!$A$3:$A$52,W14)=0,"명단에 없는 코드",""))</f>
        <v/>
      </c>
      <c r="AA14">
        <f>IF(W14="","",IF(ISNUMBER(U14),ROUND(U14*EVAL_ITEMS/100,1),IF(AND(ISNUMBER(S14),ISNUMBER(T14)),IF(T14&gt;0,S14,""),"")))</f>
        <v/>
      </c>
    </row>
    <row r="15">
      <c r="A15">
        <f>IF(참가자!A15="","",UPPER(TRIM(참가자!A15)))</f>
        <v/>
      </c>
      <c r="B15">
        <f>IF(A15="","",IF(참가자!B15="","(팀 없음)",TRIM(참가자!B15)))</f>
        <v/>
      </c>
      <c r="C15">
        <f>IF(A15="","",평가A!C15)</f>
        <v/>
      </c>
      <c r="D15">
        <f>IF(A15="","",평가B!D15)</f>
        <v/>
      </c>
      <c r="E15">
        <f>IF(A15="","",IFERROR(INDEX($AA$3:$AA$102,MATCH(A15,$W$3:$W$102,0)),""))</f>
        <v/>
      </c>
      <c r="F15">
        <f>IF(A15="","",IF(OR(NOT(ISNUMBER(E15)),K15="첫 응시(평가C)",NOT(ISNUMBER(평가A!I15))),"",ROUND(E15-평가A!I15,1)))</f>
        <v/>
      </c>
      <c r="G15">
        <f>IF(A15="","",IFERROR(INDEX($X$3:$X$102,MATCH(A15,$W$3:$W$102,0)),""))</f>
        <v/>
      </c>
      <c r="H15">
        <f>IF(A15="","",IF(G15="","결석",IF(IFERROR(INDEX($Y$3:$Y$102,MATCH(A15,$W$3:$W$102,0)),"")="비경쟁","비경쟁 응시","응시")))</f>
        <v/>
      </c>
      <c r="I15">
        <f>IF(A15="","",IF(COUNTIF($W$3:$W$102,A15)&gt;1,"중복! 확인",""))</f>
        <v/>
      </c>
      <c r="J15">
        <f>IF(A15="","",평가A!G15)</f>
        <v/>
      </c>
      <c r="K15">
        <f>IF(A15="","",평가A!H15)</f>
        <v/>
      </c>
      <c r="L15">
        <f>IF(A15="","",IF(OR(G15="",J15="",K15="첫 응시(평가C)"),"",ROUND(G15-J15,1)))</f>
        <v/>
      </c>
      <c r="M15">
        <f>IF(A15="","",IF(OR(G15="",J15="",K15="첫 응시(평가C)"),"",IF(G15&gt;=HIGH_CUT,PTS_HIGH,IF(L15&gt;=STEP2,PTS_HIGH,IF(L15&gt;=STEP1,PTS_MID,PTS_LOW)))))</f>
        <v/>
      </c>
      <c r="N15">
        <f>IF(A15="","",IF(G15="","",IF(K15="첫 응시(평가C)","보류",IF(J15="","",IF(G15&gt;=HIGH_CUT,"숙달",IF(L15&gt;=STEP2,"향상",IF(L15&gt;=STEP1,"유지","보완 필요")))))))</f>
        <v/>
      </c>
      <c r="O15">
        <f>IF(A15="","",IF(AND(H15="응시",ISNUMBER(M15)),M15,""))</f>
        <v/>
      </c>
      <c r="P15">
        <f>IF(A15="","",IF(G15="","결석 - 기록 없음",IF(K15="첫 응시(평가C)","판정 보류 - 평가A·B가 없어 이번 결과가 기준점수",IF(J15="","기준점수 없음",IF(G15&gt;=HIGH_CUT,"숙달 - 이번 정답률이 숙달 기준 이상",IF(L15&gt;=STEP2,"향상 - 기준보다 크게 오름",IF(L15&gt;=STEP1,"유지 - 기준과 비슷함","보완 필요 - 기준보다 크게 내려감"))))))&amp;IF(H15="비경쟁 응시"," / 비경쟁: 팀 점수 제외",""))</f>
        <v/>
      </c>
      <c r="R15" s="3" t="n"/>
      <c r="S15" s="3" t="n"/>
      <c r="T15" s="3" t="n"/>
      <c r="U15" s="3" t="n"/>
      <c r="W15">
        <f>IF(UPPER(TRIM(R15&amp;""))="","",IF(RIGHT(UPPER(TRIM(R15&amp;"")),2)="-N",TRIM(LEFT(UPPER(TRIM(R15&amp;"")),LEN(UPPER(TRIM(R15&amp;"")))-2)),UPPER(TRIM(R15&amp;""))))</f>
        <v/>
      </c>
      <c r="X15">
        <f>IF(W15="","",IF(ISNUMBER(U15),ROUND(U15,1),IF(AND(ISNUMBER(S15),ISNUMBER(T15)),IF(T15&gt;0,ROUND(S15/T15*100,1),""),"")))</f>
        <v/>
      </c>
      <c r="Y15">
        <f>IF(W15="","",IF(RIGHT(UPPER(TRIM(R15&amp;"")),2)="-N","비경쟁",""))</f>
        <v/>
      </c>
      <c r="Z15">
        <f>IF(W15="","",IF(COUNTIF(참가자!$A$3:$A$52,W15)=0,"명단에 없는 코드",""))</f>
        <v/>
      </c>
      <c r="AA15">
        <f>IF(W15="","",IF(ISNUMBER(U15),ROUND(U15*EVAL_ITEMS/100,1),IF(AND(ISNUMBER(S15),ISNUMBER(T15)),IF(T15&gt;0,S15,""),"")))</f>
        <v/>
      </c>
    </row>
    <row r="16">
      <c r="A16">
        <f>IF(참가자!A16="","",UPPER(TRIM(참가자!A16)))</f>
        <v/>
      </c>
      <c r="B16">
        <f>IF(A16="","",IF(참가자!B16="","(팀 없음)",TRIM(참가자!B16)))</f>
        <v/>
      </c>
      <c r="C16">
        <f>IF(A16="","",평가A!C16)</f>
        <v/>
      </c>
      <c r="D16">
        <f>IF(A16="","",평가B!D16)</f>
        <v/>
      </c>
      <c r="E16">
        <f>IF(A16="","",IFERROR(INDEX($AA$3:$AA$102,MATCH(A16,$W$3:$W$102,0)),""))</f>
        <v/>
      </c>
      <c r="F16">
        <f>IF(A16="","",IF(OR(NOT(ISNUMBER(E16)),K16="첫 응시(평가C)",NOT(ISNUMBER(평가A!I16))),"",ROUND(E16-평가A!I16,1)))</f>
        <v/>
      </c>
      <c r="G16">
        <f>IF(A16="","",IFERROR(INDEX($X$3:$X$102,MATCH(A16,$W$3:$W$102,0)),""))</f>
        <v/>
      </c>
      <c r="H16">
        <f>IF(A16="","",IF(G16="","결석",IF(IFERROR(INDEX($Y$3:$Y$102,MATCH(A16,$W$3:$W$102,0)),"")="비경쟁","비경쟁 응시","응시")))</f>
        <v/>
      </c>
      <c r="I16">
        <f>IF(A16="","",IF(COUNTIF($W$3:$W$102,A16)&gt;1,"중복! 확인",""))</f>
        <v/>
      </c>
      <c r="J16">
        <f>IF(A16="","",평가A!G16)</f>
        <v/>
      </c>
      <c r="K16">
        <f>IF(A16="","",평가A!H16)</f>
        <v/>
      </c>
      <c r="L16">
        <f>IF(A16="","",IF(OR(G16="",J16="",K16="첫 응시(평가C)"),"",ROUND(G16-J16,1)))</f>
        <v/>
      </c>
      <c r="M16">
        <f>IF(A16="","",IF(OR(G16="",J16="",K16="첫 응시(평가C)"),"",IF(G16&gt;=HIGH_CUT,PTS_HIGH,IF(L16&gt;=STEP2,PTS_HIGH,IF(L16&gt;=STEP1,PTS_MID,PTS_LOW)))))</f>
        <v/>
      </c>
      <c r="N16">
        <f>IF(A16="","",IF(G16="","",IF(K16="첫 응시(평가C)","보류",IF(J16="","",IF(G16&gt;=HIGH_CUT,"숙달",IF(L16&gt;=STEP2,"향상",IF(L16&gt;=STEP1,"유지","보완 필요")))))))</f>
        <v/>
      </c>
      <c r="O16">
        <f>IF(A16="","",IF(AND(H16="응시",ISNUMBER(M16)),M16,""))</f>
        <v/>
      </c>
      <c r="P16">
        <f>IF(A16="","",IF(G16="","결석 - 기록 없음",IF(K16="첫 응시(평가C)","판정 보류 - 평가A·B가 없어 이번 결과가 기준점수",IF(J16="","기준점수 없음",IF(G16&gt;=HIGH_CUT,"숙달 - 이번 정답률이 숙달 기준 이상",IF(L16&gt;=STEP2,"향상 - 기준보다 크게 오름",IF(L16&gt;=STEP1,"유지 - 기준과 비슷함","보완 필요 - 기준보다 크게 내려감"))))))&amp;IF(H16="비경쟁 응시"," / 비경쟁: 팀 점수 제외",""))</f>
        <v/>
      </c>
      <c r="R16" s="3" t="n"/>
      <c r="S16" s="3" t="n"/>
      <c r="T16" s="3" t="n"/>
      <c r="U16" s="3" t="n"/>
      <c r="W16">
        <f>IF(UPPER(TRIM(R16&amp;""))="","",IF(RIGHT(UPPER(TRIM(R16&amp;"")),2)="-N",TRIM(LEFT(UPPER(TRIM(R16&amp;"")),LEN(UPPER(TRIM(R16&amp;"")))-2)),UPPER(TRIM(R16&amp;""))))</f>
        <v/>
      </c>
      <c r="X16">
        <f>IF(W16="","",IF(ISNUMBER(U16),ROUND(U16,1),IF(AND(ISNUMBER(S16),ISNUMBER(T16)),IF(T16&gt;0,ROUND(S16/T16*100,1),""),"")))</f>
        <v/>
      </c>
      <c r="Y16">
        <f>IF(W16="","",IF(RIGHT(UPPER(TRIM(R16&amp;"")),2)="-N","비경쟁",""))</f>
        <v/>
      </c>
      <c r="Z16">
        <f>IF(W16="","",IF(COUNTIF(참가자!$A$3:$A$52,W16)=0,"명단에 없는 코드",""))</f>
        <v/>
      </c>
      <c r="AA16">
        <f>IF(W16="","",IF(ISNUMBER(U16),ROUND(U16*EVAL_ITEMS/100,1),IF(AND(ISNUMBER(S16),ISNUMBER(T16)),IF(T16&gt;0,S16,""),"")))</f>
        <v/>
      </c>
    </row>
    <row r="17">
      <c r="A17">
        <f>IF(참가자!A17="","",UPPER(TRIM(참가자!A17)))</f>
        <v/>
      </c>
      <c r="B17">
        <f>IF(A17="","",IF(참가자!B17="","(팀 없음)",TRIM(참가자!B17)))</f>
        <v/>
      </c>
      <c r="C17">
        <f>IF(A17="","",평가A!C17)</f>
        <v/>
      </c>
      <c r="D17">
        <f>IF(A17="","",평가B!D17)</f>
        <v/>
      </c>
      <c r="E17">
        <f>IF(A17="","",IFERROR(INDEX($AA$3:$AA$102,MATCH(A17,$W$3:$W$102,0)),""))</f>
        <v/>
      </c>
      <c r="F17">
        <f>IF(A17="","",IF(OR(NOT(ISNUMBER(E17)),K17="첫 응시(평가C)",NOT(ISNUMBER(평가A!I17))),"",ROUND(E17-평가A!I17,1)))</f>
        <v/>
      </c>
      <c r="G17">
        <f>IF(A17="","",IFERROR(INDEX($X$3:$X$102,MATCH(A17,$W$3:$W$102,0)),""))</f>
        <v/>
      </c>
      <c r="H17">
        <f>IF(A17="","",IF(G17="","결석",IF(IFERROR(INDEX($Y$3:$Y$102,MATCH(A17,$W$3:$W$102,0)),"")="비경쟁","비경쟁 응시","응시")))</f>
        <v/>
      </c>
      <c r="I17">
        <f>IF(A17="","",IF(COUNTIF($W$3:$W$102,A17)&gt;1,"중복! 확인",""))</f>
        <v/>
      </c>
      <c r="J17">
        <f>IF(A17="","",평가A!G17)</f>
        <v/>
      </c>
      <c r="K17">
        <f>IF(A17="","",평가A!H17)</f>
        <v/>
      </c>
      <c r="L17">
        <f>IF(A17="","",IF(OR(G17="",J17="",K17="첫 응시(평가C)"),"",ROUND(G17-J17,1)))</f>
        <v/>
      </c>
      <c r="M17">
        <f>IF(A17="","",IF(OR(G17="",J17="",K17="첫 응시(평가C)"),"",IF(G17&gt;=HIGH_CUT,PTS_HIGH,IF(L17&gt;=STEP2,PTS_HIGH,IF(L17&gt;=STEP1,PTS_MID,PTS_LOW)))))</f>
        <v/>
      </c>
      <c r="N17">
        <f>IF(A17="","",IF(G17="","",IF(K17="첫 응시(평가C)","보류",IF(J17="","",IF(G17&gt;=HIGH_CUT,"숙달",IF(L17&gt;=STEP2,"향상",IF(L17&gt;=STEP1,"유지","보완 필요")))))))</f>
        <v/>
      </c>
      <c r="O17">
        <f>IF(A17="","",IF(AND(H17="응시",ISNUMBER(M17)),M17,""))</f>
        <v/>
      </c>
      <c r="P17">
        <f>IF(A17="","",IF(G17="","결석 - 기록 없음",IF(K17="첫 응시(평가C)","판정 보류 - 평가A·B가 없어 이번 결과가 기준점수",IF(J17="","기준점수 없음",IF(G17&gt;=HIGH_CUT,"숙달 - 이번 정답률이 숙달 기준 이상",IF(L17&gt;=STEP2,"향상 - 기준보다 크게 오름",IF(L17&gt;=STEP1,"유지 - 기준과 비슷함","보완 필요 - 기준보다 크게 내려감"))))))&amp;IF(H17="비경쟁 응시"," / 비경쟁: 팀 점수 제외",""))</f>
        <v/>
      </c>
      <c r="R17" s="3" t="n"/>
      <c r="S17" s="3" t="n"/>
      <c r="T17" s="3" t="n"/>
      <c r="U17" s="3" t="n"/>
      <c r="W17">
        <f>IF(UPPER(TRIM(R17&amp;""))="","",IF(RIGHT(UPPER(TRIM(R17&amp;"")),2)="-N",TRIM(LEFT(UPPER(TRIM(R17&amp;"")),LEN(UPPER(TRIM(R17&amp;"")))-2)),UPPER(TRIM(R17&amp;""))))</f>
        <v/>
      </c>
      <c r="X17">
        <f>IF(W17="","",IF(ISNUMBER(U17),ROUND(U17,1),IF(AND(ISNUMBER(S17),ISNUMBER(T17)),IF(T17&gt;0,ROUND(S17/T17*100,1),""),"")))</f>
        <v/>
      </c>
      <c r="Y17">
        <f>IF(W17="","",IF(RIGHT(UPPER(TRIM(R17&amp;"")),2)="-N","비경쟁",""))</f>
        <v/>
      </c>
      <c r="Z17">
        <f>IF(W17="","",IF(COUNTIF(참가자!$A$3:$A$52,W17)=0,"명단에 없는 코드",""))</f>
        <v/>
      </c>
      <c r="AA17">
        <f>IF(W17="","",IF(ISNUMBER(U17),ROUND(U17*EVAL_ITEMS/100,1),IF(AND(ISNUMBER(S17),ISNUMBER(T17)),IF(T17&gt;0,S17,""),"")))</f>
        <v/>
      </c>
    </row>
    <row r="18">
      <c r="A18">
        <f>IF(참가자!A18="","",UPPER(TRIM(참가자!A18)))</f>
        <v/>
      </c>
      <c r="B18">
        <f>IF(A18="","",IF(참가자!B18="","(팀 없음)",TRIM(참가자!B18)))</f>
        <v/>
      </c>
      <c r="C18">
        <f>IF(A18="","",평가A!C18)</f>
        <v/>
      </c>
      <c r="D18">
        <f>IF(A18="","",평가B!D18)</f>
        <v/>
      </c>
      <c r="E18">
        <f>IF(A18="","",IFERROR(INDEX($AA$3:$AA$102,MATCH(A18,$W$3:$W$102,0)),""))</f>
        <v/>
      </c>
      <c r="F18">
        <f>IF(A18="","",IF(OR(NOT(ISNUMBER(E18)),K18="첫 응시(평가C)",NOT(ISNUMBER(평가A!I18))),"",ROUND(E18-평가A!I18,1)))</f>
        <v/>
      </c>
      <c r="G18">
        <f>IF(A18="","",IFERROR(INDEX($X$3:$X$102,MATCH(A18,$W$3:$W$102,0)),""))</f>
        <v/>
      </c>
      <c r="H18">
        <f>IF(A18="","",IF(G18="","결석",IF(IFERROR(INDEX($Y$3:$Y$102,MATCH(A18,$W$3:$W$102,0)),"")="비경쟁","비경쟁 응시","응시")))</f>
        <v/>
      </c>
      <c r="I18">
        <f>IF(A18="","",IF(COUNTIF($W$3:$W$102,A18)&gt;1,"중복! 확인",""))</f>
        <v/>
      </c>
      <c r="J18">
        <f>IF(A18="","",평가A!G18)</f>
        <v/>
      </c>
      <c r="K18">
        <f>IF(A18="","",평가A!H18)</f>
        <v/>
      </c>
      <c r="L18">
        <f>IF(A18="","",IF(OR(G18="",J18="",K18="첫 응시(평가C)"),"",ROUND(G18-J18,1)))</f>
        <v/>
      </c>
      <c r="M18">
        <f>IF(A18="","",IF(OR(G18="",J18="",K18="첫 응시(평가C)"),"",IF(G18&gt;=HIGH_CUT,PTS_HIGH,IF(L18&gt;=STEP2,PTS_HIGH,IF(L18&gt;=STEP1,PTS_MID,PTS_LOW)))))</f>
        <v/>
      </c>
      <c r="N18">
        <f>IF(A18="","",IF(G18="","",IF(K18="첫 응시(평가C)","보류",IF(J18="","",IF(G18&gt;=HIGH_CUT,"숙달",IF(L18&gt;=STEP2,"향상",IF(L18&gt;=STEP1,"유지","보완 필요")))))))</f>
        <v/>
      </c>
      <c r="O18">
        <f>IF(A18="","",IF(AND(H18="응시",ISNUMBER(M18)),M18,""))</f>
        <v/>
      </c>
      <c r="P18">
        <f>IF(A18="","",IF(G18="","결석 - 기록 없음",IF(K18="첫 응시(평가C)","판정 보류 - 평가A·B가 없어 이번 결과가 기준점수",IF(J18="","기준점수 없음",IF(G18&gt;=HIGH_CUT,"숙달 - 이번 정답률이 숙달 기준 이상",IF(L18&gt;=STEP2,"향상 - 기준보다 크게 오름",IF(L18&gt;=STEP1,"유지 - 기준과 비슷함","보완 필요 - 기준보다 크게 내려감"))))))&amp;IF(H18="비경쟁 응시"," / 비경쟁: 팀 점수 제외",""))</f>
        <v/>
      </c>
      <c r="R18" s="3" t="n"/>
      <c r="S18" s="3" t="n"/>
      <c r="T18" s="3" t="n"/>
      <c r="U18" s="3" t="n"/>
      <c r="W18">
        <f>IF(UPPER(TRIM(R18&amp;""))="","",IF(RIGHT(UPPER(TRIM(R18&amp;"")),2)="-N",TRIM(LEFT(UPPER(TRIM(R18&amp;"")),LEN(UPPER(TRIM(R18&amp;"")))-2)),UPPER(TRIM(R18&amp;""))))</f>
        <v/>
      </c>
      <c r="X18">
        <f>IF(W18="","",IF(ISNUMBER(U18),ROUND(U18,1),IF(AND(ISNUMBER(S18),ISNUMBER(T18)),IF(T18&gt;0,ROUND(S18/T18*100,1),""),"")))</f>
        <v/>
      </c>
      <c r="Y18">
        <f>IF(W18="","",IF(RIGHT(UPPER(TRIM(R18&amp;"")),2)="-N","비경쟁",""))</f>
        <v/>
      </c>
      <c r="Z18">
        <f>IF(W18="","",IF(COUNTIF(참가자!$A$3:$A$52,W18)=0,"명단에 없는 코드",""))</f>
        <v/>
      </c>
      <c r="AA18">
        <f>IF(W18="","",IF(ISNUMBER(U18),ROUND(U18*EVAL_ITEMS/100,1),IF(AND(ISNUMBER(S18),ISNUMBER(T18)),IF(T18&gt;0,S18,""),"")))</f>
        <v/>
      </c>
    </row>
    <row r="19">
      <c r="A19">
        <f>IF(참가자!A19="","",UPPER(TRIM(참가자!A19)))</f>
        <v/>
      </c>
      <c r="B19">
        <f>IF(A19="","",IF(참가자!B19="","(팀 없음)",TRIM(참가자!B19)))</f>
        <v/>
      </c>
      <c r="C19">
        <f>IF(A19="","",평가A!C19)</f>
        <v/>
      </c>
      <c r="D19">
        <f>IF(A19="","",평가B!D19)</f>
        <v/>
      </c>
      <c r="E19">
        <f>IF(A19="","",IFERROR(INDEX($AA$3:$AA$102,MATCH(A19,$W$3:$W$102,0)),""))</f>
        <v/>
      </c>
      <c r="F19">
        <f>IF(A19="","",IF(OR(NOT(ISNUMBER(E19)),K19="첫 응시(평가C)",NOT(ISNUMBER(평가A!I19))),"",ROUND(E19-평가A!I19,1)))</f>
        <v/>
      </c>
      <c r="G19">
        <f>IF(A19="","",IFERROR(INDEX($X$3:$X$102,MATCH(A19,$W$3:$W$102,0)),""))</f>
        <v/>
      </c>
      <c r="H19">
        <f>IF(A19="","",IF(G19="","결석",IF(IFERROR(INDEX($Y$3:$Y$102,MATCH(A19,$W$3:$W$102,0)),"")="비경쟁","비경쟁 응시","응시")))</f>
        <v/>
      </c>
      <c r="I19">
        <f>IF(A19="","",IF(COUNTIF($W$3:$W$102,A19)&gt;1,"중복! 확인",""))</f>
        <v/>
      </c>
      <c r="J19">
        <f>IF(A19="","",평가A!G19)</f>
        <v/>
      </c>
      <c r="K19">
        <f>IF(A19="","",평가A!H19)</f>
        <v/>
      </c>
      <c r="L19">
        <f>IF(A19="","",IF(OR(G19="",J19="",K19="첫 응시(평가C)"),"",ROUND(G19-J19,1)))</f>
        <v/>
      </c>
      <c r="M19">
        <f>IF(A19="","",IF(OR(G19="",J19="",K19="첫 응시(평가C)"),"",IF(G19&gt;=HIGH_CUT,PTS_HIGH,IF(L19&gt;=STEP2,PTS_HIGH,IF(L19&gt;=STEP1,PTS_MID,PTS_LOW)))))</f>
        <v/>
      </c>
      <c r="N19">
        <f>IF(A19="","",IF(G19="","",IF(K19="첫 응시(평가C)","보류",IF(J19="","",IF(G19&gt;=HIGH_CUT,"숙달",IF(L19&gt;=STEP2,"향상",IF(L19&gt;=STEP1,"유지","보완 필요")))))))</f>
        <v/>
      </c>
      <c r="O19">
        <f>IF(A19="","",IF(AND(H19="응시",ISNUMBER(M19)),M19,""))</f>
        <v/>
      </c>
      <c r="P19">
        <f>IF(A19="","",IF(G19="","결석 - 기록 없음",IF(K19="첫 응시(평가C)","판정 보류 - 평가A·B가 없어 이번 결과가 기준점수",IF(J19="","기준점수 없음",IF(G19&gt;=HIGH_CUT,"숙달 - 이번 정답률이 숙달 기준 이상",IF(L19&gt;=STEP2,"향상 - 기준보다 크게 오름",IF(L19&gt;=STEP1,"유지 - 기준과 비슷함","보완 필요 - 기준보다 크게 내려감"))))))&amp;IF(H19="비경쟁 응시"," / 비경쟁: 팀 점수 제외",""))</f>
        <v/>
      </c>
      <c r="R19" s="3" t="n"/>
      <c r="S19" s="3" t="n"/>
      <c r="T19" s="3" t="n"/>
      <c r="U19" s="3" t="n"/>
      <c r="W19">
        <f>IF(UPPER(TRIM(R19&amp;""))="","",IF(RIGHT(UPPER(TRIM(R19&amp;"")),2)="-N",TRIM(LEFT(UPPER(TRIM(R19&amp;"")),LEN(UPPER(TRIM(R19&amp;"")))-2)),UPPER(TRIM(R19&amp;""))))</f>
        <v/>
      </c>
      <c r="X19">
        <f>IF(W19="","",IF(ISNUMBER(U19),ROUND(U19,1),IF(AND(ISNUMBER(S19),ISNUMBER(T19)),IF(T19&gt;0,ROUND(S19/T19*100,1),""),"")))</f>
        <v/>
      </c>
      <c r="Y19">
        <f>IF(W19="","",IF(RIGHT(UPPER(TRIM(R19&amp;"")),2)="-N","비경쟁",""))</f>
        <v/>
      </c>
      <c r="Z19">
        <f>IF(W19="","",IF(COUNTIF(참가자!$A$3:$A$52,W19)=0,"명단에 없는 코드",""))</f>
        <v/>
      </c>
      <c r="AA19">
        <f>IF(W19="","",IF(ISNUMBER(U19),ROUND(U19*EVAL_ITEMS/100,1),IF(AND(ISNUMBER(S19),ISNUMBER(T19)),IF(T19&gt;0,S19,""),"")))</f>
        <v/>
      </c>
    </row>
    <row r="20">
      <c r="A20">
        <f>IF(참가자!A20="","",UPPER(TRIM(참가자!A20)))</f>
        <v/>
      </c>
      <c r="B20">
        <f>IF(A20="","",IF(참가자!B20="","(팀 없음)",TRIM(참가자!B20)))</f>
        <v/>
      </c>
      <c r="C20">
        <f>IF(A20="","",평가A!C20)</f>
        <v/>
      </c>
      <c r="D20">
        <f>IF(A20="","",평가B!D20)</f>
        <v/>
      </c>
      <c r="E20">
        <f>IF(A20="","",IFERROR(INDEX($AA$3:$AA$102,MATCH(A20,$W$3:$W$102,0)),""))</f>
        <v/>
      </c>
      <c r="F20">
        <f>IF(A20="","",IF(OR(NOT(ISNUMBER(E20)),K20="첫 응시(평가C)",NOT(ISNUMBER(평가A!I20))),"",ROUND(E20-평가A!I20,1)))</f>
        <v/>
      </c>
      <c r="G20">
        <f>IF(A20="","",IFERROR(INDEX($X$3:$X$102,MATCH(A20,$W$3:$W$102,0)),""))</f>
        <v/>
      </c>
      <c r="H20">
        <f>IF(A20="","",IF(G20="","결석",IF(IFERROR(INDEX($Y$3:$Y$102,MATCH(A20,$W$3:$W$102,0)),"")="비경쟁","비경쟁 응시","응시")))</f>
        <v/>
      </c>
      <c r="I20">
        <f>IF(A20="","",IF(COUNTIF($W$3:$W$102,A20)&gt;1,"중복! 확인",""))</f>
        <v/>
      </c>
      <c r="J20">
        <f>IF(A20="","",평가A!G20)</f>
        <v/>
      </c>
      <c r="K20">
        <f>IF(A20="","",평가A!H20)</f>
        <v/>
      </c>
      <c r="L20">
        <f>IF(A20="","",IF(OR(G20="",J20="",K20="첫 응시(평가C)"),"",ROUND(G20-J20,1)))</f>
        <v/>
      </c>
      <c r="M20">
        <f>IF(A20="","",IF(OR(G20="",J20="",K20="첫 응시(평가C)"),"",IF(G20&gt;=HIGH_CUT,PTS_HIGH,IF(L20&gt;=STEP2,PTS_HIGH,IF(L20&gt;=STEP1,PTS_MID,PTS_LOW)))))</f>
        <v/>
      </c>
      <c r="N20">
        <f>IF(A20="","",IF(G20="","",IF(K20="첫 응시(평가C)","보류",IF(J20="","",IF(G20&gt;=HIGH_CUT,"숙달",IF(L20&gt;=STEP2,"향상",IF(L20&gt;=STEP1,"유지","보완 필요")))))))</f>
        <v/>
      </c>
      <c r="O20">
        <f>IF(A20="","",IF(AND(H20="응시",ISNUMBER(M20)),M20,""))</f>
        <v/>
      </c>
      <c r="P20">
        <f>IF(A20="","",IF(G20="","결석 - 기록 없음",IF(K20="첫 응시(평가C)","판정 보류 - 평가A·B가 없어 이번 결과가 기준점수",IF(J20="","기준점수 없음",IF(G20&gt;=HIGH_CUT,"숙달 - 이번 정답률이 숙달 기준 이상",IF(L20&gt;=STEP2,"향상 - 기준보다 크게 오름",IF(L20&gt;=STEP1,"유지 - 기준과 비슷함","보완 필요 - 기준보다 크게 내려감"))))))&amp;IF(H20="비경쟁 응시"," / 비경쟁: 팀 점수 제외",""))</f>
        <v/>
      </c>
      <c r="R20" s="3" t="n"/>
      <c r="S20" s="3" t="n"/>
      <c r="T20" s="3" t="n"/>
      <c r="U20" s="3" t="n"/>
      <c r="W20">
        <f>IF(UPPER(TRIM(R20&amp;""))="","",IF(RIGHT(UPPER(TRIM(R20&amp;"")),2)="-N",TRIM(LEFT(UPPER(TRIM(R20&amp;"")),LEN(UPPER(TRIM(R20&amp;"")))-2)),UPPER(TRIM(R20&amp;""))))</f>
        <v/>
      </c>
      <c r="X20">
        <f>IF(W20="","",IF(ISNUMBER(U20),ROUND(U20,1),IF(AND(ISNUMBER(S20),ISNUMBER(T20)),IF(T20&gt;0,ROUND(S20/T20*100,1),""),"")))</f>
        <v/>
      </c>
      <c r="Y20">
        <f>IF(W20="","",IF(RIGHT(UPPER(TRIM(R20&amp;"")),2)="-N","비경쟁",""))</f>
        <v/>
      </c>
      <c r="Z20">
        <f>IF(W20="","",IF(COUNTIF(참가자!$A$3:$A$52,W20)=0,"명단에 없는 코드",""))</f>
        <v/>
      </c>
      <c r="AA20">
        <f>IF(W20="","",IF(ISNUMBER(U20),ROUND(U20*EVAL_ITEMS/100,1),IF(AND(ISNUMBER(S20),ISNUMBER(T20)),IF(T20&gt;0,S20,""),"")))</f>
        <v/>
      </c>
    </row>
    <row r="21">
      <c r="A21">
        <f>IF(참가자!A21="","",UPPER(TRIM(참가자!A21)))</f>
        <v/>
      </c>
      <c r="B21">
        <f>IF(A21="","",IF(참가자!B21="","(팀 없음)",TRIM(참가자!B21)))</f>
        <v/>
      </c>
      <c r="C21">
        <f>IF(A21="","",평가A!C21)</f>
        <v/>
      </c>
      <c r="D21">
        <f>IF(A21="","",평가B!D21)</f>
        <v/>
      </c>
      <c r="E21">
        <f>IF(A21="","",IFERROR(INDEX($AA$3:$AA$102,MATCH(A21,$W$3:$W$102,0)),""))</f>
        <v/>
      </c>
      <c r="F21">
        <f>IF(A21="","",IF(OR(NOT(ISNUMBER(E21)),K21="첫 응시(평가C)",NOT(ISNUMBER(평가A!I21))),"",ROUND(E21-평가A!I21,1)))</f>
        <v/>
      </c>
      <c r="G21">
        <f>IF(A21="","",IFERROR(INDEX($X$3:$X$102,MATCH(A21,$W$3:$W$102,0)),""))</f>
        <v/>
      </c>
      <c r="H21">
        <f>IF(A21="","",IF(G21="","결석",IF(IFERROR(INDEX($Y$3:$Y$102,MATCH(A21,$W$3:$W$102,0)),"")="비경쟁","비경쟁 응시","응시")))</f>
        <v/>
      </c>
      <c r="I21">
        <f>IF(A21="","",IF(COUNTIF($W$3:$W$102,A21)&gt;1,"중복! 확인",""))</f>
        <v/>
      </c>
      <c r="J21">
        <f>IF(A21="","",평가A!G21)</f>
        <v/>
      </c>
      <c r="K21">
        <f>IF(A21="","",평가A!H21)</f>
        <v/>
      </c>
      <c r="L21">
        <f>IF(A21="","",IF(OR(G21="",J21="",K21="첫 응시(평가C)"),"",ROUND(G21-J21,1)))</f>
        <v/>
      </c>
      <c r="M21">
        <f>IF(A21="","",IF(OR(G21="",J21="",K21="첫 응시(평가C)"),"",IF(G21&gt;=HIGH_CUT,PTS_HIGH,IF(L21&gt;=STEP2,PTS_HIGH,IF(L21&gt;=STEP1,PTS_MID,PTS_LOW)))))</f>
        <v/>
      </c>
      <c r="N21">
        <f>IF(A21="","",IF(G21="","",IF(K21="첫 응시(평가C)","보류",IF(J21="","",IF(G21&gt;=HIGH_CUT,"숙달",IF(L21&gt;=STEP2,"향상",IF(L21&gt;=STEP1,"유지","보완 필요")))))))</f>
        <v/>
      </c>
      <c r="O21">
        <f>IF(A21="","",IF(AND(H21="응시",ISNUMBER(M21)),M21,""))</f>
        <v/>
      </c>
      <c r="P21">
        <f>IF(A21="","",IF(G21="","결석 - 기록 없음",IF(K21="첫 응시(평가C)","판정 보류 - 평가A·B가 없어 이번 결과가 기준점수",IF(J21="","기준점수 없음",IF(G21&gt;=HIGH_CUT,"숙달 - 이번 정답률이 숙달 기준 이상",IF(L21&gt;=STEP2,"향상 - 기준보다 크게 오름",IF(L21&gt;=STEP1,"유지 - 기준과 비슷함","보완 필요 - 기준보다 크게 내려감"))))))&amp;IF(H21="비경쟁 응시"," / 비경쟁: 팀 점수 제외",""))</f>
        <v/>
      </c>
      <c r="R21" s="3" t="n"/>
      <c r="S21" s="3" t="n"/>
      <c r="T21" s="3" t="n"/>
      <c r="U21" s="3" t="n"/>
      <c r="W21">
        <f>IF(UPPER(TRIM(R21&amp;""))="","",IF(RIGHT(UPPER(TRIM(R21&amp;"")),2)="-N",TRIM(LEFT(UPPER(TRIM(R21&amp;"")),LEN(UPPER(TRIM(R21&amp;"")))-2)),UPPER(TRIM(R21&amp;""))))</f>
        <v/>
      </c>
      <c r="X21">
        <f>IF(W21="","",IF(ISNUMBER(U21),ROUND(U21,1),IF(AND(ISNUMBER(S21),ISNUMBER(T21)),IF(T21&gt;0,ROUND(S21/T21*100,1),""),"")))</f>
        <v/>
      </c>
      <c r="Y21">
        <f>IF(W21="","",IF(RIGHT(UPPER(TRIM(R21&amp;"")),2)="-N","비경쟁",""))</f>
        <v/>
      </c>
      <c r="Z21">
        <f>IF(W21="","",IF(COUNTIF(참가자!$A$3:$A$52,W21)=0,"명단에 없는 코드",""))</f>
        <v/>
      </c>
      <c r="AA21">
        <f>IF(W21="","",IF(ISNUMBER(U21),ROUND(U21*EVAL_ITEMS/100,1),IF(AND(ISNUMBER(S21),ISNUMBER(T21)),IF(T21&gt;0,S21,""),"")))</f>
        <v/>
      </c>
    </row>
    <row r="22">
      <c r="A22">
        <f>IF(참가자!A22="","",UPPER(TRIM(참가자!A22)))</f>
        <v/>
      </c>
      <c r="B22">
        <f>IF(A22="","",IF(참가자!B22="","(팀 없음)",TRIM(참가자!B22)))</f>
        <v/>
      </c>
      <c r="C22">
        <f>IF(A22="","",평가A!C22)</f>
        <v/>
      </c>
      <c r="D22">
        <f>IF(A22="","",평가B!D22)</f>
        <v/>
      </c>
      <c r="E22">
        <f>IF(A22="","",IFERROR(INDEX($AA$3:$AA$102,MATCH(A22,$W$3:$W$102,0)),""))</f>
        <v/>
      </c>
      <c r="F22">
        <f>IF(A22="","",IF(OR(NOT(ISNUMBER(E22)),K22="첫 응시(평가C)",NOT(ISNUMBER(평가A!I22))),"",ROUND(E22-평가A!I22,1)))</f>
        <v/>
      </c>
      <c r="G22">
        <f>IF(A22="","",IFERROR(INDEX($X$3:$X$102,MATCH(A22,$W$3:$W$102,0)),""))</f>
        <v/>
      </c>
      <c r="H22">
        <f>IF(A22="","",IF(G22="","결석",IF(IFERROR(INDEX($Y$3:$Y$102,MATCH(A22,$W$3:$W$102,0)),"")="비경쟁","비경쟁 응시","응시")))</f>
        <v/>
      </c>
      <c r="I22">
        <f>IF(A22="","",IF(COUNTIF($W$3:$W$102,A22)&gt;1,"중복! 확인",""))</f>
        <v/>
      </c>
      <c r="J22">
        <f>IF(A22="","",평가A!G22)</f>
        <v/>
      </c>
      <c r="K22">
        <f>IF(A22="","",평가A!H22)</f>
        <v/>
      </c>
      <c r="L22">
        <f>IF(A22="","",IF(OR(G22="",J22="",K22="첫 응시(평가C)"),"",ROUND(G22-J22,1)))</f>
        <v/>
      </c>
      <c r="M22">
        <f>IF(A22="","",IF(OR(G22="",J22="",K22="첫 응시(평가C)"),"",IF(G22&gt;=HIGH_CUT,PTS_HIGH,IF(L22&gt;=STEP2,PTS_HIGH,IF(L22&gt;=STEP1,PTS_MID,PTS_LOW)))))</f>
        <v/>
      </c>
      <c r="N22">
        <f>IF(A22="","",IF(G22="","",IF(K22="첫 응시(평가C)","보류",IF(J22="","",IF(G22&gt;=HIGH_CUT,"숙달",IF(L22&gt;=STEP2,"향상",IF(L22&gt;=STEP1,"유지","보완 필요")))))))</f>
        <v/>
      </c>
      <c r="O22">
        <f>IF(A22="","",IF(AND(H22="응시",ISNUMBER(M22)),M22,""))</f>
        <v/>
      </c>
      <c r="P22">
        <f>IF(A22="","",IF(G22="","결석 - 기록 없음",IF(K22="첫 응시(평가C)","판정 보류 - 평가A·B가 없어 이번 결과가 기준점수",IF(J22="","기준점수 없음",IF(G22&gt;=HIGH_CUT,"숙달 - 이번 정답률이 숙달 기준 이상",IF(L22&gt;=STEP2,"향상 - 기준보다 크게 오름",IF(L22&gt;=STEP1,"유지 - 기준과 비슷함","보완 필요 - 기준보다 크게 내려감"))))))&amp;IF(H22="비경쟁 응시"," / 비경쟁: 팀 점수 제외",""))</f>
        <v/>
      </c>
      <c r="R22" s="3" t="n"/>
      <c r="S22" s="3" t="n"/>
      <c r="T22" s="3" t="n"/>
      <c r="U22" s="3" t="n"/>
      <c r="W22">
        <f>IF(UPPER(TRIM(R22&amp;""))="","",IF(RIGHT(UPPER(TRIM(R22&amp;"")),2)="-N",TRIM(LEFT(UPPER(TRIM(R22&amp;"")),LEN(UPPER(TRIM(R22&amp;"")))-2)),UPPER(TRIM(R22&amp;""))))</f>
        <v/>
      </c>
      <c r="X22">
        <f>IF(W22="","",IF(ISNUMBER(U22),ROUND(U22,1),IF(AND(ISNUMBER(S22),ISNUMBER(T22)),IF(T22&gt;0,ROUND(S22/T22*100,1),""),"")))</f>
        <v/>
      </c>
      <c r="Y22">
        <f>IF(W22="","",IF(RIGHT(UPPER(TRIM(R22&amp;"")),2)="-N","비경쟁",""))</f>
        <v/>
      </c>
      <c r="Z22">
        <f>IF(W22="","",IF(COUNTIF(참가자!$A$3:$A$52,W22)=0,"명단에 없는 코드",""))</f>
        <v/>
      </c>
      <c r="AA22">
        <f>IF(W22="","",IF(ISNUMBER(U22),ROUND(U22*EVAL_ITEMS/100,1),IF(AND(ISNUMBER(S22),ISNUMBER(T22)),IF(T22&gt;0,S22,""),"")))</f>
        <v/>
      </c>
    </row>
    <row r="23">
      <c r="A23">
        <f>IF(참가자!A23="","",UPPER(TRIM(참가자!A23)))</f>
        <v/>
      </c>
      <c r="B23">
        <f>IF(A23="","",IF(참가자!B23="","(팀 없음)",TRIM(참가자!B23)))</f>
        <v/>
      </c>
      <c r="C23">
        <f>IF(A23="","",평가A!C23)</f>
        <v/>
      </c>
      <c r="D23">
        <f>IF(A23="","",평가B!D23)</f>
        <v/>
      </c>
      <c r="E23">
        <f>IF(A23="","",IFERROR(INDEX($AA$3:$AA$102,MATCH(A23,$W$3:$W$102,0)),""))</f>
        <v/>
      </c>
      <c r="F23">
        <f>IF(A23="","",IF(OR(NOT(ISNUMBER(E23)),K23="첫 응시(평가C)",NOT(ISNUMBER(평가A!I23))),"",ROUND(E23-평가A!I23,1)))</f>
        <v/>
      </c>
      <c r="G23">
        <f>IF(A23="","",IFERROR(INDEX($X$3:$X$102,MATCH(A23,$W$3:$W$102,0)),""))</f>
        <v/>
      </c>
      <c r="H23">
        <f>IF(A23="","",IF(G23="","결석",IF(IFERROR(INDEX($Y$3:$Y$102,MATCH(A23,$W$3:$W$102,0)),"")="비경쟁","비경쟁 응시","응시")))</f>
        <v/>
      </c>
      <c r="I23">
        <f>IF(A23="","",IF(COUNTIF($W$3:$W$102,A23)&gt;1,"중복! 확인",""))</f>
        <v/>
      </c>
      <c r="J23">
        <f>IF(A23="","",평가A!G23)</f>
        <v/>
      </c>
      <c r="K23">
        <f>IF(A23="","",평가A!H23)</f>
        <v/>
      </c>
      <c r="L23">
        <f>IF(A23="","",IF(OR(G23="",J23="",K23="첫 응시(평가C)"),"",ROUND(G23-J23,1)))</f>
        <v/>
      </c>
      <c r="M23">
        <f>IF(A23="","",IF(OR(G23="",J23="",K23="첫 응시(평가C)"),"",IF(G23&gt;=HIGH_CUT,PTS_HIGH,IF(L23&gt;=STEP2,PTS_HIGH,IF(L23&gt;=STEP1,PTS_MID,PTS_LOW)))))</f>
        <v/>
      </c>
      <c r="N23">
        <f>IF(A23="","",IF(G23="","",IF(K23="첫 응시(평가C)","보류",IF(J23="","",IF(G23&gt;=HIGH_CUT,"숙달",IF(L23&gt;=STEP2,"향상",IF(L23&gt;=STEP1,"유지","보완 필요")))))))</f>
        <v/>
      </c>
      <c r="O23">
        <f>IF(A23="","",IF(AND(H23="응시",ISNUMBER(M23)),M23,""))</f>
        <v/>
      </c>
      <c r="P23">
        <f>IF(A23="","",IF(G23="","결석 - 기록 없음",IF(K23="첫 응시(평가C)","판정 보류 - 평가A·B가 없어 이번 결과가 기준점수",IF(J23="","기준점수 없음",IF(G23&gt;=HIGH_CUT,"숙달 - 이번 정답률이 숙달 기준 이상",IF(L23&gt;=STEP2,"향상 - 기준보다 크게 오름",IF(L23&gt;=STEP1,"유지 - 기준과 비슷함","보완 필요 - 기준보다 크게 내려감"))))))&amp;IF(H23="비경쟁 응시"," / 비경쟁: 팀 점수 제외",""))</f>
        <v/>
      </c>
      <c r="R23" s="3" t="n"/>
      <c r="S23" s="3" t="n"/>
      <c r="T23" s="3" t="n"/>
      <c r="U23" s="3" t="n"/>
      <c r="W23">
        <f>IF(UPPER(TRIM(R23&amp;""))="","",IF(RIGHT(UPPER(TRIM(R23&amp;"")),2)="-N",TRIM(LEFT(UPPER(TRIM(R23&amp;"")),LEN(UPPER(TRIM(R23&amp;"")))-2)),UPPER(TRIM(R23&amp;""))))</f>
        <v/>
      </c>
      <c r="X23">
        <f>IF(W23="","",IF(ISNUMBER(U23),ROUND(U23,1),IF(AND(ISNUMBER(S23),ISNUMBER(T23)),IF(T23&gt;0,ROUND(S23/T23*100,1),""),"")))</f>
        <v/>
      </c>
      <c r="Y23">
        <f>IF(W23="","",IF(RIGHT(UPPER(TRIM(R23&amp;"")),2)="-N","비경쟁",""))</f>
        <v/>
      </c>
      <c r="Z23">
        <f>IF(W23="","",IF(COUNTIF(참가자!$A$3:$A$52,W23)=0,"명단에 없는 코드",""))</f>
        <v/>
      </c>
      <c r="AA23">
        <f>IF(W23="","",IF(ISNUMBER(U23),ROUND(U23*EVAL_ITEMS/100,1),IF(AND(ISNUMBER(S23),ISNUMBER(T23)),IF(T23&gt;0,S23,""),"")))</f>
        <v/>
      </c>
    </row>
    <row r="24">
      <c r="A24">
        <f>IF(참가자!A24="","",UPPER(TRIM(참가자!A24)))</f>
        <v/>
      </c>
      <c r="B24">
        <f>IF(A24="","",IF(참가자!B24="","(팀 없음)",TRIM(참가자!B24)))</f>
        <v/>
      </c>
      <c r="C24">
        <f>IF(A24="","",평가A!C24)</f>
        <v/>
      </c>
      <c r="D24">
        <f>IF(A24="","",평가B!D24)</f>
        <v/>
      </c>
      <c r="E24">
        <f>IF(A24="","",IFERROR(INDEX($AA$3:$AA$102,MATCH(A24,$W$3:$W$102,0)),""))</f>
        <v/>
      </c>
      <c r="F24">
        <f>IF(A24="","",IF(OR(NOT(ISNUMBER(E24)),K24="첫 응시(평가C)",NOT(ISNUMBER(평가A!I24))),"",ROUND(E24-평가A!I24,1)))</f>
        <v/>
      </c>
      <c r="G24">
        <f>IF(A24="","",IFERROR(INDEX($X$3:$X$102,MATCH(A24,$W$3:$W$102,0)),""))</f>
        <v/>
      </c>
      <c r="H24">
        <f>IF(A24="","",IF(G24="","결석",IF(IFERROR(INDEX($Y$3:$Y$102,MATCH(A24,$W$3:$W$102,0)),"")="비경쟁","비경쟁 응시","응시")))</f>
        <v/>
      </c>
      <c r="I24">
        <f>IF(A24="","",IF(COUNTIF($W$3:$W$102,A24)&gt;1,"중복! 확인",""))</f>
        <v/>
      </c>
      <c r="J24">
        <f>IF(A24="","",평가A!G24)</f>
        <v/>
      </c>
      <c r="K24">
        <f>IF(A24="","",평가A!H24)</f>
        <v/>
      </c>
      <c r="L24">
        <f>IF(A24="","",IF(OR(G24="",J24="",K24="첫 응시(평가C)"),"",ROUND(G24-J24,1)))</f>
        <v/>
      </c>
      <c r="M24">
        <f>IF(A24="","",IF(OR(G24="",J24="",K24="첫 응시(평가C)"),"",IF(G24&gt;=HIGH_CUT,PTS_HIGH,IF(L24&gt;=STEP2,PTS_HIGH,IF(L24&gt;=STEP1,PTS_MID,PTS_LOW)))))</f>
        <v/>
      </c>
      <c r="N24">
        <f>IF(A24="","",IF(G24="","",IF(K24="첫 응시(평가C)","보류",IF(J24="","",IF(G24&gt;=HIGH_CUT,"숙달",IF(L24&gt;=STEP2,"향상",IF(L24&gt;=STEP1,"유지","보완 필요")))))))</f>
        <v/>
      </c>
      <c r="O24">
        <f>IF(A24="","",IF(AND(H24="응시",ISNUMBER(M24)),M24,""))</f>
        <v/>
      </c>
      <c r="P24">
        <f>IF(A24="","",IF(G24="","결석 - 기록 없음",IF(K24="첫 응시(평가C)","판정 보류 - 평가A·B가 없어 이번 결과가 기준점수",IF(J24="","기준점수 없음",IF(G24&gt;=HIGH_CUT,"숙달 - 이번 정답률이 숙달 기준 이상",IF(L24&gt;=STEP2,"향상 - 기준보다 크게 오름",IF(L24&gt;=STEP1,"유지 - 기준과 비슷함","보완 필요 - 기준보다 크게 내려감"))))))&amp;IF(H24="비경쟁 응시"," / 비경쟁: 팀 점수 제외",""))</f>
        <v/>
      </c>
      <c r="R24" s="3" t="n"/>
      <c r="S24" s="3" t="n"/>
      <c r="T24" s="3" t="n"/>
      <c r="U24" s="3" t="n"/>
      <c r="W24">
        <f>IF(UPPER(TRIM(R24&amp;""))="","",IF(RIGHT(UPPER(TRIM(R24&amp;"")),2)="-N",TRIM(LEFT(UPPER(TRIM(R24&amp;"")),LEN(UPPER(TRIM(R24&amp;"")))-2)),UPPER(TRIM(R24&amp;""))))</f>
        <v/>
      </c>
      <c r="X24">
        <f>IF(W24="","",IF(ISNUMBER(U24),ROUND(U24,1),IF(AND(ISNUMBER(S24),ISNUMBER(T24)),IF(T24&gt;0,ROUND(S24/T24*100,1),""),"")))</f>
        <v/>
      </c>
      <c r="Y24">
        <f>IF(W24="","",IF(RIGHT(UPPER(TRIM(R24&amp;"")),2)="-N","비경쟁",""))</f>
        <v/>
      </c>
      <c r="Z24">
        <f>IF(W24="","",IF(COUNTIF(참가자!$A$3:$A$52,W24)=0,"명단에 없는 코드",""))</f>
        <v/>
      </c>
      <c r="AA24">
        <f>IF(W24="","",IF(ISNUMBER(U24),ROUND(U24*EVAL_ITEMS/100,1),IF(AND(ISNUMBER(S24),ISNUMBER(T24)),IF(T24&gt;0,S24,""),"")))</f>
        <v/>
      </c>
    </row>
    <row r="25">
      <c r="A25">
        <f>IF(참가자!A25="","",UPPER(TRIM(참가자!A25)))</f>
        <v/>
      </c>
      <c r="B25">
        <f>IF(A25="","",IF(참가자!B25="","(팀 없음)",TRIM(참가자!B25)))</f>
        <v/>
      </c>
      <c r="C25">
        <f>IF(A25="","",평가A!C25)</f>
        <v/>
      </c>
      <c r="D25">
        <f>IF(A25="","",평가B!D25)</f>
        <v/>
      </c>
      <c r="E25">
        <f>IF(A25="","",IFERROR(INDEX($AA$3:$AA$102,MATCH(A25,$W$3:$W$102,0)),""))</f>
        <v/>
      </c>
      <c r="F25">
        <f>IF(A25="","",IF(OR(NOT(ISNUMBER(E25)),K25="첫 응시(평가C)",NOT(ISNUMBER(평가A!I25))),"",ROUND(E25-평가A!I25,1)))</f>
        <v/>
      </c>
      <c r="G25">
        <f>IF(A25="","",IFERROR(INDEX($X$3:$X$102,MATCH(A25,$W$3:$W$102,0)),""))</f>
        <v/>
      </c>
      <c r="H25">
        <f>IF(A25="","",IF(G25="","결석",IF(IFERROR(INDEX($Y$3:$Y$102,MATCH(A25,$W$3:$W$102,0)),"")="비경쟁","비경쟁 응시","응시")))</f>
        <v/>
      </c>
      <c r="I25">
        <f>IF(A25="","",IF(COUNTIF($W$3:$W$102,A25)&gt;1,"중복! 확인",""))</f>
        <v/>
      </c>
      <c r="J25">
        <f>IF(A25="","",평가A!G25)</f>
        <v/>
      </c>
      <c r="K25">
        <f>IF(A25="","",평가A!H25)</f>
        <v/>
      </c>
      <c r="L25">
        <f>IF(A25="","",IF(OR(G25="",J25="",K25="첫 응시(평가C)"),"",ROUND(G25-J25,1)))</f>
        <v/>
      </c>
      <c r="M25">
        <f>IF(A25="","",IF(OR(G25="",J25="",K25="첫 응시(평가C)"),"",IF(G25&gt;=HIGH_CUT,PTS_HIGH,IF(L25&gt;=STEP2,PTS_HIGH,IF(L25&gt;=STEP1,PTS_MID,PTS_LOW)))))</f>
        <v/>
      </c>
      <c r="N25">
        <f>IF(A25="","",IF(G25="","",IF(K25="첫 응시(평가C)","보류",IF(J25="","",IF(G25&gt;=HIGH_CUT,"숙달",IF(L25&gt;=STEP2,"향상",IF(L25&gt;=STEP1,"유지","보완 필요")))))))</f>
        <v/>
      </c>
      <c r="O25">
        <f>IF(A25="","",IF(AND(H25="응시",ISNUMBER(M25)),M25,""))</f>
        <v/>
      </c>
      <c r="P25">
        <f>IF(A25="","",IF(G25="","결석 - 기록 없음",IF(K25="첫 응시(평가C)","판정 보류 - 평가A·B가 없어 이번 결과가 기준점수",IF(J25="","기준점수 없음",IF(G25&gt;=HIGH_CUT,"숙달 - 이번 정답률이 숙달 기준 이상",IF(L25&gt;=STEP2,"향상 - 기준보다 크게 오름",IF(L25&gt;=STEP1,"유지 - 기준과 비슷함","보완 필요 - 기준보다 크게 내려감"))))))&amp;IF(H25="비경쟁 응시"," / 비경쟁: 팀 점수 제외",""))</f>
        <v/>
      </c>
      <c r="R25" s="3" t="n"/>
      <c r="S25" s="3" t="n"/>
      <c r="T25" s="3" t="n"/>
      <c r="U25" s="3" t="n"/>
      <c r="W25">
        <f>IF(UPPER(TRIM(R25&amp;""))="","",IF(RIGHT(UPPER(TRIM(R25&amp;"")),2)="-N",TRIM(LEFT(UPPER(TRIM(R25&amp;"")),LEN(UPPER(TRIM(R25&amp;"")))-2)),UPPER(TRIM(R25&amp;""))))</f>
        <v/>
      </c>
      <c r="X25">
        <f>IF(W25="","",IF(ISNUMBER(U25),ROUND(U25,1),IF(AND(ISNUMBER(S25),ISNUMBER(T25)),IF(T25&gt;0,ROUND(S25/T25*100,1),""),"")))</f>
        <v/>
      </c>
      <c r="Y25">
        <f>IF(W25="","",IF(RIGHT(UPPER(TRIM(R25&amp;"")),2)="-N","비경쟁",""))</f>
        <v/>
      </c>
      <c r="Z25">
        <f>IF(W25="","",IF(COUNTIF(참가자!$A$3:$A$52,W25)=0,"명단에 없는 코드",""))</f>
        <v/>
      </c>
      <c r="AA25">
        <f>IF(W25="","",IF(ISNUMBER(U25),ROUND(U25*EVAL_ITEMS/100,1),IF(AND(ISNUMBER(S25),ISNUMBER(T25)),IF(T25&gt;0,S25,""),"")))</f>
        <v/>
      </c>
    </row>
    <row r="26">
      <c r="A26">
        <f>IF(참가자!A26="","",UPPER(TRIM(참가자!A26)))</f>
        <v/>
      </c>
      <c r="B26">
        <f>IF(A26="","",IF(참가자!B26="","(팀 없음)",TRIM(참가자!B26)))</f>
        <v/>
      </c>
      <c r="C26">
        <f>IF(A26="","",평가A!C26)</f>
        <v/>
      </c>
      <c r="D26">
        <f>IF(A26="","",평가B!D26)</f>
        <v/>
      </c>
      <c r="E26">
        <f>IF(A26="","",IFERROR(INDEX($AA$3:$AA$102,MATCH(A26,$W$3:$W$102,0)),""))</f>
        <v/>
      </c>
      <c r="F26">
        <f>IF(A26="","",IF(OR(NOT(ISNUMBER(E26)),K26="첫 응시(평가C)",NOT(ISNUMBER(평가A!I26))),"",ROUND(E26-평가A!I26,1)))</f>
        <v/>
      </c>
      <c r="G26">
        <f>IF(A26="","",IFERROR(INDEX($X$3:$X$102,MATCH(A26,$W$3:$W$102,0)),""))</f>
        <v/>
      </c>
      <c r="H26">
        <f>IF(A26="","",IF(G26="","결석",IF(IFERROR(INDEX($Y$3:$Y$102,MATCH(A26,$W$3:$W$102,0)),"")="비경쟁","비경쟁 응시","응시")))</f>
        <v/>
      </c>
      <c r="I26">
        <f>IF(A26="","",IF(COUNTIF($W$3:$W$102,A26)&gt;1,"중복! 확인",""))</f>
        <v/>
      </c>
      <c r="J26">
        <f>IF(A26="","",평가A!G26)</f>
        <v/>
      </c>
      <c r="K26">
        <f>IF(A26="","",평가A!H26)</f>
        <v/>
      </c>
      <c r="L26">
        <f>IF(A26="","",IF(OR(G26="",J26="",K26="첫 응시(평가C)"),"",ROUND(G26-J26,1)))</f>
        <v/>
      </c>
      <c r="M26">
        <f>IF(A26="","",IF(OR(G26="",J26="",K26="첫 응시(평가C)"),"",IF(G26&gt;=HIGH_CUT,PTS_HIGH,IF(L26&gt;=STEP2,PTS_HIGH,IF(L26&gt;=STEP1,PTS_MID,PTS_LOW)))))</f>
        <v/>
      </c>
      <c r="N26">
        <f>IF(A26="","",IF(G26="","",IF(K26="첫 응시(평가C)","보류",IF(J26="","",IF(G26&gt;=HIGH_CUT,"숙달",IF(L26&gt;=STEP2,"향상",IF(L26&gt;=STEP1,"유지","보완 필요")))))))</f>
        <v/>
      </c>
      <c r="O26">
        <f>IF(A26="","",IF(AND(H26="응시",ISNUMBER(M26)),M26,""))</f>
        <v/>
      </c>
      <c r="P26">
        <f>IF(A26="","",IF(G26="","결석 - 기록 없음",IF(K26="첫 응시(평가C)","판정 보류 - 평가A·B가 없어 이번 결과가 기준점수",IF(J26="","기준점수 없음",IF(G26&gt;=HIGH_CUT,"숙달 - 이번 정답률이 숙달 기준 이상",IF(L26&gt;=STEP2,"향상 - 기준보다 크게 오름",IF(L26&gt;=STEP1,"유지 - 기준과 비슷함","보완 필요 - 기준보다 크게 내려감"))))))&amp;IF(H26="비경쟁 응시"," / 비경쟁: 팀 점수 제외",""))</f>
        <v/>
      </c>
      <c r="R26" s="3" t="n"/>
      <c r="S26" s="3" t="n"/>
      <c r="T26" s="3" t="n"/>
      <c r="U26" s="3" t="n"/>
      <c r="W26">
        <f>IF(UPPER(TRIM(R26&amp;""))="","",IF(RIGHT(UPPER(TRIM(R26&amp;"")),2)="-N",TRIM(LEFT(UPPER(TRIM(R26&amp;"")),LEN(UPPER(TRIM(R26&amp;"")))-2)),UPPER(TRIM(R26&amp;""))))</f>
        <v/>
      </c>
      <c r="X26">
        <f>IF(W26="","",IF(ISNUMBER(U26),ROUND(U26,1),IF(AND(ISNUMBER(S26),ISNUMBER(T26)),IF(T26&gt;0,ROUND(S26/T26*100,1),""),"")))</f>
        <v/>
      </c>
      <c r="Y26">
        <f>IF(W26="","",IF(RIGHT(UPPER(TRIM(R26&amp;"")),2)="-N","비경쟁",""))</f>
        <v/>
      </c>
      <c r="Z26">
        <f>IF(W26="","",IF(COUNTIF(참가자!$A$3:$A$52,W26)=0,"명단에 없는 코드",""))</f>
        <v/>
      </c>
      <c r="AA26">
        <f>IF(W26="","",IF(ISNUMBER(U26),ROUND(U26*EVAL_ITEMS/100,1),IF(AND(ISNUMBER(S26),ISNUMBER(T26)),IF(T26&gt;0,S26,""),"")))</f>
        <v/>
      </c>
    </row>
    <row r="27">
      <c r="A27">
        <f>IF(참가자!A27="","",UPPER(TRIM(참가자!A27)))</f>
        <v/>
      </c>
      <c r="B27">
        <f>IF(A27="","",IF(참가자!B27="","(팀 없음)",TRIM(참가자!B27)))</f>
        <v/>
      </c>
      <c r="C27">
        <f>IF(A27="","",평가A!C27)</f>
        <v/>
      </c>
      <c r="D27">
        <f>IF(A27="","",평가B!D27)</f>
        <v/>
      </c>
      <c r="E27">
        <f>IF(A27="","",IFERROR(INDEX($AA$3:$AA$102,MATCH(A27,$W$3:$W$102,0)),""))</f>
        <v/>
      </c>
      <c r="F27">
        <f>IF(A27="","",IF(OR(NOT(ISNUMBER(E27)),K27="첫 응시(평가C)",NOT(ISNUMBER(평가A!I27))),"",ROUND(E27-평가A!I27,1)))</f>
        <v/>
      </c>
      <c r="G27">
        <f>IF(A27="","",IFERROR(INDEX($X$3:$X$102,MATCH(A27,$W$3:$W$102,0)),""))</f>
        <v/>
      </c>
      <c r="H27">
        <f>IF(A27="","",IF(G27="","결석",IF(IFERROR(INDEX($Y$3:$Y$102,MATCH(A27,$W$3:$W$102,0)),"")="비경쟁","비경쟁 응시","응시")))</f>
        <v/>
      </c>
      <c r="I27">
        <f>IF(A27="","",IF(COUNTIF($W$3:$W$102,A27)&gt;1,"중복! 확인",""))</f>
        <v/>
      </c>
      <c r="J27">
        <f>IF(A27="","",평가A!G27)</f>
        <v/>
      </c>
      <c r="K27">
        <f>IF(A27="","",평가A!H27)</f>
        <v/>
      </c>
      <c r="L27">
        <f>IF(A27="","",IF(OR(G27="",J27="",K27="첫 응시(평가C)"),"",ROUND(G27-J27,1)))</f>
        <v/>
      </c>
      <c r="M27">
        <f>IF(A27="","",IF(OR(G27="",J27="",K27="첫 응시(평가C)"),"",IF(G27&gt;=HIGH_CUT,PTS_HIGH,IF(L27&gt;=STEP2,PTS_HIGH,IF(L27&gt;=STEP1,PTS_MID,PTS_LOW)))))</f>
        <v/>
      </c>
      <c r="N27">
        <f>IF(A27="","",IF(G27="","",IF(K27="첫 응시(평가C)","보류",IF(J27="","",IF(G27&gt;=HIGH_CUT,"숙달",IF(L27&gt;=STEP2,"향상",IF(L27&gt;=STEP1,"유지","보완 필요")))))))</f>
        <v/>
      </c>
      <c r="O27">
        <f>IF(A27="","",IF(AND(H27="응시",ISNUMBER(M27)),M27,""))</f>
        <v/>
      </c>
      <c r="P27">
        <f>IF(A27="","",IF(G27="","결석 - 기록 없음",IF(K27="첫 응시(평가C)","판정 보류 - 평가A·B가 없어 이번 결과가 기준점수",IF(J27="","기준점수 없음",IF(G27&gt;=HIGH_CUT,"숙달 - 이번 정답률이 숙달 기준 이상",IF(L27&gt;=STEP2,"향상 - 기준보다 크게 오름",IF(L27&gt;=STEP1,"유지 - 기준과 비슷함","보완 필요 - 기준보다 크게 내려감"))))))&amp;IF(H27="비경쟁 응시"," / 비경쟁: 팀 점수 제외",""))</f>
        <v/>
      </c>
      <c r="R27" s="3" t="n"/>
      <c r="S27" s="3" t="n"/>
      <c r="T27" s="3" t="n"/>
      <c r="U27" s="3" t="n"/>
      <c r="W27">
        <f>IF(UPPER(TRIM(R27&amp;""))="","",IF(RIGHT(UPPER(TRIM(R27&amp;"")),2)="-N",TRIM(LEFT(UPPER(TRIM(R27&amp;"")),LEN(UPPER(TRIM(R27&amp;"")))-2)),UPPER(TRIM(R27&amp;""))))</f>
        <v/>
      </c>
      <c r="X27">
        <f>IF(W27="","",IF(ISNUMBER(U27),ROUND(U27,1),IF(AND(ISNUMBER(S27),ISNUMBER(T27)),IF(T27&gt;0,ROUND(S27/T27*100,1),""),"")))</f>
        <v/>
      </c>
      <c r="Y27">
        <f>IF(W27="","",IF(RIGHT(UPPER(TRIM(R27&amp;"")),2)="-N","비경쟁",""))</f>
        <v/>
      </c>
      <c r="Z27">
        <f>IF(W27="","",IF(COUNTIF(참가자!$A$3:$A$52,W27)=0,"명단에 없는 코드",""))</f>
        <v/>
      </c>
      <c r="AA27">
        <f>IF(W27="","",IF(ISNUMBER(U27),ROUND(U27*EVAL_ITEMS/100,1),IF(AND(ISNUMBER(S27),ISNUMBER(T27)),IF(T27&gt;0,S27,""),"")))</f>
        <v/>
      </c>
    </row>
    <row r="28">
      <c r="A28">
        <f>IF(참가자!A28="","",UPPER(TRIM(참가자!A28)))</f>
        <v/>
      </c>
      <c r="B28">
        <f>IF(A28="","",IF(참가자!B28="","(팀 없음)",TRIM(참가자!B28)))</f>
        <v/>
      </c>
      <c r="C28">
        <f>IF(A28="","",평가A!C28)</f>
        <v/>
      </c>
      <c r="D28">
        <f>IF(A28="","",평가B!D28)</f>
        <v/>
      </c>
      <c r="E28">
        <f>IF(A28="","",IFERROR(INDEX($AA$3:$AA$102,MATCH(A28,$W$3:$W$102,0)),""))</f>
        <v/>
      </c>
      <c r="F28">
        <f>IF(A28="","",IF(OR(NOT(ISNUMBER(E28)),K28="첫 응시(평가C)",NOT(ISNUMBER(평가A!I28))),"",ROUND(E28-평가A!I28,1)))</f>
        <v/>
      </c>
      <c r="G28">
        <f>IF(A28="","",IFERROR(INDEX($X$3:$X$102,MATCH(A28,$W$3:$W$102,0)),""))</f>
        <v/>
      </c>
      <c r="H28">
        <f>IF(A28="","",IF(G28="","결석",IF(IFERROR(INDEX($Y$3:$Y$102,MATCH(A28,$W$3:$W$102,0)),"")="비경쟁","비경쟁 응시","응시")))</f>
        <v/>
      </c>
      <c r="I28">
        <f>IF(A28="","",IF(COUNTIF($W$3:$W$102,A28)&gt;1,"중복! 확인",""))</f>
        <v/>
      </c>
      <c r="J28">
        <f>IF(A28="","",평가A!G28)</f>
        <v/>
      </c>
      <c r="K28">
        <f>IF(A28="","",평가A!H28)</f>
        <v/>
      </c>
      <c r="L28">
        <f>IF(A28="","",IF(OR(G28="",J28="",K28="첫 응시(평가C)"),"",ROUND(G28-J28,1)))</f>
        <v/>
      </c>
      <c r="M28">
        <f>IF(A28="","",IF(OR(G28="",J28="",K28="첫 응시(평가C)"),"",IF(G28&gt;=HIGH_CUT,PTS_HIGH,IF(L28&gt;=STEP2,PTS_HIGH,IF(L28&gt;=STEP1,PTS_MID,PTS_LOW)))))</f>
        <v/>
      </c>
      <c r="N28">
        <f>IF(A28="","",IF(G28="","",IF(K28="첫 응시(평가C)","보류",IF(J28="","",IF(G28&gt;=HIGH_CUT,"숙달",IF(L28&gt;=STEP2,"향상",IF(L28&gt;=STEP1,"유지","보완 필요")))))))</f>
        <v/>
      </c>
      <c r="O28">
        <f>IF(A28="","",IF(AND(H28="응시",ISNUMBER(M28)),M28,""))</f>
        <v/>
      </c>
      <c r="P28">
        <f>IF(A28="","",IF(G28="","결석 - 기록 없음",IF(K28="첫 응시(평가C)","판정 보류 - 평가A·B가 없어 이번 결과가 기준점수",IF(J28="","기준점수 없음",IF(G28&gt;=HIGH_CUT,"숙달 - 이번 정답률이 숙달 기준 이상",IF(L28&gt;=STEP2,"향상 - 기준보다 크게 오름",IF(L28&gt;=STEP1,"유지 - 기준과 비슷함","보완 필요 - 기준보다 크게 내려감"))))))&amp;IF(H28="비경쟁 응시"," / 비경쟁: 팀 점수 제외",""))</f>
        <v/>
      </c>
      <c r="R28" s="3" t="n"/>
      <c r="S28" s="3" t="n"/>
      <c r="T28" s="3" t="n"/>
      <c r="U28" s="3" t="n"/>
      <c r="W28">
        <f>IF(UPPER(TRIM(R28&amp;""))="","",IF(RIGHT(UPPER(TRIM(R28&amp;"")),2)="-N",TRIM(LEFT(UPPER(TRIM(R28&amp;"")),LEN(UPPER(TRIM(R28&amp;"")))-2)),UPPER(TRIM(R28&amp;""))))</f>
        <v/>
      </c>
      <c r="X28">
        <f>IF(W28="","",IF(ISNUMBER(U28),ROUND(U28,1),IF(AND(ISNUMBER(S28),ISNUMBER(T28)),IF(T28&gt;0,ROUND(S28/T28*100,1),""),"")))</f>
        <v/>
      </c>
      <c r="Y28">
        <f>IF(W28="","",IF(RIGHT(UPPER(TRIM(R28&amp;"")),2)="-N","비경쟁",""))</f>
        <v/>
      </c>
      <c r="Z28">
        <f>IF(W28="","",IF(COUNTIF(참가자!$A$3:$A$52,W28)=0,"명단에 없는 코드",""))</f>
        <v/>
      </c>
      <c r="AA28">
        <f>IF(W28="","",IF(ISNUMBER(U28),ROUND(U28*EVAL_ITEMS/100,1),IF(AND(ISNUMBER(S28),ISNUMBER(T28)),IF(T28&gt;0,S28,""),"")))</f>
        <v/>
      </c>
    </row>
    <row r="29">
      <c r="A29">
        <f>IF(참가자!A29="","",UPPER(TRIM(참가자!A29)))</f>
        <v/>
      </c>
      <c r="B29">
        <f>IF(A29="","",IF(참가자!B29="","(팀 없음)",TRIM(참가자!B29)))</f>
        <v/>
      </c>
      <c r="C29">
        <f>IF(A29="","",평가A!C29)</f>
        <v/>
      </c>
      <c r="D29">
        <f>IF(A29="","",평가B!D29)</f>
        <v/>
      </c>
      <c r="E29">
        <f>IF(A29="","",IFERROR(INDEX($AA$3:$AA$102,MATCH(A29,$W$3:$W$102,0)),""))</f>
        <v/>
      </c>
      <c r="F29">
        <f>IF(A29="","",IF(OR(NOT(ISNUMBER(E29)),K29="첫 응시(평가C)",NOT(ISNUMBER(평가A!I29))),"",ROUND(E29-평가A!I29,1)))</f>
        <v/>
      </c>
      <c r="G29">
        <f>IF(A29="","",IFERROR(INDEX($X$3:$X$102,MATCH(A29,$W$3:$W$102,0)),""))</f>
        <v/>
      </c>
      <c r="H29">
        <f>IF(A29="","",IF(G29="","결석",IF(IFERROR(INDEX($Y$3:$Y$102,MATCH(A29,$W$3:$W$102,0)),"")="비경쟁","비경쟁 응시","응시")))</f>
        <v/>
      </c>
      <c r="I29">
        <f>IF(A29="","",IF(COUNTIF($W$3:$W$102,A29)&gt;1,"중복! 확인",""))</f>
        <v/>
      </c>
      <c r="J29">
        <f>IF(A29="","",평가A!G29)</f>
        <v/>
      </c>
      <c r="K29">
        <f>IF(A29="","",평가A!H29)</f>
        <v/>
      </c>
      <c r="L29">
        <f>IF(A29="","",IF(OR(G29="",J29="",K29="첫 응시(평가C)"),"",ROUND(G29-J29,1)))</f>
        <v/>
      </c>
      <c r="M29">
        <f>IF(A29="","",IF(OR(G29="",J29="",K29="첫 응시(평가C)"),"",IF(G29&gt;=HIGH_CUT,PTS_HIGH,IF(L29&gt;=STEP2,PTS_HIGH,IF(L29&gt;=STEP1,PTS_MID,PTS_LOW)))))</f>
        <v/>
      </c>
      <c r="N29">
        <f>IF(A29="","",IF(G29="","",IF(K29="첫 응시(평가C)","보류",IF(J29="","",IF(G29&gt;=HIGH_CUT,"숙달",IF(L29&gt;=STEP2,"향상",IF(L29&gt;=STEP1,"유지","보완 필요")))))))</f>
        <v/>
      </c>
      <c r="O29">
        <f>IF(A29="","",IF(AND(H29="응시",ISNUMBER(M29)),M29,""))</f>
        <v/>
      </c>
      <c r="P29">
        <f>IF(A29="","",IF(G29="","결석 - 기록 없음",IF(K29="첫 응시(평가C)","판정 보류 - 평가A·B가 없어 이번 결과가 기준점수",IF(J29="","기준점수 없음",IF(G29&gt;=HIGH_CUT,"숙달 - 이번 정답률이 숙달 기준 이상",IF(L29&gt;=STEP2,"향상 - 기준보다 크게 오름",IF(L29&gt;=STEP1,"유지 - 기준과 비슷함","보완 필요 - 기준보다 크게 내려감"))))))&amp;IF(H29="비경쟁 응시"," / 비경쟁: 팀 점수 제외",""))</f>
        <v/>
      </c>
      <c r="R29" s="3" t="n"/>
      <c r="S29" s="3" t="n"/>
      <c r="T29" s="3" t="n"/>
      <c r="U29" s="3" t="n"/>
      <c r="W29">
        <f>IF(UPPER(TRIM(R29&amp;""))="","",IF(RIGHT(UPPER(TRIM(R29&amp;"")),2)="-N",TRIM(LEFT(UPPER(TRIM(R29&amp;"")),LEN(UPPER(TRIM(R29&amp;"")))-2)),UPPER(TRIM(R29&amp;""))))</f>
        <v/>
      </c>
      <c r="X29">
        <f>IF(W29="","",IF(ISNUMBER(U29),ROUND(U29,1),IF(AND(ISNUMBER(S29),ISNUMBER(T29)),IF(T29&gt;0,ROUND(S29/T29*100,1),""),"")))</f>
        <v/>
      </c>
      <c r="Y29">
        <f>IF(W29="","",IF(RIGHT(UPPER(TRIM(R29&amp;"")),2)="-N","비경쟁",""))</f>
        <v/>
      </c>
      <c r="Z29">
        <f>IF(W29="","",IF(COUNTIF(참가자!$A$3:$A$52,W29)=0,"명단에 없는 코드",""))</f>
        <v/>
      </c>
      <c r="AA29">
        <f>IF(W29="","",IF(ISNUMBER(U29),ROUND(U29*EVAL_ITEMS/100,1),IF(AND(ISNUMBER(S29),ISNUMBER(T29)),IF(T29&gt;0,S29,""),"")))</f>
        <v/>
      </c>
    </row>
    <row r="30">
      <c r="A30">
        <f>IF(참가자!A30="","",UPPER(TRIM(참가자!A30)))</f>
        <v/>
      </c>
      <c r="B30">
        <f>IF(A30="","",IF(참가자!B30="","(팀 없음)",TRIM(참가자!B30)))</f>
        <v/>
      </c>
      <c r="C30">
        <f>IF(A30="","",평가A!C30)</f>
        <v/>
      </c>
      <c r="D30">
        <f>IF(A30="","",평가B!D30)</f>
        <v/>
      </c>
      <c r="E30">
        <f>IF(A30="","",IFERROR(INDEX($AA$3:$AA$102,MATCH(A30,$W$3:$W$102,0)),""))</f>
        <v/>
      </c>
      <c r="F30">
        <f>IF(A30="","",IF(OR(NOT(ISNUMBER(E30)),K30="첫 응시(평가C)",NOT(ISNUMBER(평가A!I30))),"",ROUND(E30-평가A!I30,1)))</f>
        <v/>
      </c>
      <c r="G30">
        <f>IF(A30="","",IFERROR(INDEX($X$3:$X$102,MATCH(A30,$W$3:$W$102,0)),""))</f>
        <v/>
      </c>
      <c r="H30">
        <f>IF(A30="","",IF(G30="","결석",IF(IFERROR(INDEX($Y$3:$Y$102,MATCH(A30,$W$3:$W$102,0)),"")="비경쟁","비경쟁 응시","응시")))</f>
        <v/>
      </c>
      <c r="I30">
        <f>IF(A30="","",IF(COUNTIF($W$3:$W$102,A30)&gt;1,"중복! 확인",""))</f>
        <v/>
      </c>
      <c r="J30">
        <f>IF(A30="","",평가A!G30)</f>
        <v/>
      </c>
      <c r="K30">
        <f>IF(A30="","",평가A!H30)</f>
        <v/>
      </c>
      <c r="L30">
        <f>IF(A30="","",IF(OR(G30="",J30="",K30="첫 응시(평가C)"),"",ROUND(G30-J30,1)))</f>
        <v/>
      </c>
      <c r="M30">
        <f>IF(A30="","",IF(OR(G30="",J30="",K30="첫 응시(평가C)"),"",IF(G30&gt;=HIGH_CUT,PTS_HIGH,IF(L30&gt;=STEP2,PTS_HIGH,IF(L30&gt;=STEP1,PTS_MID,PTS_LOW)))))</f>
        <v/>
      </c>
      <c r="N30">
        <f>IF(A30="","",IF(G30="","",IF(K30="첫 응시(평가C)","보류",IF(J30="","",IF(G30&gt;=HIGH_CUT,"숙달",IF(L30&gt;=STEP2,"향상",IF(L30&gt;=STEP1,"유지","보완 필요")))))))</f>
        <v/>
      </c>
      <c r="O30">
        <f>IF(A30="","",IF(AND(H30="응시",ISNUMBER(M30)),M30,""))</f>
        <v/>
      </c>
      <c r="P30">
        <f>IF(A30="","",IF(G30="","결석 - 기록 없음",IF(K30="첫 응시(평가C)","판정 보류 - 평가A·B가 없어 이번 결과가 기준점수",IF(J30="","기준점수 없음",IF(G30&gt;=HIGH_CUT,"숙달 - 이번 정답률이 숙달 기준 이상",IF(L30&gt;=STEP2,"향상 - 기준보다 크게 오름",IF(L30&gt;=STEP1,"유지 - 기준과 비슷함","보완 필요 - 기준보다 크게 내려감"))))))&amp;IF(H30="비경쟁 응시"," / 비경쟁: 팀 점수 제외",""))</f>
        <v/>
      </c>
      <c r="R30" s="3" t="n"/>
      <c r="S30" s="3" t="n"/>
      <c r="T30" s="3" t="n"/>
      <c r="U30" s="3" t="n"/>
      <c r="W30">
        <f>IF(UPPER(TRIM(R30&amp;""))="","",IF(RIGHT(UPPER(TRIM(R30&amp;"")),2)="-N",TRIM(LEFT(UPPER(TRIM(R30&amp;"")),LEN(UPPER(TRIM(R30&amp;"")))-2)),UPPER(TRIM(R30&amp;""))))</f>
        <v/>
      </c>
      <c r="X30">
        <f>IF(W30="","",IF(ISNUMBER(U30),ROUND(U30,1),IF(AND(ISNUMBER(S30),ISNUMBER(T30)),IF(T30&gt;0,ROUND(S30/T30*100,1),""),"")))</f>
        <v/>
      </c>
      <c r="Y30">
        <f>IF(W30="","",IF(RIGHT(UPPER(TRIM(R30&amp;"")),2)="-N","비경쟁",""))</f>
        <v/>
      </c>
      <c r="Z30">
        <f>IF(W30="","",IF(COUNTIF(참가자!$A$3:$A$52,W30)=0,"명단에 없는 코드",""))</f>
        <v/>
      </c>
      <c r="AA30">
        <f>IF(W30="","",IF(ISNUMBER(U30),ROUND(U30*EVAL_ITEMS/100,1),IF(AND(ISNUMBER(S30),ISNUMBER(T30)),IF(T30&gt;0,S30,""),"")))</f>
        <v/>
      </c>
    </row>
    <row r="31">
      <c r="A31">
        <f>IF(참가자!A31="","",UPPER(TRIM(참가자!A31)))</f>
        <v/>
      </c>
      <c r="B31">
        <f>IF(A31="","",IF(참가자!B31="","(팀 없음)",TRIM(참가자!B31)))</f>
        <v/>
      </c>
      <c r="C31">
        <f>IF(A31="","",평가A!C31)</f>
        <v/>
      </c>
      <c r="D31">
        <f>IF(A31="","",평가B!D31)</f>
        <v/>
      </c>
      <c r="E31">
        <f>IF(A31="","",IFERROR(INDEX($AA$3:$AA$102,MATCH(A31,$W$3:$W$102,0)),""))</f>
        <v/>
      </c>
      <c r="F31">
        <f>IF(A31="","",IF(OR(NOT(ISNUMBER(E31)),K31="첫 응시(평가C)",NOT(ISNUMBER(평가A!I31))),"",ROUND(E31-평가A!I31,1)))</f>
        <v/>
      </c>
      <c r="G31">
        <f>IF(A31="","",IFERROR(INDEX($X$3:$X$102,MATCH(A31,$W$3:$W$102,0)),""))</f>
        <v/>
      </c>
      <c r="H31">
        <f>IF(A31="","",IF(G31="","결석",IF(IFERROR(INDEX($Y$3:$Y$102,MATCH(A31,$W$3:$W$102,0)),"")="비경쟁","비경쟁 응시","응시")))</f>
        <v/>
      </c>
      <c r="I31">
        <f>IF(A31="","",IF(COUNTIF($W$3:$W$102,A31)&gt;1,"중복! 확인",""))</f>
        <v/>
      </c>
      <c r="J31">
        <f>IF(A31="","",평가A!G31)</f>
        <v/>
      </c>
      <c r="K31">
        <f>IF(A31="","",평가A!H31)</f>
        <v/>
      </c>
      <c r="L31">
        <f>IF(A31="","",IF(OR(G31="",J31="",K31="첫 응시(평가C)"),"",ROUND(G31-J31,1)))</f>
        <v/>
      </c>
      <c r="M31">
        <f>IF(A31="","",IF(OR(G31="",J31="",K31="첫 응시(평가C)"),"",IF(G31&gt;=HIGH_CUT,PTS_HIGH,IF(L31&gt;=STEP2,PTS_HIGH,IF(L31&gt;=STEP1,PTS_MID,PTS_LOW)))))</f>
        <v/>
      </c>
      <c r="N31">
        <f>IF(A31="","",IF(G31="","",IF(K31="첫 응시(평가C)","보류",IF(J31="","",IF(G31&gt;=HIGH_CUT,"숙달",IF(L31&gt;=STEP2,"향상",IF(L31&gt;=STEP1,"유지","보완 필요")))))))</f>
        <v/>
      </c>
      <c r="O31">
        <f>IF(A31="","",IF(AND(H31="응시",ISNUMBER(M31)),M31,""))</f>
        <v/>
      </c>
      <c r="P31">
        <f>IF(A31="","",IF(G31="","결석 - 기록 없음",IF(K31="첫 응시(평가C)","판정 보류 - 평가A·B가 없어 이번 결과가 기준점수",IF(J31="","기준점수 없음",IF(G31&gt;=HIGH_CUT,"숙달 - 이번 정답률이 숙달 기준 이상",IF(L31&gt;=STEP2,"향상 - 기준보다 크게 오름",IF(L31&gt;=STEP1,"유지 - 기준과 비슷함","보완 필요 - 기준보다 크게 내려감"))))))&amp;IF(H31="비경쟁 응시"," / 비경쟁: 팀 점수 제외",""))</f>
        <v/>
      </c>
      <c r="R31" s="3" t="n"/>
      <c r="S31" s="3" t="n"/>
      <c r="T31" s="3" t="n"/>
      <c r="U31" s="3" t="n"/>
      <c r="W31">
        <f>IF(UPPER(TRIM(R31&amp;""))="","",IF(RIGHT(UPPER(TRIM(R31&amp;"")),2)="-N",TRIM(LEFT(UPPER(TRIM(R31&amp;"")),LEN(UPPER(TRIM(R31&amp;"")))-2)),UPPER(TRIM(R31&amp;""))))</f>
        <v/>
      </c>
      <c r="X31">
        <f>IF(W31="","",IF(ISNUMBER(U31),ROUND(U31,1),IF(AND(ISNUMBER(S31),ISNUMBER(T31)),IF(T31&gt;0,ROUND(S31/T31*100,1),""),"")))</f>
        <v/>
      </c>
      <c r="Y31">
        <f>IF(W31="","",IF(RIGHT(UPPER(TRIM(R31&amp;"")),2)="-N","비경쟁",""))</f>
        <v/>
      </c>
      <c r="Z31">
        <f>IF(W31="","",IF(COUNTIF(참가자!$A$3:$A$52,W31)=0,"명단에 없는 코드",""))</f>
        <v/>
      </c>
      <c r="AA31">
        <f>IF(W31="","",IF(ISNUMBER(U31),ROUND(U31*EVAL_ITEMS/100,1),IF(AND(ISNUMBER(S31),ISNUMBER(T31)),IF(T31&gt;0,S31,""),"")))</f>
        <v/>
      </c>
    </row>
    <row r="32">
      <c r="A32">
        <f>IF(참가자!A32="","",UPPER(TRIM(참가자!A32)))</f>
        <v/>
      </c>
      <c r="B32">
        <f>IF(A32="","",IF(참가자!B32="","(팀 없음)",TRIM(참가자!B32)))</f>
        <v/>
      </c>
      <c r="C32">
        <f>IF(A32="","",평가A!C32)</f>
        <v/>
      </c>
      <c r="D32">
        <f>IF(A32="","",평가B!D32)</f>
        <v/>
      </c>
      <c r="E32">
        <f>IF(A32="","",IFERROR(INDEX($AA$3:$AA$102,MATCH(A32,$W$3:$W$102,0)),""))</f>
        <v/>
      </c>
      <c r="F32">
        <f>IF(A32="","",IF(OR(NOT(ISNUMBER(E32)),K32="첫 응시(평가C)",NOT(ISNUMBER(평가A!I32))),"",ROUND(E32-평가A!I32,1)))</f>
        <v/>
      </c>
      <c r="G32">
        <f>IF(A32="","",IFERROR(INDEX($X$3:$X$102,MATCH(A32,$W$3:$W$102,0)),""))</f>
        <v/>
      </c>
      <c r="H32">
        <f>IF(A32="","",IF(G32="","결석",IF(IFERROR(INDEX($Y$3:$Y$102,MATCH(A32,$W$3:$W$102,0)),"")="비경쟁","비경쟁 응시","응시")))</f>
        <v/>
      </c>
      <c r="I32">
        <f>IF(A32="","",IF(COUNTIF($W$3:$W$102,A32)&gt;1,"중복! 확인",""))</f>
        <v/>
      </c>
      <c r="J32">
        <f>IF(A32="","",평가A!G32)</f>
        <v/>
      </c>
      <c r="K32">
        <f>IF(A32="","",평가A!H32)</f>
        <v/>
      </c>
      <c r="L32">
        <f>IF(A32="","",IF(OR(G32="",J32="",K32="첫 응시(평가C)"),"",ROUND(G32-J32,1)))</f>
        <v/>
      </c>
      <c r="M32">
        <f>IF(A32="","",IF(OR(G32="",J32="",K32="첫 응시(평가C)"),"",IF(G32&gt;=HIGH_CUT,PTS_HIGH,IF(L32&gt;=STEP2,PTS_HIGH,IF(L32&gt;=STEP1,PTS_MID,PTS_LOW)))))</f>
        <v/>
      </c>
      <c r="N32">
        <f>IF(A32="","",IF(G32="","",IF(K32="첫 응시(평가C)","보류",IF(J32="","",IF(G32&gt;=HIGH_CUT,"숙달",IF(L32&gt;=STEP2,"향상",IF(L32&gt;=STEP1,"유지","보완 필요")))))))</f>
        <v/>
      </c>
      <c r="O32">
        <f>IF(A32="","",IF(AND(H32="응시",ISNUMBER(M32)),M32,""))</f>
        <v/>
      </c>
      <c r="P32">
        <f>IF(A32="","",IF(G32="","결석 - 기록 없음",IF(K32="첫 응시(평가C)","판정 보류 - 평가A·B가 없어 이번 결과가 기준점수",IF(J32="","기준점수 없음",IF(G32&gt;=HIGH_CUT,"숙달 - 이번 정답률이 숙달 기준 이상",IF(L32&gt;=STEP2,"향상 - 기준보다 크게 오름",IF(L32&gt;=STEP1,"유지 - 기준과 비슷함","보완 필요 - 기준보다 크게 내려감"))))))&amp;IF(H32="비경쟁 응시"," / 비경쟁: 팀 점수 제외",""))</f>
        <v/>
      </c>
      <c r="R32" s="3" t="n"/>
      <c r="S32" s="3" t="n"/>
      <c r="T32" s="3" t="n"/>
      <c r="U32" s="3" t="n"/>
      <c r="W32">
        <f>IF(UPPER(TRIM(R32&amp;""))="","",IF(RIGHT(UPPER(TRIM(R32&amp;"")),2)="-N",TRIM(LEFT(UPPER(TRIM(R32&amp;"")),LEN(UPPER(TRIM(R32&amp;"")))-2)),UPPER(TRIM(R32&amp;""))))</f>
        <v/>
      </c>
      <c r="X32">
        <f>IF(W32="","",IF(ISNUMBER(U32),ROUND(U32,1),IF(AND(ISNUMBER(S32),ISNUMBER(T32)),IF(T32&gt;0,ROUND(S32/T32*100,1),""),"")))</f>
        <v/>
      </c>
      <c r="Y32">
        <f>IF(W32="","",IF(RIGHT(UPPER(TRIM(R32&amp;"")),2)="-N","비경쟁",""))</f>
        <v/>
      </c>
      <c r="Z32">
        <f>IF(W32="","",IF(COUNTIF(참가자!$A$3:$A$52,W32)=0,"명단에 없는 코드",""))</f>
        <v/>
      </c>
      <c r="AA32">
        <f>IF(W32="","",IF(ISNUMBER(U32),ROUND(U32*EVAL_ITEMS/100,1),IF(AND(ISNUMBER(S32),ISNUMBER(T32)),IF(T32&gt;0,S32,""),"")))</f>
        <v/>
      </c>
    </row>
    <row r="33">
      <c r="A33">
        <f>IF(참가자!A33="","",UPPER(TRIM(참가자!A33)))</f>
        <v/>
      </c>
      <c r="B33">
        <f>IF(A33="","",IF(참가자!B33="","(팀 없음)",TRIM(참가자!B33)))</f>
        <v/>
      </c>
      <c r="C33">
        <f>IF(A33="","",평가A!C33)</f>
        <v/>
      </c>
      <c r="D33">
        <f>IF(A33="","",평가B!D33)</f>
        <v/>
      </c>
      <c r="E33">
        <f>IF(A33="","",IFERROR(INDEX($AA$3:$AA$102,MATCH(A33,$W$3:$W$102,0)),""))</f>
        <v/>
      </c>
      <c r="F33">
        <f>IF(A33="","",IF(OR(NOT(ISNUMBER(E33)),K33="첫 응시(평가C)",NOT(ISNUMBER(평가A!I33))),"",ROUND(E33-평가A!I33,1)))</f>
        <v/>
      </c>
      <c r="G33">
        <f>IF(A33="","",IFERROR(INDEX($X$3:$X$102,MATCH(A33,$W$3:$W$102,0)),""))</f>
        <v/>
      </c>
      <c r="H33">
        <f>IF(A33="","",IF(G33="","결석",IF(IFERROR(INDEX($Y$3:$Y$102,MATCH(A33,$W$3:$W$102,0)),"")="비경쟁","비경쟁 응시","응시")))</f>
        <v/>
      </c>
      <c r="I33">
        <f>IF(A33="","",IF(COUNTIF($W$3:$W$102,A33)&gt;1,"중복! 확인",""))</f>
        <v/>
      </c>
      <c r="J33">
        <f>IF(A33="","",평가A!G33)</f>
        <v/>
      </c>
      <c r="K33">
        <f>IF(A33="","",평가A!H33)</f>
        <v/>
      </c>
      <c r="L33">
        <f>IF(A33="","",IF(OR(G33="",J33="",K33="첫 응시(평가C)"),"",ROUND(G33-J33,1)))</f>
        <v/>
      </c>
      <c r="M33">
        <f>IF(A33="","",IF(OR(G33="",J33="",K33="첫 응시(평가C)"),"",IF(G33&gt;=HIGH_CUT,PTS_HIGH,IF(L33&gt;=STEP2,PTS_HIGH,IF(L33&gt;=STEP1,PTS_MID,PTS_LOW)))))</f>
        <v/>
      </c>
      <c r="N33">
        <f>IF(A33="","",IF(G33="","",IF(K33="첫 응시(평가C)","보류",IF(J33="","",IF(G33&gt;=HIGH_CUT,"숙달",IF(L33&gt;=STEP2,"향상",IF(L33&gt;=STEP1,"유지","보완 필요")))))))</f>
        <v/>
      </c>
      <c r="O33">
        <f>IF(A33="","",IF(AND(H33="응시",ISNUMBER(M33)),M33,""))</f>
        <v/>
      </c>
      <c r="P33">
        <f>IF(A33="","",IF(G33="","결석 - 기록 없음",IF(K33="첫 응시(평가C)","판정 보류 - 평가A·B가 없어 이번 결과가 기준점수",IF(J33="","기준점수 없음",IF(G33&gt;=HIGH_CUT,"숙달 - 이번 정답률이 숙달 기준 이상",IF(L33&gt;=STEP2,"향상 - 기준보다 크게 오름",IF(L33&gt;=STEP1,"유지 - 기준과 비슷함","보완 필요 - 기준보다 크게 내려감"))))))&amp;IF(H33="비경쟁 응시"," / 비경쟁: 팀 점수 제외",""))</f>
        <v/>
      </c>
      <c r="R33" s="3" t="n"/>
      <c r="S33" s="3" t="n"/>
      <c r="T33" s="3" t="n"/>
      <c r="U33" s="3" t="n"/>
      <c r="W33">
        <f>IF(UPPER(TRIM(R33&amp;""))="","",IF(RIGHT(UPPER(TRIM(R33&amp;"")),2)="-N",TRIM(LEFT(UPPER(TRIM(R33&amp;"")),LEN(UPPER(TRIM(R33&amp;"")))-2)),UPPER(TRIM(R33&amp;""))))</f>
        <v/>
      </c>
      <c r="X33">
        <f>IF(W33="","",IF(ISNUMBER(U33),ROUND(U33,1),IF(AND(ISNUMBER(S33),ISNUMBER(T33)),IF(T33&gt;0,ROUND(S33/T33*100,1),""),"")))</f>
        <v/>
      </c>
      <c r="Y33">
        <f>IF(W33="","",IF(RIGHT(UPPER(TRIM(R33&amp;"")),2)="-N","비경쟁",""))</f>
        <v/>
      </c>
      <c r="Z33">
        <f>IF(W33="","",IF(COUNTIF(참가자!$A$3:$A$52,W33)=0,"명단에 없는 코드",""))</f>
        <v/>
      </c>
      <c r="AA33">
        <f>IF(W33="","",IF(ISNUMBER(U33),ROUND(U33*EVAL_ITEMS/100,1),IF(AND(ISNUMBER(S33),ISNUMBER(T33)),IF(T33&gt;0,S33,""),"")))</f>
        <v/>
      </c>
    </row>
    <row r="34">
      <c r="A34">
        <f>IF(참가자!A34="","",UPPER(TRIM(참가자!A34)))</f>
        <v/>
      </c>
      <c r="B34">
        <f>IF(A34="","",IF(참가자!B34="","(팀 없음)",TRIM(참가자!B34)))</f>
        <v/>
      </c>
      <c r="C34">
        <f>IF(A34="","",평가A!C34)</f>
        <v/>
      </c>
      <c r="D34">
        <f>IF(A34="","",평가B!D34)</f>
        <v/>
      </c>
      <c r="E34">
        <f>IF(A34="","",IFERROR(INDEX($AA$3:$AA$102,MATCH(A34,$W$3:$W$102,0)),""))</f>
        <v/>
      </c>
      <c r="F34">
        <f>IF(A34="","",IF(OR(NOT(ISNUMBER(E34)),K34="첫 응시(평가C)",NOT(ISNUMBER(평가A!I34))),"",ROUND(E34-평가A!I34,1)))</f>
        <v/>
      </c>
      <c r="G34">
        <f>IF(A34="","",IFERROR(INDEX($X$3:$X$102,MATCH(A34,$W$3:$W$102,0)),""))</f>
        <v/>
      </c>
      <c r="H34">
        <f>IF(A34="","",IF(G34="","결석",IF(IFERROR(INDEX($Y$3:$Y$102,MATCH(A34,$W$3:$W$102,0)),"")="비경쟁","비경쟁 응시","응시")))</f>
        <v/>
      </c>
      <c r="I34">
        <f>IF(A34="","",IF(COUNTIF($W$3:$W$102,A34)&gt;1,"중복! 확인",""))</f>
        <v/>
      </c>
      <c r="J34">
        <f>IF(A34="","",평가A!G34)</f>
        <v/>
      </c>
      <c r="K34">
        <f>IF(A34="","",평가A!H34)</f>
        <v/>
      </c>
      <c r="L34">
        <f>IF(A34="","",IF(OR(G34="",J34="",K34="첫 응시(평가C)"),"",ROUND(G34-J34,1)))</f>
        <v/>
      </c>
      <c r="M34">
        <f>IF(A34="","",IF(OR(G34="",J34="",K34="첫 응시(평가C)"),"",IF(G34&gt;=HIGH_CUT,PTS_HIGH,IF(L34&gt;=STEP2,PTS_HIGH,IF(L34&gt;=STEP1,PTS_MID,PTS_LOW)))))</f>
        <v/>
      </c>
      <c r="N34">
        <f>IF(A34="","",IF(G34="","",IF(K34="첫 응시(평가C)","보류",IF(J34="","",IF(G34&gt;=HIGH_CUT,"숙달",IF(L34&gt;=STEP2,"향상",IF(L34&gt;=STEP1,"유지","보완 필요")))))))</f>
        <v/>
      </c>
      <c r="O34">
        <f>IF(A34="","",IF(AND(H34="응시",ISNUMBER(M34)),M34,""))</f>
        <v/>
      </c>
      <c r="P34">
        <f>IF(A34="","",IF(G34="","결석 - 기록 없음",IF(K34="첫 응시(평가C)","판정 보류 - 평가A·B가 없어 이번 결과가 기준점수",IF(J34="","기준점수 없음",IF(G34&gt;=HIGH_CUT,"숙달 - 이번 정답률이 숙달 기준 이상",IF(L34&gt;=STEP2,"향상 - 기준보다 크게 오름",IF(L34&gt;=STEP1,"유지 - 기준과 비슷함","보완 필요 - 기준보다 크게 내려감"))))))&amp;IF(H34="비경쟁 응시"," / 비경쟁: 팀 점수 제외",""))</f>
        <v/>
      </c>
      <c r="R34" s="3" t="n"/>
      <c r="S34" s="3" t="n"/>
      <c r="T34" s="3" t="n"/>
      <c r="U34" s="3" t="n"/>
      <c r="W34">
        <f>IF(UPPER(TRIM(R34&amp;""))="","",IF(RIGHT(UPPER(TRIM(R34&amp;"")),2)="-N",TRIM(LEFT(UPPER(TRIM(R34&amp;"")),LEN(UPPER(TRIM(R34&amp;"")))-2)),UPPER(TRIM(R34&amp;""))))</f>
        <v/>
      </c>
      <c r="X34">
        <f>IF(W34="","",IF(ISNUMBER(U34),ROUND(U34,1),IF(AND(ISNUMBER(S34),ISNUMBER(T34)),IF(T34&gt;0,ROUND(S34/T34*100,1),""),"")))</f>
        <v/>
      </c>
      <c r="Y34">
        <f>IF(W34="","",IF(RIGHT(UPPER(TRIM(R34&amp;"")),2)="-N","비경쟁",""))</f>
        <v/>
      </c>
      <c r="Z34">
        <f>IF(W34="","",IF(COUNTIF(참가자!$A$3:$A$52,W34)=0,"명단에 없는 코드",""))</f>
        <v/>
      </c>
      <c r="AA34">
        <f>IF(W34="","",IF(ISNUMBER(U34),ROUND(U34*EVAL_ITEMS/100,1),IF(AND(ISNUMBER(S34),ISNUMBER(T34)),IF(T34&gt;0,S34,""),"")))</f>
        <v/>
      </c>
    </row>
    <row r="35">
      <c r="A35">
        <f>IF(참가자!A35="","",UPPER(TRIM(참가자!A35)))</f>
        <v/>
      </c>
      <c r="B35">
        <f>IF(A35="","",IF(참가자!B35="","(팀 없음)",TRIM(참가자!B35)))</f>
        <v/>
      </c>
      <c r="C35">
        <f>IF(A35="","",평가A!C35)</f>
        <v/>
      </c>
      <c r="D35">
        <f>IF(A35="","",평가B!D35)</f>
        <v/>
      </c>
      <c r="E35">
        <f>IF(A35="","",IFERROR(INDEX($AA$3:$AA$102,MATCH(A35,$W$3:$W$102,0)),""))</f>
        <v/>
      </c>
      <c r="F35">
        <f>IF(A35="","",IF(OR(NOT(ISNUMBER(E35)),K35="첫 응시(평가C)",NOT(ISNUMBER(평가A!I35))),"",ROUND(E35-평가A!I35,1)))</f>
        <v/>
      </c>
      <c r="G35">
        <f>IF(A35="","",IFERROR(INDEX($X$3:$X$102,MATCH(A35,$W$3:$W$102,0)),""))</f>
        <v/>
      </c>
      <c r="H35">
        <f>IF(A35="","",IF(G35="","결석",IF(IFERROR(INDEX($Y$3:$Y$102,MATCH(A35,$W$3:$W$102,0)),"")="비경쟁","비경쟁 응시","응시")))</f>
        <v/>
      </c>
      <c r="I35">
        <f>IF(A35="","",IF(COUNTIF($W$3:$W$102,A35)&gt;1,"중복! 확인",""))</f>
        <v/>
      </c>
      <c r="J35">
        <f>IF(A35="","",평가A!G35)</f>
        <v/>
      </c>
      <c r="K35">
        <f>IF(A35="","",평가A!H35)</f>
        <v/>
      </c>
      <c r="L35">
        <f>IF(A35="","",IF(OR(G35="",J35="",K35="첫 응시(평가C)"),"",ROUND(G35-J35,1)))</f>
        <v/>
      </c>
      <c r="M35">
        <f>IF(A35="","",IF(OR(G35="",J35="",K35="첫 응시(평가C)"),"",IF(G35&gt;=HIGH_CUT,PTS_HIGH,IF(L35&gt;=STEP2,PTS_HIGH,IF(L35&gt;=STEP1,PTS_MID,PTS_LOW)))))</f>
        <v/>
      </c>
      <c r="N35">
        <f>IF(A35="","",IF(G35="","",IF(K35="첫 응시(평가C)","보류",IF(J35="","",IF(G35&gt;=HIGH_CUT,"숙달",IF(L35&gt;=STEP2,"향상",IF(L35&gt;=STEP1,"유지","보완 필요")))))))</f>
        <v/>
      </c>
      <c r="O35">
        <f>IF(A35="","",IF(AND(H35="응시",ISNUMBER(M35)),M35,""))</f>
        <v/>
      </c>
      <c r="P35">
        <f>IF(A35="","",IF(G35="","결석 - 기록 없음",IF(K35="첫 응시(평가C)","판정 보류 - 평가A·B가 없어 이번 결과가 기준점수",IF(J35="","기준점수 없음",IF(G35&gt;=HIGH_CUT,"숙달 - 이번 정답률이 숙달 기준 이상",IF(L35&gt;=STEP2,"향상 - 기준보다 크게 오름",IF(L35&gt;=STEP1,"유지 - 기준과 비슷함","보완 필요 - 기준보다 크게 내려감"))))))&amp;IF(H35="비경쟁 응시"," / 비경쟁: 팀 점수 제외",""))</f>
        <v/>
      </c>
      <c r="R35" s="3" t="n"/>
      <c r="S35" s="3" t="n"/>
      <c r="T35" s="3" t="n"/>
      <c r="U35" s="3" t="n"/>
      <c r="W35">
        <f>IF(UPPER(TRIM(R35&amp;""))="","",IF(RIGHT(UPPER(TRIM(R35&amp;"")),2)="-N",TRIM(LEFT(UPPER(TRIM(R35&amp;"")),LEN(UPPER(TRIM(R35&amp;"")))-2)),UPPER(TRIM(R35&amp;""))))</f>
        <v/>
      </c>
      <c r="X35">
        <f>IF(W35="","",IF(ISNUMBER(U35),ROUND(U35,1),IF(AND(ISNUMBER(S35),ISNUMBER(T35)),IF(T35&gt;0,ROUND(S35/T35*100,1),""),"")))</f>
        <v/>
      </c>
      <c r="Y35">
        <f>IF(W35="","",IF(RIGHT(UPPER(TRIM(R35&amp;"")),2)="-N","비경쟁",""))</f>
        <v/>
      </c>
      <c r="Z35">
        <f>IF(W35="","",IF(COUNTIF(참가자!$A$3:$A$52,W35)=0,"명단에 없는 코드",""))</f>
        <v/>
      </c>
      <c r="AA35">
        <f>IF(W35="","",IF(ISNUMBER(U35),ROUND(U35*EVAL_ITEMS/100,1),IF(AND(ISNUMBER(S35),ISNUMBER(T35)),IF(T35&gt;0,S35,""),"")))</f>
        <v/>
      </c>
    </row>
    <row r="36">
      <c r="A36">
        <f>IF(참가자!A36="","",UPPER(TRIM(참가자!A36)))</f>
        <v/>
      </c>
      <c r="B36">
        <f>IF(A36="","",IF(참가자!B36="","(팀 없음)",TRIM(참가자!B36)))</f>
        <v/>
      </c>
      <c r="C36">
        <f>IF(A36="","",평가A!C36)</f>
        <v/>
      </c>
      <c r="D36">
        <f>IF(A36="","",평가B!D36)</f>
        <v/>
      </c>
      <c r="E36">
        <f>IF(A36="","",IFERROR(INDEX($AA$3:$AA$102,MATCH(A36,$W$3:$W$102,0)),""))</f>
        <v/>
      </c>
      <c r="F36">
        <f>IF(A36="","",IF(OR(NOT(ISNUMBER(E36)),K36="첫 응시(평가C)",NOT(ISNUMBER(평가A!I36))),"",ROUND(E36-평가A!I36,1)))</f>
        <v/>
      </c>
      <c r="G36">
        <f>IF(A36="","",IFERROR(INDEX($X$3:$X$102,MATCH(A36,$W$3:$W$102,0)),""))</f>
        <v/>
      </c>
      <c r="H36">
        <f>IF(A36="","",IF(G36="","결석",IF(IFERROR(INDEX($Y$3:$Y$102,MATCH(A36,$W$3:$W$102,0)),"")="비경쟁","비경쟁 응시","응시")))</f>
        <v/>
      </c>
      <c r="I36">
        <f>IF(A36="","",IF(COUNTIF($W$3:$W$102,A36)&gt;1,"중복! 확인",""))</f>
        <v/>
      </c>
      <c r="J36">
        <f>IF(A36="","",평가A!G36)</f>
        <v/>
      </c>
      <c r="K36">
        <f>IF(A36="","",평가A!H36)</f>
        <v/>
      </c>
      <c r="L36">
        <f>IF(A36="","",IF(OR(G36="",J36="",K36="첫 응시(평가C)"),"",ROUND(G36-J36,1)))</f>
        <v/>
      </c>
      <c r="M36">
        <f>IF(A36="","",IF(OR(G36="",J36="",K36="첫 응시(평가C)"),"",IF(G36&gt;=HIGH_CUT,PTS_HIGH,IF(L36&gt;=STEP2,PTS_HIGH,IF(L36&gt;=STEP1,PTS_MID,PTS_LOW)))))</f>
        <v/>
      </c>
      <c r="N36">
        <f>IF(A36="","",IF(G36="","",IF(K36="첫 응시(평가C)","보류",IF(J36="","",IF(G36&gt;=HIGH_CUT,"숙달",IF(L36&gt;=STEP2,"향상",IF(L36&gt;=STEP1,"유지","보완 필요")))))))</f>
        <v/>
      </c>
      <c r="O36">
        <f>IF(A36="","",IF(AND(H36="응시",ISNUMBER(M36)),M36,""))</f>
        <v/>
      </c>
      <c r="P36">
        <f>IF(A36="","",IF(G36="","결석 - 기록 없음",IF(K36="첫 응시(평가C)","판정 보류 - 평가A·B가 없어 이번 결과가 기준점수",IF(J36="","기준점수 없음",IF(G36&gt;=HIGH_CUT,"숙달 - 이번 정답률이 숙달 기준 이상",IF(L36&gt;=STEP2,"향상 - 기준보다 크게 오름",IF(L36&gt;=STEP1,"유지 - 기준과 비슷함","보완 필요 - 기준보다 크게 내려감"))))))&amp;IF(H36="비경쟁 응시"," / 비경쟁: 팀 점수 제외",""))</f>
        <v/>
      </c>
      <c r="R36" s="3" t="n"/>
      <c r="S36" s="3" t="n"/>
      <c r="T36" s="3" t="n"/>
      <c r="U36" s="3" t="n"/>
      <c r="W36">
        <f>IF(UPPER(TRIM(R36&amp;""))="","",IF(RIGHT(UPPER(TRIM(R36&amp;"")),2)="-N",TRIM(LEFT(UPPER(TRIM(R36&amp;"")),LEN(UPPER(TRIM(R36&amp;"")))-2)),UPPER(TRIM(R36&amp;""))))</f>
        <v/>
      </c>
      <c r="X36">
        <f>IF(W36="","",IF(ISNUMBER(U36),ROUND(U36,1),IF(AND(ISNUMBER(S36),ISNUMBER(T36)),IF(T36&gt;0,ROUND(S36/T36*100,1),""),"")))</f>
        <v/>
      </c>
      <c r="Y36">
        <f>IF(W36="","",IF(RIGHT(UPPER(TRIM(R36&amp;"")),2)="-N","비경쟁",""))</f>
        <v/>
      </c>
      <c r="Z36">
        <f>IF(W36="","",IF(COUNTIF(참가자!$A$3:$A$52,W36)=0,"명단에 없는 코드",""))</f>
        <v/>
      </c>
      <c r="AA36">
        <f>IF(W36="","",IF(ISNUMBER(U36),ROUND(U36*EVAL_ITEMS/100,1),IF(AND(ISNUMBER(S36),ISNUMBER(T36)),IF(T36&gt;0,S36,""),"")))</f>
        <v/>
      </c>
    </row>
    <row r="37">
      <c r="A37">
        <f>IF(참가자!A37="","",UPPER(TRIM(참가자!A37)))</f>
        <v/>
      </c>
      <c r="B37">
        <f>IF(A37="","",IF(참가자!B37="","(팀 없음)",TRIM(참가자!B37)))</f>
        <v/>
      </c>
      <c r="C37">
        <f>IF(A37="","",평가A!C37)</f>
        <v/>
      </c>
      <c r="D37">
        <f>IF(A37="","",평가B!D37)</f>
        <v/>
      </c>
      <c r="E37">
        <f>IF(A37="","",IFERROR(INDEX($AA$3:$AA$102,MATCH(A37,$W$3:$W$102,0)),""))</f>
        <v/>
      </c>
      <c r="F37">
        <f>IF(A37="","",IF(OR(NOT(ISNUMBER(E37)),K37="첫 응시(평가C)",NOT(ISNUMBER(평가A!I37))),"",ROUND(E37-평가A!I37,1)))</f>
        <v/>
      </c>
      <c r="G37">
        <f>IF(A37="","",IFERROR(INDEX($X$3:$X$102,MATCH(A37,$W$3:$W$102,0)),""))</f>
        <v/>
      </c>
      <c r="H37">
        <f>IF(A37="","",IF(G37="","결석",IF(IFERROR(INDEX($Y$3:$Y$102,MATCH(A37,$W$3:$W$102,0)),"")="비경쟁","비경쟁 응시","응시")))</f>
        <v/>
      </c>
      <c r="I37">
        <f>IF(A37="","",IF(COUNTIF($W$3:$W$102,A37)&gt;1,"중복! 확인",""))</f>
        <v/>
      </c>
      <c r="J37">
        <f>IF(A37="","",평가A!G37)</f>
        <v/>
      </c>
      <c r="K37">
        <f>IF(A37="","",평가A!H37)</f>
        <v/>
      </c>
      <c r="L37">
        <f>IF(A37="","",IF(OR(G37="",J37="",K37="첫 응시(평가C)"),"",ROUND(G37-J37,1)))</f>
        <v/>
      </c>
      <c r="M37">
        <f>IF(A37="","",IF(OR(G37="",J37="",K37="첫 응시(평가C)"),"",IF(G37&gt;=HIGH_CUT,PTS_HIGH,IF(L37&gt;=STEP2,PTS_HIGH,IF(L37&gt;=STEP1,PTS_MID,PTS_LOW)))))</f>
        <v/>
      </c>
      <c r="N37">
        <f>IF(A37="","",IF(G37="","",IF(K37="첫 응시(평가C)","보류",IF(J37="","",IF(G37&gt;=HIGH_CUT,"숙달",IF(L37&gt;=STEP2,"향상",IF(L37&gt;=STEP1,"유지","보완 필요")))))))</f>
        <v/>
      </c>
      <c r="O37">
        <f>IF(A37="","",IF(AND(H37="응시",ISNUMBER(M37)),M37,""))</f>
        <v/>
      </c>
      <c r="P37">
        <f>IF(A37="","",IF(G37="","결석 - 기록 없음",IF(K37="첫 응시(평가C)","판정 보류 - 평가A·B가 없어 이번 결과가 기준점수",IF(J37="","기준점수 없음",IF(G37&gt;=HIGH_CUT,"숙달 - 이번 정답률이 숙달 기준 이상",IF(L37&gt;=STEP2,"향상 - 기준보다 크게 오름",IF(L37&gt;=STEP1,"유지 - 기준과 비슷함","보완 필요 - 기준보다 크게 내려감"))))))&amp;IF(H37="비경쟁 응시"," / 비경쟁: 팀 점수 제외",""))</f>
        <v/>
      </c>
      <c r="R37" s="3" t="n"/>
      <c r="S37" s="3" t="n"/>
      <c r="T37" s="3" t="n"/>
      <c r="U37" s="3" t="n"/>
      <c r="W37">
        <f>IF(UPPER(TRIM(R37&amp;""))="","",IF(RIGHT(UPPER(TRIM(R37&amp;"")),2)="-N",TRIM(LEFT(UPPER(TRIM(R37&amp;"")),LEN(UPPER(TRIM(R37&amp;"")))-2)),UPPER(TRIM(R37&amp;""))))</f>
        <v/>
      </c>
      <c r="X37">
        <f>IF(W37="","",IF(ISNUMBER(U37),ROUND(U37,1),IF(AND(ISNUMBER(S37),ISNUMBER(T37)),IF(T37&gt;0,ROUND(S37/T37*100,1),""),"")))</f>
        <v/>
      </c>
      <c r="Y37">
        <f>IF(W37="","",IF(RIGHT(UPPER(TRIM(R37&amp;"")),2)="-N","비경쟁",""))</f>
        <v/>
      </c>
      <c r="Z37">
        <f>IF(W37="","",IF(COUNTIF(참가자!$A$3:$A$52,W37)=0,"명단에 없는 코드",""))</f>
        <v/>
      </c>
      <c r="AA37">
        <f>IF(W37="","",IF(ISNUMBER(U37),ROUND(U37*EVAL_ITEMS/100,1),IF(AND(ISNUMBER(S37),ISNUMBER(T37)),IF(T37&gt;0,S37,""),"")))</f>
        <v/>
      </c>
    </row>
    <row r="38">
      <c r="A38">
        <f>IF(참가자!A38="","",UPPER(TRIM(참가자!A38)))</f>
        <v/>
      </c>
      <c r="B38">
        <f>IF(A38="","",IF(참가자!B38="","(팀 없음)",TRIM(참가자!B38)))</f>
        <v/>
      </c>
      <c r="C38">
        <f>IF(A38="","",평가A!C38)</f>
        <v/>
      </c>
      <c r="D38">
        <f>IF(A38="","",평가B!D38)</f>
        <v/>
      </c>
      <c r="E38">
        <f>IF(A38="","",IFERROR(INDEX($AA$3:$AA$102,MATCH(A38,$W$3:$W$102,0)),""))</f>
        <v/>
      </c>
      <c r="F38">
        <f>IF(A38="","",IF(OR(NOT(ISNUMBER(E38)),K38="첫 응시(평가C)",NOT(ISNUMBER(평가A!I38))),"",ROUND(E38-평가A!I38,1)))</f>
        <v/>
      </c>
      <c r="G38">
        <f>IF(A38="","",IFERROR(INDEX($X$3:$X$102,MATCH(A38,$W$3:$W$102,0)),""))</f>
        <v/>
      </c>
      <c r="H38">
        <f>IF(A38="","",IF(G38="","결석",IF(IFERROR(INDEX($Y$3:$Y$102,MATCH(A38,$W$3:$W$102,0)),"")="비경쟁","비경쟁 응시","응시")))</f>
        <v/>
      </c>
      <c r="I38">
        <f>IF(A38="","",IF(COUNTIF($W$3:$W$102,A38)&gt;1,"중복! 확인",""))</f>
        <v/>
      </c>
      <c r="J38">
        <f>IF(A38="","",평가A!G38)</f>
        <v/>
      </c>
      <c r="K38">
        <f>IF(A38="","",평가A!H38)</f>
        <v/>
      </c>
      <c r="L38">
        <f>IF(A38="","",IF(OR(G38="",J38="",K38="첫 응시(평가C)"),"",ROUND(G38-J38,1)))</f>
        <v/>
      </c>
      <c r="M38">
        <f>IF(A38="","",IF(OR(G38="",J38="",K38="첫 응시(평가C)"),"",IF(G38&gt;=HIGH_CUT,PTS_HIGH,IF(L38&gt;=STEP2,PTS_HIGH,IF(L38&gt;=STEP1,PTS_MID,PTS_LOW)))))</f>
        <v/>
      </c>
      <c r="N38">
        <f>IF(A38="","",IF(G38="","",IF(K38="첫 응시(평가C)","보류",IF(J38="","",IF(G38&gt;=HIGH_CUT,"숙달",IF(L38&gt;=STEP2,"향상",IF(L38&gt;=STEP1,"유지","보완 필요")))))))</f>
        <v/>
      </c>
      <c r="O38">
        <f>IF(A38="","",IF(AND(H38="응시",ISNUMBER(M38)),M38,""))</f>
        <v/>
      </c>
      <c r="P38">
        <f>IF(A38="","",IF(G38="","결석 - 기록 없음",IF(K38="첫 응시(평가C)","판정 보류 - 평가A·B가 없어 이번 결과가 기준점수",IF(J38="","기준점수 없음",IF(G38&gt;=HIGH_CUT,"숙달 - 이번 정답률이 숙달 기준 이상",IF(L38&gt;=STEP2,"향상 - 기준보다 크게 오름",IF(L38&gt;=STEP1,"유지 - 기준과 비슷함","보완 필요 - 기준보다 크게 내려감"))))))&amp;IF(H38="비경쟁 응시"," / 비경쟁: 팀 점수 제외",""))</f>
        <v/>
      </c>
      <c r="R38" s="3" t="n"/>
      <c r="S38" s="3" t="n"/>
      <c r="T38" s="3" t="n"/>
      <c r="U38" s="3" t="n"/>
      <c r="W38">
        <f>IF(UPPER(TRIM(R38&amp;""))="","",IF(RIGHT(UPPER(TRIM(R38&amp;"")),2)="-N",TRIM(LEFT(UPPER(TRIM(R38&amp;"")),LEN(UPPER(TRIM(R38&amp;"")))-2)),UPPER(TRIM(R38&amp;""))))</f>
        <v/>
      </c>
      <c r="X38">
        <f>IF(W38="","",IF(ISNUMBER(U38),ROUND(U38,1),IF(AND(ISNUMBER(S38),ISNUMBER(T38)),IF(T38&gt;0,ROUND(S38/T38*100,1),""),"")))</f>
        <v/>
      </c>
      <c r="Y38">
        <f>IF(W38="","",IF(RIGHT(UPPER(TRIM(R38&amp;"")),2)="-N","비경쟁",""))</f>
        <v/>
      </c>
      <c r="Z38">
        <f>IF(W38="","",IF(COUNTIF(참가자!$A$3:$A$52,W38)=0,"명단에 없는 코드",""))</f>
        <v/>
      </c>
      <c r="AA38">
        <f>IF(W38="","",IF(ISNUMBER(U38),ROUND(U38*EVAL_ITEMS/100,1),IF(AND(ISNUMBER(S38),ISNUMBER(T38)),IF(T38&gt;0,S38,""),"")))</f>
        <v/>
      </c>
    </row>
    <row r="39">
      <c r="A39">
        <f>IF(참가자!A39="","",UPPER(TRIM(참가자!A39)))</f>
        <v/>
      </c>
      <c r="B39">
        <f>IF(A39="","",IF(참가자!B39="","(팀 없음)",TRIM(참가자!B39)))</f>
        <v/>
      </c>
      <c r="C39">
        <f>IF(A39="","",평가A!C39)</f>
        <v/>
      </c>
      <c r="D39">
        <f>IF(A39="","",평가B!D39)</f>
        <v/>
      </c>
      <c r="E39">
        <f>IF(A39="","",IFERROR(INDEX($AA$3:$AA$102,MATCH(A39,$W$3:$W$102,0)),""))</f>
        <v/>
      </c>
      <c r="F39">
        <f>IF(A39="","",IF(OR(NOT(ISNUMBER(E39)),K39="첫 응시(평가C)",NOT(ISNUMBER(평가A!I39))),"",ROUND(E39-평가A!I39,1)))</f>
        <v/>
      </c>
      <c r="G39">
        <f>IF(A39="","",IFERROR(INDEX($X$3:$X$102,MATCH(A39,$W$3:$W$102,0)),""))</f>
        <v/>
      </c>
      <c r="H39">
        <f>IF(A39="","",IF(G39="","결석",IF(IFERROR(INDEX($Y$3:$Y$102,MATCH(A39,$W$3:$W$102,0)),"")="비경쟁","비경쟁 응시","응시")))</f>
        <v/>
      </c>
      <c r="I39">
        <f>IF(A39="","",IF(COUNTIF($W$3:$W$102,A39)&gt;1,"중복! 확인",""))</f>
        <v/>
      </c>
      <c r="J39">
        <f>IF(A39="","",평가A!G39)</f>
        <v/>
      </c>
      <c r="K39">
        <f>IF(A39="","",평가A!H39)</f>
        <v/>
      </c>
      <c r="L39">
        <f>IF(A39="","",IF(OR(G39="",J39="",K39="첫 응시(평가C)"),"",ROUND(G39-J39,1)))</f>
        <v/>
      </c>
      <c r="M39">
        <f>IF(A39="","",IF(OR(G39="",J39="",K39="첫 응시(평가C)"),"",IF(G39&gt;=HIGH_CUT,PTS_HIGH,IF(L39&gt;=STEP2,PTS_HIGH,IF(L39&gt;=STEP1,PTS_MID,PTS_LOW)))))</f>
        <v/>
      </c>
      <c r="N39">
        <f>IF(A39="","",IF(G39="","",IF(K39="첫 응시(평가C)","보류",IF(J39="","",IF(G39&gt;=HIGH_CUT,"숙달",IF(L39&gt;=STEP2,"향상",IF(L39&gt;=STEP1,"유지","보완 필요")))))))</f>
        <v/>
      </c>
      <c r="O39">
        <f>IF(A39="","",IF(AND(H39="응시",ISNUMBER(M39)),M39,""))</f>
        <v/>
      </c>
      <c r="P39">
        <f>IF(A39="","",IF(G39="","결석 - 기록 없음",IF(K39="첫 응시(평가C)","판정 보류 - 평가A·B가 없어 이번 결과가 기준점수",IF(J39="","기준점수 없음",IF(G39&gt;=HIGH_CUT,"숙달 - 이번 정답률이 숙달 기준 이상",IF(L39&gt;=STEP2,"향상 - 기준보다 크게 오름",IF(L39&gt;=STEP1,"유지 - 기준과 비슷함","보완 필요 - 기준보다 크게 내려감"))))))&amp;IF(H39="비경쟁 응시"," / 비경쟁: 팀 점수 제외",""))</f>
        <v/>
      </c>
      <c r="R39" s="3" t="n"/>
      <c r="S39" s="3" t="n"/>
      <c r="T39" s="3" t="n"/>
      <c r="U39" s="3" t="n"/>
      <c r="W39">
        <f>IF(UPPER(TRIM(R39&amp;""))="","",IF(RIGHT(UPPER(TRIM(R39&amp;"")),2)="-N",TRIM(LEFT(UPPER(TRIM(R39&amp;"")),LEN(UPPER(TRIM(R39&amp;"")))-2)),UPPER(TRIM(R39&amp;""))))</f>
        <v/>
      </c>
      <c r="X39">
        <f>IF(W39="","",IF(ISNUMBER(U39),ROUND(U39,1),IF(AND(ISNUMBER(S39),ISNUMBER(T39)),IF(T39&gt;0,ROUND(S39/T39*100,1),""),"")))</f>
        <v/>
      </c>
      <c r="Y39">
        <f>IF(W39="","",IF(RIGHT(UPPER(TRIM(R39&amp;"")),2)="-N","비경쟁",""))</f>
        <v/>
      </c>
      <c r="Z39">
        <f>IF(W39="","",IF(COUNTIF(참가자!$A$3:$A$52,W39)=0,"명단에 없는 코드",""))</f>
        <v/>
      </c>
      <c r="AA39">
        <f>IF(W39="","",IF(ISNUMBER(U39),ROUND(U39*EVAL_ITEMS/100,1),IF(AND(ISNUMBER(S39),ISNUMBER(T39)),IF(T39&gt;0,S39,""),"")))</f>
        <v/>
      </c>
    </row>
    <row r="40">
      <c r="A40">
        <f>IF(참가자!A40="","",UPPER(TRIM(참가자!A40)))</f>
        <v/>
      </c>
      <c r="B40">
        <f>IF(A40="","",IF(참가자!B40="","(팀 없음)",TRIM(참가자!B40)))</f>
        <v/>
      </c>
      <c r="C40">
        <f>IF(A40="","",평가A!C40)</f>
        <v/>
      </c>
      <c r="D40">
        <f>IF(A40="","",평가B!D40)</f>
        <v/>
      </c>
      <c r="E40">
        <f>IF(A40="","",IFERROR(INDEX($AA$3:$AA$102,MATCH(A40,$W$3:$W$102,0)),""))</f>
        <v/>
      </c>
      <c r="F40">
        <f>IF(A40="","",IF(OR(NOT(ISNUMBER(E40)),K40="첫 응시(평가C)",NOT(ISNUMBER(평가A!I40))),"",ROUND(E40-평가A!I40,1)))</f>
        <v/>
      </c>
      <c r="G40">
        <f>IF(A40="","",IFERROR(INDEX($X$3:$X$102,MATCH(A40,$W$3:$W$102,0)),""))</f>
        <v/>
      </c>
      <c r="H40">
        <f>IF(A40="","",IF(G40="","결석",IF(IFERROR(INDEX($Y$3:$Y$102,MATCH(A40,$W$3:$W$102,0)),"")="비경쟁","비경쟁 응시","응시")))</f>
        <v/>
      </c>
      <c r="I40">
        <f>IF(A40="","",IF(COUNTIF($W$3:$W$102,A40)&gt;1,"중복! 확인",""))</f>
        <v/>
      </c>
      <c r="J40">
        <f>IF(A40="","",평가A!G40)</f>
        <v/>
      </c>
      <c r="K40">
        <f>IF(A40="","",평가A!H40)</f>
        <v/>
      </c>
      <c r="L40">
        <f>IF(A40="","",IF(OR(G40="",J40="",K40="첫 응시(평가C)"),"",ROUND(G40-J40,1)))</f>
        <v/>
      </c>
      <c r="M40">
        <f>IF(A40="","",IF(OR(G40="",J40="",K40="첫 응시(평가C)"),"",IF(G40&gt;=HIGH_CUT,PTS_HIGH,IF(L40&gt;=STEP2,PTS_HIGH,IF(L40&gt;=STEP1,PTS_MID,PTS_LOW)))))</f>
        <v/>
      </c>
      <c r="N40">
        <f>IF(A40="","",IF(G40="","",IF(K40="첫 응시(평가C)","보류",IF(J40="","",IF(G40&gt;=HIGH_CUT,"숙달",IF(L40&gt;=STEP2,"향상",IF(L40&gt;=STEP1,"유지","보완 필요")))))))</f>
        <v/>
      </c>
      <c r="O40">
        <f>IF(A40="","",IF(AND(H40="응시",ISNUMBER(M40)),M40,""))</f>
        <v/>
      </c>
      <c r="P40">
        <f>IF(A40="","",IF(G40="","결석 - 기록 없음",IF(K40="첫 응시(평가C)","판정 보류 - 평가A·B가 없어 이번 결과가 기준점수",IF(J40="","기준점수 없음",IF(G40&gt;=HIGH_CUT,"숙달 - 이번 정답률이 숙달 기준 이상",IF(L40&gt;=STEP2,"향상 - 기준보다 크게 오름",IF(L40&gt;=STEP1,"유지 - 기준과 비슷함","보완 필요 - 기준보다 크게 내려감"))))))&amp;IF(H40="비경쟁 응시"," / 비경쟁: 팀 점수 제외",""))</f>
        <v/>
      </c>
      <c r="R40" s="3" t="n"/>
      <c r="S40" s="3" t="n"/>
      <c r="T40" s="3" t="n"/>
      <c r="U40" s="3" t="n"/>
      <c r="W40">
        <f>IF(UPPER(TRIM(R40&amp;""))="","",IF(RIGHT(UPPER(TRIM(R40&amp;"")),2)="-N",TRIM(LEFT(UPPER(TRIM(R40&amp;"")),LEN(UPPER(TRIM(R40&amp;"")))-2)),UPPER(TRIM(R40&amp;""))))</f>
        <v/>
      </c>
      <c r="X40">
        <f>IF(W40="","",IF(ISNUMBER(U40),ROUND(U40,1),IF(AND(ISNUMBER(S40),ISNUMBER(T40)),IF(T40&gt;0,ROUND(S40/T40*100,1),""),"")))</f>
        <v/>
      </c>
      <c r="Y40">
        <f>IF(W40="","",IF(RIGHT(UPPER(TRIM(R40&amp;"")),2)="-N","비경쟁",""))</f>
        <v/>
      </c>
      <c r="Z40">
        <f>IF(W40="","",IF(COUNTIF(참가자!$A$3:$A$52,W40)=0,"명단에 없는 코드",""))</f>
        <v/>
      </c>
      <c r="AA40">
        <f>IF(W40="","",IF(ISNUMBER(U40),ROUND(U40*EVAL_ITEMS/100,1),IF(AND(ISNUMBER(S40),ISNUMBER(T40)),IF(T40&gt;0,S40,""),"")))</f>
        <v/>
      </c>
    </row>
    <row r="41">
      <c r="A41">
        <f>IF(참가자!A41="","",UPPER(TRIM(참가자!A41)))</f>
        <v/>
      </c>
      <c r="B41">
        <f>IF(A41="","",IF(참가자!B41="","(팀 없음)",TRIM(참가자!B41)))</f>
        <v/>
      </c>
      <c r="C41">
        <f>IF(A41="","",평가A!C41)</f>
        <v/>
      </c>
      <c r="D41">
        <f>IF(A41="","",평가B!D41)</f>
        <v/>
      </c>
      <c r="E41">
        <f>IF(A41="","",IFERROR(INDEX($AA$3:$AA$102,MATCH(A41,$W$3:$W$102,0)),""))</f>
        <v/>
      </c>
      <c r="F41">
        <f>IF(A41="","",IF(OR(NOT(ISNUMBER(E41)),K41="첫 응시(평가C)",NOT(ISNUMBER(평가A!I41))),"",ROUND(E41-평가A!I41,1)))</f>
        <v/>
      </c>
      <c r="G41">
        <f>IF(A41="","",IFERROR(INDEX($X$3:$X$102,MATCH(A41,$W$3:$W$102,0)),""))</f>
        <v/>
      </c>
      <c r="H41">
        <f>IF(A41="","",IF(G41="","결석",IF(IFERROR(INDEX($Y$3:$Y$102,MATCH(A41,$W$3:$W$102,0)),"")="비경쟁","비경쟁 응시","응시")))</f>
        <v/>
      </c>
      <c r="I41">
        <f>IF(A41="","",IF(COUNTIF($W$3:$W$102,A41)&gt;1,"중복! 확인",""))</f>
        <v/>
      </c>
      <c r="J41">
        <f>IF(A41="","",평가A!G41)</f>
        <v/>
      </c>
      <c r="K41">
        <f>IF(A41="","",평가A!H41)</f>
        <v/>
      </c>
      <c r="L41">
        <f>IF(A41="","",IF(OR(G41="",J41="",K41="첫 응시(평가C)"),"",ROUND(G41-J41,1)))</f>
        <v/>
      </c>
      <c r="M41">
        <f>IF(A41="","",IF(OR(G41="",J41="",K41="첫 응시(평가C)"),"",IF(G41&gt;=HIGH_CUT,PTS_HIGH,IF(L41&gt;=STEP2,PTS_HIGH,IF(L41&gt;=STEP1,PTS_MID,PTS_LOW)))))</f>
        <v/>
      </c>
      <c r="N41">
        <f>IF(A41="","",IF(G41="","",IF(K41="첫 응시(평가C)","보류",IF(J41="","",IF(G41&gt;=HIGH_CUT,"숙달",IF(L41&gt;=STEP2,"향상",IF(L41&gt;=STEP1,"유지","보완 필요")))))))</f>
        <v/>
      </c>
      <c r="O41">
        <f>IF(A41="","",IF(AND(H41="응시",ISNUMBER(M41)),M41,""))</f>
        <v/>
      </c>
      <c r="P41">
        <f>IF(A41="","",IF(G41="","결석 - 기록 없음",IF(K41="첫 응시(평가C)","판정 보류 - 평가A·B가 없어 이번 결과가 기준점수",IF(J41="","기준점수 없음",IF(G41&gt;=HIGH_CUT,"숙달 - 이번 정답률이 숙달 기준 이상",IF(L41&gt;=STEP2,"향상 - 기준보다 크게 오름",IF(L41&gt;=STEP1,"유지 - 기준과 비슷함","보완 필요 - 기준보다 크게 내려감"))))))&amp;IF(H41="비경쟁 응시"," / 비경쟁: 팀 점수 제외",""))</f>
        <v/>
      </c>
      <c r="R41" s="3" t="n"/>
      <c r="S41" s="3" t="n"/>
      <c r="T41" s="3" t="n"/>
      <c r="U41" s="3" t="n"/>
      <c r="W41">
        <f>IF(UPPER(TRIM(R41&amp;""))="","",IF(RIGHT(UPPER(TRIM(R41&amp;"")),2)="-N",TRIM(LEFT(UPPER(TRIM(R41&amp;"")),LEN(UPPER(TRIM(R41&amp;"")))-2)),UPPER(TRIM(R41&amp;""))))</f>
        <v/>
      </c>
      <c r="X41">
        <f>IF(W41="","",IF(ISNUMBER(U41),ROUND(U41,1),IF(AND(ISNUMBER(S41),ISNUMBER(T41)),IF(T41&gt;0,ROUND(S41/T41*100,1),""),"")))</f>
        <v/>
      </c>
      <c r="Y41">
        <f>IF(W41="","",IF(RIGHT(UPPER(TRIM(R41&amp;"")),2)="-N","비경쟁",""))</f>
        <v/>
      </c>
      <c r="Z41">
        <f>IF(W41="","",IF(COUNTIF(참가자!$A$3:$A$52,W41)=0,"명단에 없는 코드",""))</f>
        <v/>
      </c>
      <c r="AA41">
        <f>IF(W41="","",IF(ISNUMBER(U41),ROUND(U41*EVAL_ITEMS/100,1),IF(AND(ISNUMBER(S41),ISNUMBER(T41)),IF(T41&gt;0,S41,""),"")))</f>
        <v/>
      </c>
    </row>
    <row r="42">
      <c r="A42">
        <f>IF(참가자!A42="","",UPPER(TRIM(참가자!A42)))</f>
        <v/>
      </c>
      <c r="B42">
        <f>IF(A42="","",IF(참가자!B42="","(팀 없음)",TRIM(참가자!B42)))</f>
        <v/>
      </c>
      <c r="C42">
        <f>IF(A42="","",평가A!C42)</f>
        <v/>
      </c>
      <c r="D42">
        <f>IF(A42="","",평가B!D42)</f>
        <v/>
      </c>
      <c r="E42">
        <f>IF(A42="","",IFERROR(INDEX($AA$3:$AA$102,MATCH(A42,$W$3:$W$102,0)),""))</f>
        <v/>
      </c>
      <c r="F42">
        <f>IF(A42="","",IF(OR(NOT(ISNUMBER(E42)),K42="첫 응시(평가C)",NOT(ISNUMBER(평가A!I42))),"",ROUND(E42-평가A!I42,1)))</f>
        <v/>
      </c>
      <c r="G42">
        <f>IF(A42="","",IFERROR(INDEX($X$3:$X$102,MATCH(A42,$W$3:$W$102,0)),""))</f>
        <v/>
      </c>
      <c r="H42">
        <f>IF(A42="","",IF(G42="","결석",IF(IFERROR(INDEX($Y$3:$Y$102,MATCH(A42,$W$3:$W$102,0)),"")="비경쟁","비경쟁 응시","응시")))</f>
        <v/>
      </c>
      <c r="I42">
        <f>IF(A42="","",IF(COUNTIF($W$3:$W$102,A42)&gt;1,"중복! 확인",""))</f>
        <v/>
      </c>
      <c r="J42">
        <f>IF(A42="","",평가A!G42)</f>
        <v/>
      </c>
      <c r="K42">
        <f>IF(A42="","",평가A!H42)</f>
        <v/>
      </c>
      <c r="L42">
        <f>IF(A42="","",IF(OR(G42="",J42="",K42="첫 응시(평가C)"),"",ROUND(G42-J42,1)))</f>
        <v/>
      </c>
      <c r="M42">
        <f>IF(A42="","",IF(OR(G42="",J42="",K42="첫 응시(평가C)"),"",IF(G42&gt;=HIGH_CUT,PTS_HIGH,IF(L42&gt;=STEP2,PTS_HIGH,IF(L42&gt;=STEP1,PTS_MID,PTS_LOW)))))</f>
        <v/>
      </c>
      <c r="N42">
        <f>IF(A42="","",IF(G42="","",IF(K42="첫 응시(평가C)","보류",IF(J42="","",IF(G42&gt;=HIGH_CUT,"숙달",IF(L42&gt;=STEP2,"향상",IF(L42&gt;=STEP1,"유지","보완 필요")))))))</f>
        <v/>
      </c>
      <c r="O42">
        <f>IF(A42="","",IF(AND(H42="응시",ISNUMBER(M42)),M42,""))</f>
        <v/>
      </c>
      <c r="P42">
        <f>IF(A42="","",IF(G42="","결석 - 기록 없음",IF(K42="첫 응시(평가C)","판정 보류 - 평가A·B가 없어 이번 결과가 기준점수",IF(J42="","기준점수 없음",IF(G42&gt;=HIGH_CUT,"숙달 - 이번 정답률이 숙달 기준 이상",IF(L42&gt;=STEP2,"향상 - 기준보다 크게 오름",IF(L42&gt;=STEP1,"유지 - 기준과 비슷함","보완 필요 - 기준보다 크게 내려감"))))))&amp;IF(H42="비경쟁 응시"," / 비경쟁: 팀 점수 제외",""))</f>
        <v/>
      </c>
      <c r="R42" s="3" t="n"/>
      <c r="S42" s="3" t="n"/>
      <c r="T42" s="3" t="n"/>
      <c r="U42" s="3" t="n"/>
      <c r="W42">
        <f>IF(UPPER(TRIM(R42&amp;""))="","",IF(RIGHT(UPPER(TRIM(R42&amp;"")),2)="-N",TRIM(LEFT(UPPER(TRIM(R42&amp;"")),LEN(UPPER(TRIM(R42&amp;"")))-2)),UPPER(TRIM(R42&amp;""))))</f>
        <v/>
      </c>
      <c r="X42">
        <f>IF(W42="","",IF(ISNUMBER(U42),ROUND(U42,1),IF(AND(ISNUMBER(S42),ISNUMBER(T42)),IF(T42&gt;0,ROUND(S42/T42*100,1),""),"")))</f>
        <v/>
      </c>
      <c r="Y42">
        <f>IF(W42="","",IF(RIGHT(UPPER(TRIM(R42&amp;"")),2)="-N","비경쟁",""))</f>
        <v/>
      </c>
      <c r="Z42">
        <f>IF(W42="","",IF(COUNTIF(참가자!$A$3:$A$52,W42)=0,"명단에 없는 코드",""))</f>
        <v/>
      </c>
      <c r="AA42">
        <f>IF(W42="","",IF(ISNUMBER(U42),ROUND(U42*EVAL_ITEMS/100,1),IF(AND(ISNUMBER(S42),ISNUMBER(T42)),IF(T42&gt;0,S42,""),"")))</f>
        <v/>
      </c>
    </row>
    <row r="43">
      <c r="A43">
        <f>IF(참가자!A43="","",UPPER(TRIM(참가자!A43)))</f>
        <v/>
      </c>
      <c r="B43">
        <f>IF(A43="","",IF(참가자!B43="","(팀 없음)",TRIM(참가자!B43)))</f>
        <v/>
      </c>
      <c r="C43">
        <f>IF(A43="","",평가A!C43)</f>
        <v/>
      </c>
      <c r="D43">
        <f>IF(A43="","",평가B!D43)</f>
        <v/>
      </c>
      <c r="E43">
        <f>IF(A43="","",IFERROR(INDEX($AA$3:$AA$102,MATCH(A43,$W$3:$W$102,0)),""))</f>
        <v/>
      </c>
      <c r="F43">
        <f>IF(A43="","",IF(OR(NOT(ISNUMBER(E43)),K43="첫 응시(평가C)",NOT(ISNUMBER(평가A!I43))),"",ROUND(E43-평가A!I43,1)))</f>
        <v/>
      </c>
      <c r="G43">
        <f>IF(A43="","",IFERROR(INDEX($X$3:$X$102,MATCH(A43,$W$3:$W$102,0)),""))</f>
        <v/>
      </c>
      <c r="H43">
        <f>IF(A43="","",IF(G43="","결석",IF(IFERROR(INDEX($Y$3:$Y$102,MATCH(A43,$W$3:$W$102,0)),"")="비경쟁","비경쟁 응시","응시")))</f>
        <v/>
      </c>
      <c r="I43">
        <f>IF(A43="","",IF(COUNTIF($W$3:$W$102,A43)&gt;1,"중복! 확인",""))</f>
        <v/>
      </c>
      <c r="J43">
        <f>IF(A43="","",평가A!G43)</f>
        <v/>
      </c>
      <c r="K43">
        <f>IF(A43="","",평가A!H43)</f>
        <v/>
      </c>
      <c r="L43">
        <f>IF(A43="","",IF(OR(G43="",J43="",K43="첫 응시(평가C)"),"",ROUND(G43-J43,1)))</f>
        <v/>
      </c>
      <c r="M43">
        <f>IF(A43="","",IF(OR(G43="",J43="",K43="첫 응시(평가C)"),"",IF(G43&gt;=HIGH_CUT,PTS_HIGH,IF(L43&gt;=STEP2,PTS_HIGH,IF(L43&gt;=STEP1,PTS_MID,PTS_LOW)))))</f>
        <v/>
      </c>
      <c r="N43">
        <f>IF(A43="","",IF(G43="","",IF(K43="첫 응시(평가C)","보류",IF(J43="","",IF(G43&gt;=HIGH_CUT,"숙달",IF(L43&gt;=STEP2,"향상",IF(L43&gt;=STEP1,"유지","보완 필요")))))))</f>
        <v/>
      </c>
      <c r="O43">
        <f>IF(A43="","",IF(AND(H43="응시",ISNUMBER(M43)),M43,""))</f>
        <v/>
      </c>
      <c r="P43">
        <f>IF(A43="","",IF(G43="","결석 - 기록 없음",IF(K43="첫 응시(평가C)","판정 보류 - 평가A·B가 없어 이번 결과가 기준점수",IF(J43="","기준점수 없음",IF(G43&gt;=HIGH_CUT,"숙달 - 이번 정답률이 숙달 기준 이상",IF(L43&gt;=STEP2,"향상 - 기준보다 크게 오름",IF(L43&gt;=STEP1,"유지 - 기준과 비슷함","보완 필요 - 기준보다 크게 내려감"))))))&amp;IF(H43="비경쟁 응시"," / 비경쟁: 팀 점수 제외",""))</f>
        <v/>
      </c>
      <c r="R43" s="3" t="n"/>
      <c r="S43" s="3" t="n"/>
      <c r="T43" s="3" t="n"/>
      <c r="U43" s="3" t="n"/>
      <c r="W43">
        <f>IF(UPPER(TRIM(R43&amp;""))="","",IF(RIGHT(UPPER(TRIM(R43&amp;"")),2)="-N",TRIM(LEFT(UPPER(TRIM(R43&amp;"")),LEN(UPPER(TRIM(R43&amp;"")))-2)),UPPER(TRIM(R43&amp;""))))</f>
        <v/>
      </c>
      <c r="X43">
        <f>IF(W43="","",IF(ISNUMBER(U43),ROUND(U43,1),IF(AND(ISNUMBER(S43),ISNUMBER(T43)),IF(T43&gt;0,ROUND(S43/T43*100,1),""),"")))</f>
        <v/>
      </c>
      <c r="Y43">
        <f>IF(W43="","",IF(RIGHT(UPPER(TRIM(R43&amp;"")),2)="-N","비경쟁",""))</f>
        <v/>
      </c>
      <c r="Z43">
        <f>IF(W43="","",IF(COUNTIF(참가자!$A$3:$A$52,W43)=0,"명단에 없는 코드",""))</f>
        <v/>
      </c>
      <c r="AA43">
        <f>IF(W43="","",IF(ISNUMBER(U43),ROUND(U43*EVAL_ITEMS/100,1),IF(AND(ISNUMBER(S43),ISNUMBER(T43)),IF(T43&gt;0,S43,""),"")))</f>
        <v/>
      </c>
    </row>
    <row r="44">
      <c r="A44">
        <f>IF(참가자!A44="","",UPPER(TRIM(참가자!A44)))</f>
        <v/>
      </c>
      <c r="B44">
        <f>IF(A44="","",IF(참가자!B44="","(팀 없음)",TRIM(참가자!B44)))</f>
        <v/>
      </c>
      <c r="C44">
        <f>IF(A44="","",평가A!C44)</f>
        <v/>
      </c>
      <c r="D44">
        <f>IF(A44="","",평가B!D44)</f>
        <v/>
      </c>
      <c r="E44">
        <f>IF(A44="","",IFERROR(INDEX($AA$3:$AA$102,MATCH(A44,$W$3:$W$102,0)),""))</f>
        <v/>
      </c>
      <c r="F44">
        <f>IF(A44="","",IF(OR(NOT(ISNUMBER(E44)),K44="첫 응시(평가C)",NOT(ISNUMBER(평가A!I44))),"",ROUND(E44-평가A!I44,1)))</f>
        <v/>
      </c>
      <c r="G44">
        <f>IF(A44="","",IFERROR(INDEX($X$3:$X$102,MATCH(A44,$W$3:$W$102,0)),""))</f>
        <v/>
      </c>
      <c r="H44">
        <f>IF(A44="","",IF(G44="","결석",IF(IFERROR(INDEX($Y$3:$Y$102,MATCH(A44,$W$3:$W$102,0)),"")="비경쟁","비경쟁 응시","응시")))</f>
        <v/>
      </c>
      <c r="I44">
        <f>IF(A44="","",IF(COUNTIF($W$3:$W$102,A44)&gt;1,"중복! 확인",""))</f>
        <v/>
      </c>
      <c r="J44">
        <f>IF(A44="","",평가A!G44)</f>
        <v/>
      </c>
      <c r="K44">
        <f>IF(A44="","",평가A!H44)</f>
        <v/>
      </c>
      <c r="L44">
        <f>IF(A44="","",IF(OR(G44="",J44="",K44="첫 응시(평가C)"),"",ROUND(G44-J44,1)))</f>
        <v/>
      </c>
      <c r="M44">
        <f>IF(A44="","",IF(OR(G44="",J44="",K44="첫 응시(평가C)"),"",IF(G44&gt;=HIGH_CUT,PTS_HIGH,IF(L44&gt;=STEP2,PTS_HIGH,IF(L44&gt;=STEP1,PTS_MID,PTS_LOW)))))</f>
        <v/>
      </c>
      <c r="N44">
        <f>IF(A44="","",IF(G44="","",IF(K44="첫 응시(평가C)","보류",IF(J44="","",IF(G44&gt;=HIGH_CUT,"숙달",IF(L44&gt;=STEP2,"향상",IF(L44&gt;=STEP1,"유지","보완 필요")))))))</f>
        <v/>
      </c>
      <c r="O44">
        <f>IF(A44="","",IF(AND(H44="응시",ISNUMBER(M44)),M44,""))</f>
        <v/>
      </c>
      <c r="P44">
        <f>IF(A44="","",IF(G44="","결석 - 기록 없음",IF(K44="첫 응시(평가C)","판정 보류 - 평가A·B가 없어 이번 결과가 기준점수",IF(J44="","기준점수 없음",IF(G44&gt;=HIGH_CUT,"숙달 - 이번 정답률이 숙달 기준 이상",IF(L44&gt;=STEP2,"향상 - 기준보다 크게 오름",IF(L44&gt;=STEP1,"유지 - 기준과 비슷함","보완 필요 - 기준보다 크게 내려감"))))))&amp;IF(H44="비경쟁 응시"," / 비경쟁: 팀 점수 제외",""))</f>
        <v/>
      </c>
      <c r="R44" s="3" t="n"/>
      <c r="S44" s="3" t="n"/>
      <c r="T44" s="3" t="n"/>
      <c r="U44" s="3" t="n"/>
      <c r="W44">
        <f>IF(UPPER(TRIM(R44&amp;""))="","",IF(RIGHT(UPPER(TRIM(R44&amp;"")),2)="-N",TRIM(LEFT(UPPER(TRIM(R44&amp;"")),LEN(UPPER(TRIM(R44&amp;"")))-2)),UPPER(TRIM(R44&amp;""))))</f>
        <v/>
      </c>
      <c r="X44">
        <f>IF(W44="","",IF(ISNUMBER(U44),ROUND(U44,1),IF(AND(ISNUMBER(S44),ISNUMBER(T44)),IF(T44&gt;0,ROUND(S44/T44*100,1),""),"")))</f>
        <v/>
      </c>
      <c r="Y44">
        <f>IF(W44="","",IF(RIGHT(UPPER(TRIM(R44&amp;"")),2)="-N","비경쟁",""))</f>
        <v/>
      </c>
      <c r="Z44">
        <f>IF(W44="","",IF(COUNTIF(참가자!$A$3:$A$52,W44)=0,"명단에 없는 코드",""))</f>
        <v/>
      </c>
      <c r="AA44">
        <f>IF(W44="","",IF(ISNUMBER(U44),ROUND(U44*EVAL_ITEMS/100,1),IF(AND(ISNUMBER(S44),ISNUMBER(T44)),IF(T44&gt;0,S44,""),"")))</f>
        <v/>
      </c>
    </row>
    <row r="45">
      <c r="A45">
        <f>IF(참가자!A45="","",UPPER(TRIM(참가자!A45)))</f>
        <v/>
      </c>
      <c r="B45">
        <f>IF(A45="","",IF(참가자!B45="","(팀 없음)",TRIM(참가자!B45)))</f>
        <v/>
      </c>
      <c r="C45">
        <f>IF(A45="","",평가A!C45)</f>
        <v/>
      </c>
      <c r="D45">
        <f>IF(A45="","",평가B!D45)</f>
        <v/>
      </c>
      <c r="E45">
        <f>IF(A45="","",IFERROR(INDEX($AA$3:$AA$102,MATCH(A45,$W$3:$W$102,0)),""))</f>
        <v/>
      </c>
      <c r="F45">
        <f>IF(A45="","",IF(OR(NOT(ISNUMBER(E45)),K45="첫 응시(평가C)",NOT(ISNUMBER(평가A!I45))),"",ROUND(E45-평가A!I45,1)))</f>
        <v/>
      </c>
      <c r="G45">
        <f>IF(A45="","",IFERROR(INDEX($X$3:$X$102,MATCH(A45,$W$3:$W$102,0)),""))</f>
        <v/>
      </c>
      <c r="H45">
        <f>IF(A45="","",IF(G45="","결석",IF(IFERROR(INDEX($Y$3:$Y$102,MATCH(A45,$W$3:$W$102,0)),"")="비경쟁","비경쟁 응시","응시")))</f>
        <v/>
      </c>
      <c r="I45">
        <f>IF(A45="","",IF(COUNTIF($W$3:$W$102,A45)&gt;1,"중복! 확인",""))</f>
        <v/>
      </c>
      <c r="J45">
        <f>IF(A45="","",평가A!G45)</f>
        <v/>
      </c>
      <c r="K45">
        <f>IF(A45="","",평가A!H45)</f>
        <v/>
      </c>
      <c r="L45">
        <f>IF(A45="","",IF(OR(G45="",J45="",K45="첫 응시(평가C)"),"",ROUND(G45-J45,1)))</f>
        <v/>
      </c>
      <c r="M45">
        <f>IF(A45="","",IF(OR(G45="",J45="",K45="첫 응시(평가C)"),"",IF(G45&gt;=HIGH_CUT,PTS_HIGH,IF(L45&gt;=STEP2,PTS_HIGH,IF(L45&gt;=STEP1,PTS_MID,PTS_LOW)))))</f>
        <v/>
      </c>
      <c r="N45">
        <f>IF(A45="","",IF(G45="","",IF(K45="첫 응시(평가C)","보류",IF(J45="","",IF(G45&gt;=HIGH_CUT,"숙달",IF(L45&gt;=STEP2,"향상",IF(L45&gt;=STEP1,"유지","보완 필요")))))))</f>
        <v/>
      </c>
      <c r="O45">
        <f>IF(A45="","",IF(AND(H45="응시",ISNUMBER(M45)),M45,""))</f>
        <v/>
      </c>
      <c r="P45">
        <f>IF(A45="","",IF(G45="","결석 - 기록 없음",IF(K45="첫 응시(평가C)","판정 보류 - 평가A·B가 없어 이번 결과가 기준점수",IF(J45="","기준점수 없음",IF(G45&gt;=HIGH_CUT,"숙달 - 이번 정답률이 숙달 기준 이상",IF(L45&gt;=STEP2,"향상 - 기준보다 크게 오름",IF(L45&gt;=STEP1,"유지 - 기준과 비슷함","보완 필요 - 기준보다 크게 내려감"))))))&amp;IF(H45="비경쟁 응시"," / 비경쟁: 팀 점수 제외",""))</f>
        <v/>
      </c>
      <c r="R45" s="3" t="n"/>
      <c r="S45" s="3" t="n"/>
      <c r="T45" s="3" t="n"/>
      <c r="U45" s="3" t="n"/>
      <c r="W45">
        <f>IF(UPPER(TRIM(R45&amp;""))="","",IF(RIGHT(UPPER(TRIM(R45&amp;"")),2)="-N",TRIM(LEFT(UPPER(TRIM(R45&amp;"")),LEN(UPPER(TRIM(R45&amp;"")))-2)),UPPER(TRIM(R45&amp;""))))</f>
        <v/>
      </c>
      <c r="X45">
        <f>IF(W45="","",IF(ISNUMBER(U45),ROUND(U45,1),IF(AND(ISNUMBER(S45),ISNUMBER(T45)),IF(T45&gt;0,ROUND(S45/T45*100,1),""),"")))</f>
        <v/>
      </c>
      <c r="Y45">
        <f>IF(W45="","",IF(RIGHT(UPPER(TRIM(R45&amp;"")),2)="-N","비경쟁",""))</f>
        <v/>
      </c>
      <c r="Z45">
        <f>IF(W45="","",IF(COUNTIF(참가자!$A$3:$A$52,W45)=0,"명단에 없는 코드",""))</f>
        <v/>
      </c>
      <c r="AA45">
        <f>IF(W45="","",IF(ISNUMBER(U45),ROUND(U45*EVAL_ITEMS/100,1),IF(AND(ISNUMBER(S45),ISNUMBER(T45)),IF(T45&gt;0,S45,""),"")))</f>
        <v/>
      </c>
    </row>
    <row r="46">
      <c r="A46">
        <f>IF(참가자!A46="","",UPPER(TRIM(참가자!A46)))</f>
        <v/>
      </c>
      <c r="B46">
        <f>IF(A46="","",IF(참가자!B46="","(팀 없음)",TRIM(참가자!B46)))</f>
        <v/>
      </c>
      <c r="C46">
        <f>IF(A46="","",평가A!C46)</f>
        <v/>
      </c>
      <c r="D46">
        <f>IF(A46="","",평가B!D46)</f>
        <v/>
      </c>
      <c r="E46">
        <f>IF(A46="","",IFERROR(INDEX($AA$3:$AA$102,MATCH(A46,$W$3:$W$102,0)),""))</f>
        <v/>
      </c>
      <c r="F46">
        <f>IF(A46="","",IF(OR(NOT(ISNUMBER(E46)),K46="첫 응시(평가C)",NOT(ISNUMBER(평가A!I46))),"",ROUND(E46-평가A!I46,1)))</f>
        <v/>
      </c>
      <c r="G46">
        <f>IF(A46="","",IFERROR(INDEX($X$3:$X$102,MATCH(A46,$W$3:$W$102,0)),""))</f>
        <v/>
      </c>
      <c r="H46">
        <f>IF(A46="","",IF(G46="","결석",IF(IFERROR(INDEX($Y$3:$Y$102,MATCH(A46,$W$3:$W$102,0)),"")="비경쟁","비경쟁 응시","응시")))</f>
        <v/>
      </c>
      <c r="I46">
        <f>IF(A46="","",IF(COUNTIF($W$3:$W$102,A46)&gt;1,"중복! 확인",""))</f>
        <v/>
      </c>
      <c r="J46">
        <f>IF(A46="","",평가A!G46)</f>
        <v/>
      </c>
      <c r="K46">
        <f>IF(A46="","",평가A!H46)</f>
        <v/>
      </c>
      <c r="L46">
        <f>IF(A46="","",IF(OR(G46="",J46="",K46="첫 응시(평가C)"),"",ROUND(G46-J46,1)))</f>
        <v/>
      </c>
      <c r="M46">
        <f>IF(A46="","",IF(OR(G46="",J46="",K46="첫 응시(평가C)"),"",IF(G46&gt;=HIGH_CUT,PTS_HIGH,IF(L46&gt;=STEP2,PTS_HIGH,IF(L46&gt;=STEP1,PTS_MID,PTS_LOW)))))</f>
        <v/>
      </c>
      <c r="N46">
        <f>IF(A46="","",IF(G46="","",IF(K46="첫 응시(평가C)","보류",IF(J46="","",IF(G46&gt;=HIGH_CUT,"숙달",IF(L46&gt;=STEP2,"향상",IF(L46&gt;=STEP1,"유지","보완 필요")))))))</f>
        <v/>
      </c>
      <c r="O46">
        <f>IF(A46="","",IF(AND(H46="응시",ISNUMBER(M46)),M46,""))</f>
        <v/>
      </c>
      <c r="P46">
        <f>IF(A46="","",IF(G46="","결석 - 기록 없음",IF(K46="첫 응시(평가C)","판정 보류 - 평가A·B가 없어 이번 결과가 기준점수",IF(J46="","기준점수 없음",IF(G46&gt;=HIGH_CUT,"숙달 - 이번 정답률이 숙달 기준 이상",IF(L46&gt;=STEP2,"향상 - 기준보다 크게 오름",IF(L46&gt;=STEP1,"유지 - 기준과 비슷함","보완 필요 - 기준보다 크게 내려감"))))))&amp;IF(H46="비경쟁 응시"," / 비경쟁: 팀 점수 제외",""))</f>
        <v/>
      </c>
      <c r="R46" s="3" t="n"/>
      <c r="S46" s="3" t="n"/>
      <c r="T46" s="3" t="n"/>
      <c r="U46" s="3" t="n"/>
      <c r="W46">
        <f>IF(UPPER(TRIM(R46&amp;""))="","",IF(RIGHT(UPPER(TRIM(R46&amp;"")),2)="-N",TRIM(LEFT(UPPER(TRIM(R46&amp;"")),LEN(UPPER(TRIM(R46&amp;"")))-2)),UPPER(TRIM(R46&amp;""))))</f>
        <v/>
      </c>
      <c r="X46">
        <f>IF(W46="","",IF(ISNUMBER(U46),ROUND(U46,1),IF(AND(ISNUMBER(S46),ISNUMBER(T46)),IF(T46&gt;0,ROUND(S46/T46*100,1),""),"")))</f>
        <v/>
      </c>
      <c r="Y46">
        <f>IF(W46="","",IF(RIGHT(UPPER(TRIM(R46&amp;"")),2)="-N","비경쟁",""))</f>
        <v/>
      </c>
      <c r="Z46">
        <f>IF(W46="","",IF(COUNTIF(참가자!$A$3:$A$52,W46)=0,"명단에 없는 코드",""))</f>
        <v/>
      </c>
      <c r="AA46">
        <f>IF(W46="","",IF(ISNUMBER(U46),ROUND(U46*EVAL_ITEMS/100,1),IF(AND(ISNUMBER(S46),ISNUMBER(T46)),IF(T46&gt;0,S46,""),"")))</f>
        <v/>
      </c>
    </row>
    <row r="47">
      <c r="A47">
        <f>IF(참가자!A47="","",UPPER(TRIM(참가자!A47)))</f>
        <v/>
      </c>
      <c r="B47">
        <f>IF(A47="","",IF(참가자!B47="","(팀 없음)",TRIM(참가자!B47)))</f>
        <v/>
      </c>
      <c r="C47">
        <f>IF(A47="","",평가A!C47)</f>
        <v/>
      </c>
      <c r="D47">
        <f>IF(A47="","",평가B!D47)</f>
        <v/>
      </c>
      <c r="E47">
        <f>IF(A47="","",IFERROR(INDEX($AA$3:$AA$102,MATCH(A47,$W$3:$W$102,0)),""))</f>
        <v/>
      </c>
      <c r="F47">
        <f>IF(A47="","",IF(OR(NOT(ISNUMBER(E47)),K47="첫 응시(평가C)",NOT(ISNUMBER(평가A!I47))),"",ROUND(E47-평가A!I47,1)))</f>
        <v/>
      </c>
      <c r="G47">
        <f>IF(A47="","",IFERROR(INDEX($X$3:$X$102,MATCH(A47,$W$3:$W$102,0)),""))</f>
        <v/>
      </c>
      <c r="H47">
        <f>IF(A47="","",IF(G47="","결석",IF(IFERROR(INDEX($Y$3:$Y$102,MATCH(A47,$W$3:$W$102,0)),"")="비경쟁","비경쟁 응시","응시")))</f>
        <v/>
      </c>
      <c r="I47">
        <f>IF(A47="","",IF(COUNTIF($W$3:$W$102,A47)&gt;1,"중복! 확인",""))</f>
        <v/>
      </c>
      <c r="J47">
        <f>IF(A47="","",평가A!G47)</f>
        <v/>
      </c>
      <c r="K47">
        <f>IF(A47="","",평가A!H47)</f>
        <v/>
      </c>
      <c r="L47">
        <f>IF(A47="","",IF(OR(G47="",J47="",K47="첫 응시(평가C)"),"",ROUND(G47-J47,1)))</f>
        <v/>
      </c>
      <c r="M47">
        <f>IF(A47="","",IF(OR(G47="",J47="",K47="첫 응시(평가C)"),"",IF(G47&gt;=HIGH_CUT,PTS_HIGH,IF(L47&gt;=STEP2,PTS_HIGH,IF(L47&gt;=STEP1,PTS_MID,PTS_LOW)))))</f>
        <v/>
      </c>
      <c r="N47">
        <f>IF(A47="","",IF(G47="","",IF(K47="첫 응시(평가C)","보류",IF(J47="","",IF(G47&gt;=HIGH_CUT,"숙달",IF(L47&gt;=STEP2,"향상",IF(L47&gt;=STEP1,"유지","보완 필요")))))))</f>
        <v/>
      </c>
      <c r="O47">
        <f>IF(A47="","",IF(AND(H47="응시",ISNUMBER(M47)),M47,""))</f>
        <v/>
      </c>
      <c r="P47">
        <f>IF(A47="","",IF(G47="","결석 - 기록 없음",IF(K47="첫 응시(평가C)","판정 보류 - 평가A·B가 없어 이번 결과가 기준점수",IF(J47="","기준점수 없음",IF(G47&gt;=HIGH_CUT,"숙달 - 이번 정답률이 숙달 기준 이상",IF(L47&gt;=STEP2,"향상 - 기준보다 크게 오름",IF(L47&gt;=STEP1,"유지 - 기준과 비슷함","보완 필요 - 기준보다 크게 내려감"))))))&amp;IF(H47="비경쟁 응시"," / 비경쟁: 팀 점수 제외",""))</f>
        <v/>
      </c>
      <c r="R47" s="3" t="n"/>
      <c r="S47" s="3" t="n"/>
      <c r="T47" s="3" t="n"/>
      <c r="U47" s="3" t="n"/>
      <c r="W47">
        <f>IF(UPPER(TRIM(R47&amp;""))="","",IF(RIGHT(UPPER(TRIM(R47&amp;"")),2)="-N",TRIM(LEFT(UPPER(TRIM(R47&amp;"")),LEN(UPPER(TRIM(R47&amp;"")))-2)),UPPER(TRIM(R47&amp;""))))</f>
        <v/>
      </c>
      <c r="X47">
        <f>IF(W47="","",IF(ISNUMBER(U47),ROUND(U47,1),IF(AND(ISNUMBER(S47),ISNUMBER(T47)),IF(T47&gt;0,ROUND(S47/T47*100,1),""),"")))</f>
        <v/>
      </c>
      <c r="Y47">
        <f>IF(W47="","",IF(RIGHT(UPPER(TRIM(R47&amp;"")),2)="-N","비경쟁",""))</f>
        <v/>
      </c>
      <c r="Z47">
        <f>IF(W47="","",IF(COUNTIF(참가자!$A$3:$A$52,W47)=0,"명단에 없는 코드",""))</f>
        <v/>
      </c>
      <c r="AA47">
        <f>IF(W47="","",IF(ISNUMBER(U47),ROUND(U47*EVAL_ITEMS/100,1),IF(AND(ISNUMBER(S47),ISNUMBER(T47)),IF(T47&gt;0,S47,""),"")))</f>
        <v/>
      </c>
    </row>
    <row r="48">
      <c r="A48">
        <f>IF(참가자!A48="","",UPPER(TRIM(참가자!A48)))</f>
        <v/>
      </c>
      <c r="B48">
        <f>IF(A48="","",IF(참가자!B48="","(팀 없음)",TRIM(참가자!B48)))</f>
        <v/>
      </c>
      <c r="C48">
        <f>IF(A48="","",평가A!C48)</f>
        <v/>
      </c>
      <c r="D48">
        <f>IF(A48="","",평가B!D48)</f>
        <v/>
      </c>
      <c r="E48">
        <f>IF(A48="","",IFERROR(INDEX($AA$3:$AA$102,MATCH(A48,$W$3:$W$102,0)),""))</f>
        <v/>
      </c>
      <c r="F48">
        <f>IF(A48="","",IF(OR(NOT(ISNUMBER(E48)),K48="첫 응시(평가C)",NOT(ISNUMBER(평가A!I48))),"",ROUND(E48-평가A!I48,1)))</f>
        <v/>
      </c>
      <c r="G48">
        <f>IF(A48="","",IFERROR(INDEX($X$3:$X$102,MATCH(A48,$W$3:$W$102,0)),""))</f>
        <v/>
      </c>
      <c r="H48">
        <f>IF(A48="","",IF(G48="","결석",IF(IFERROR(INDEX($Y$3:$Y$102,MATCH(A48,$W$3:$W$102,0)),"")="비경쟁","비경쟁 응시","응시")))</f>
        <v/>
      </c>
      <c r="I48">
        <f>IF(A48="","",IF(COUNTIF($W$3:$W$102,A48)&gt;1,"중복! 확인",""))</f>
        <v/>
      </c>
      <c r="J48">
        <f>IF(A48="","",평가A!G48)</f>
        <v/>
      </c>
      <c r="K48">
        <f>IF(A48="","",평가A!H48)</f>
        <v/>
      </c>
      <c r="L48">
        <f>IF(A48="","",IF(OR(G48="",J48="",K48="첫 응시(평가C)"),"",ROUND(G48-J48,1)))</f>
        <v/>
      </c>
      <c r="M48">
        <f>IF(A48="","",IF(OR(G48="",J48="",K48="첫 응시(평가C)"),"",IF(G48&gt;=HIGH_CUT,PTS_HIGH,IF(L48&gt;=STEP2,PTS_HIGH,IF(L48&gt;=STEP1,PTS_MID,PTS_LOW)))))</f>
        <v/>
      </c>
      <c r="N48">
        <f>IF(A48="","",IF(G48="","",IF(K48="첫 응시(평가C)","보류",IF(J48="","",IF(G48&gt;=HIGH_CUT,"숙달",IF(L48&gt;=STEP2,"향상",IF(L48&gt;=STEP1,"유지","보완 필요")))))))</f>
        <v/>
      </c>
      <c r="O48">
        <f>IF(A48="","",IF(AND(H48="응시",ISNUMBER(M48)),M48,""))</f>
        <v/>
      </c>
      <c r="P48">
        <f>IF(A48="","",IF(G48="","결석 - 기록 없음",IF(K48="첫 응시(평가C)","판정 보류 - 평가A·B가 없어 이번 결과가 기준점수",IF(J48="","기준점수 없음",IF(G48&gt;=HIGH_CUT,"숙달 - 이번 정답률이 숙달 기준 이상",IF(L48&gt;=STEP2,"향상 - 기준보다 크게 오름",IF(L48&gt;=STEP1,"유지 - 기준과 비슷함","보완 필요 - 기준보다 크게 내려감"))))))&amp;IF(H48="비경쟁 응시"," / 비경쟁: 팀 점수 제외",""))</f>
        <v/>
      </c>
      <c r="R48" s="3" t="n"/>
      <c r="S48" s="3" t="n"/>
      <c r="T48" s="3" t="n"/>
      <c r="U48" s="3" t="n"/>
      <c r="W48">
        <f>IF(UPPER(TRIM(R48&amp;""))="","",IF(RIGHT(UPPER(TRIM(R48&amp;"")),2)="-N",TRIM(LEFT(UPPER(TRIM(R48&amp;"")),LEN(UPPER(TRIM(R48&amp;"")))-2)),UPPER(TRIM(R48&amp;""))))</f>
        <v/>
      </c>
      <c r="X48">
        <f>IF(W48="","",IF(ISNUMBER(U48),ROUND(U48,1),IF(AND(ISNUMBER(S48),ISNUMBER(T48)),IF(T48&gt;0,ROUND(S48/T48*100,1),""),"")))</f>
        <v/>
      </c>
      <c r="Y48">
        <f>IF(W48="","",IF(RIGHT(UPPER(TRIM(R48&amp;"")),2)="-N","비경쟁",""))</f>
        <v/>
      </c>
      <c r="Z48">
        <f>IF(W48="","",IF(COUNTIF(참가자!$A$3:$A$52,W48)=0,"명단에 없는 코드",""))</f>
        <v/>
      </c>
      <c r="AA48">
        <f>IF(W48="","",IF(ISNUMBER(U48),ROUND(U48*EVAL_ITEMS/100,1),IF(AND(ISNUMBER(S48),ISNUMBER(T48)),IF(T48&gt;0,S48,""),"")))</f>
        <v/>
      </c>
    </row>
    <row r="49">
      <c r="A49">
        <f>IF(참가자!A49="","",UPPER(TRIM(참가자!A49)))</f>
        <v/>
      </c>
      <c r="B49">
        <f>IF(A49="","",IF(참가자!B49="","(팀 없음)",TRIM(참가자!B49)))</f>
        <v/>
      </c>
      <c r="C49">
        <f>IF(A49="","",평가A!C49)</f>
        <v/>
      </c>
      <c r="D49">
        <f>IF(A49="","",평가B!D49)</f>
        <v/>
      </c>
      <c r="E49">
        <f>IF(A49="","",IFERROR(INDEX($AA$3:$AA$102,MATCH(A49,$W$3:$W$102,0)),""))</f>
        <v/>
      </c>
      <c r="F49">
        <f>IF(A49="","",IF(OR(NOT(ISNUMBER(E49)),K49="첫 응시(평가C)",NOT(ISNUMBER(평가A!I49))),"",ROUND(E49-평가A!I49,1)))</f>
        <v/>
      </c>
      <c r="G49">
        <f>IF(A49="","",IFERROR(INDEX($X$3:$X$102,MATCH(A49,$W$3:$W$102,0)),""))</f>
        <v/>
      </c>
      <c r="H49">
        <f>IF(A49="","",IF(G49="","결석",IF(IFERROR(INDEX($Y$3:$Y$102,MATCH(A49,$W$3:$W$102,0)),"")="비경쟁","비경쟁 응시","응시")))</f>
        <v/>
      </c>
      <c r="I49">
        <f>IF(A49="","",IF(COUNTIF($W$3:$W$102,A49)&gt;1,"중복! 확인",""))</f>
        <v/>
      </c>
      <c r="J49">
        <f>IF(A49="","",평가A!G49)</f>
        <v/>
      </c>
      <c r="K49">
        <f>IF(A49="","",평가A!H49)</f>
        <v/>
      </c>
      <c r="L49">
        <f>IF(A49="","",IF(OR(G49="",J49="",K49="첫 응시(평가C)"),"",ROUND(G49-J49,1)))</f>
        <v/>
      </c>
      <c r="M49">
        <f>IF(A49="","",IF(OR(G49="",J49="",K49="첫 응시(평가C)"),"",IF(G49&gt;=HIGH_CUT,PTS_HIGH,IF(L49&gt;=STEP2,PTS_HIGH,IF(L49&gt;=STEP1,PTS_MID,PTS_LOW)))))</f>
        <v/>
      </c>
      <c r="N49">
        <f>IF(A49="","",IF(G49="","",IF(K49="첫 응시(평가C)","보류",IF(J49="","",IF(G49&gt;=HIGH_CUT,"숙달",IF(L49&gt;=STEP2,"향상",IF(L49&gt;=STEP1,"유지","보완 필요")))))))</f>
        <v/>
      </c>
      <c r="O49">
        <f>IF(A49="","",IF(AND(H49="응시",ISNUMBER(M49)),M49,""))</f>
        <v/>
      </c>
      <c r="P49">
        <f>IF(A49="","",IF(G49="","결석 - 기록 없음",IF(K49="첫 응시(평가C)","판정 보류 - 평가A·B가 없어 이번 결과가 기준점수",IF(J49="","기준점수 없음",IF(G49&gt;=HIGH_CUT,"숙달 - 이번 정답률이 숙달 기준 이상",IF(L49&gt;=STEP2,"향상 - 기준보다 크게 오름",IF(L49&gt;=STEP1,"유지 - 기준과 비슷함","보완 필요 - 기준보다 크게 내려감"))))))&amp;IF(H49="비경쟁 응시"," / 비경쟁: 팀 점수 제외",""))</f>
        <v/>
      </c>
      <c r="R49" s="3" t="n"/>
      <c r="S49" s="3" t="n"/>
      <c r="T49" s="3" t="n"/>
      <c r="U49" s="3" t="n"/>
      <c r="W49">
        <f>IF(UPPER(TRIM(R49&amp;""))="","",IF(RIGHT(UPPER(TRIM(R49&amp;"")),2)="-N",TRIM(LEFT(UPPER(TRIM(R49&amp;"")),LEN(UPPER(TRIM(R49&amp;"")))-2)),UPPER(TRIM(R49&amp;""))))</f>
        <v/>
      </c>
      <c r="X49">
        <f>IF(W49="","",IF(ISNUMBER(U49),ROUND(U49,1),IF(AND(ISNUMBER(S49),ISNUMBER(T49)),IF(T49&gt;0,ROUND(S49/T49*100,1),""),"")))</f>
        <v/>
      </c>
      <c r="Y49">
        <f>IF(W49="","",IF(RIGHT(UPPER(TRIM(R49&amp;"")),2)="-N","비경쟁",""))</f>
        <v/>
      </c>
      <c r="Z49">
        <f>IF(W49="","",IF(COUNTIF(참가자!$A$3:$A$52,W49)=0,"명단에 없는 코드",""))</f>
        <v/>
      </c>
      <c r="AA49">
        <f>IF(W49="","",IF(ISNUMBER(U49),ROUND(U49*EVAL_ITEMS/100,1),IF(AND(ISNUMBER(S49),ISNUMBER(T49)),IF(T49&gt;0,S49,""),"")))</f>
        <v/>
      </c>
    </row>
    <row r="50">
      <c r="A50">
        <f>IF(참가자!A50="","",UPPER(TRIM(참가자!A50)))</f>
        <v/>
      </c>
      <c r="B50">
        <f>IF(A50="","",IF(참가자!B50="","(팀 없음)",TRIM(참가자!B50)))</f>
        <v/>
      </c>
      <c r="C50">
        <f>IF(A50="","",평가A!C50)</f>
        <v/>
      </c>
      <c r="D50">
        <f>IF(A50="","",평가B!D50)</f>
        <v/>
      </c>
      <c r="E50">
        <f>IF(A50="","",IFERROR(INDEX($AA$3:$AA$102,MATCH(A50,$W$3:$W$102,0)),""))</f>
        <v/>
      </c>
      <c r="F50">
        <f>IF(A50="","",IF(OR(NOT(ISNUMBER(E50)),K50="첫 응시(평가C)",NOT(ISNUMBER(평가A!I50))),"",ROUND(E50-평가A!I50,1)))</f>
        <v/>
      </c>
      <c r="G50">
        <f>IF(A50="","",IFERROR(INDEX($X$3:$X$102,MATCH(A50,$W$3:$W$102,0)),""))</f>
        <v/>
      </c>
      <c r="H50">
        <f>IF(A50="","",IF(G50="","결석",IF(IFERROR(INDEX($Y$3:$Y$102,MATCH(A50,$W$3:$W$102,0)),"")="비경쟁","비경쟁 응시","응시")))</f>
        <v/>
      </c>
      <c r="I50">
        <f>IF(A50="","",IF(COUNTIF($W$3:$W$102,A50)&gt;1,"중복! 확인",""))</f>
        <v/>
      </c>
      <c r="J50">
        <f>IF(A50="","",평가A!G50)</f>
        <v/>
      </c>
      <c r="K50">
        <f>IF(A50="","",평가A!H50)</f>
        <v/>
      </c>
      <c r="L50">
        <f>IF(A50="","",IF(OR(G50="",J50="",K50="첫 응시(평가C)"),"",ROUND(G50-J50,1)))</f>
        <v/>
      </c>
      <c r="M50">
        <f>IF(A50="","",IF(OR(G50="",J50="",K50="첫 응시(평가C)"),"",IF(G50&gt;=HIGH_CUT,PTS_HIGH,IF(L50&gt;=STEP2,PTS_HIGH,IF(L50&gt;=STEP1,PTS_MID,PTS_LOW)))))</f>
        <v/>
      </c>
      <c r="N50">
        <f>IF(A50="","",IF(G50="","",IF(K50="첫 응시(평가C)","보류",IF(J50="","",IF(G50&gt;=HIGH_CUT,"숙달",IF(L50&gt;=STEP2,"향상",IF(L50&gt;=STEP1,"유지","보완 필요")))))))</f>
        <v/>
      </c>
      <c r="O50">
        <f>IF(A50="","",IF(AND(H50="응시",ISNUMBER(M50)),M50,""))</f>
        <v/>
      </c>
      <c r="P50">
        <f>IF(A50="","",IF(G50="","결석 - 기록 없음",IF(K50="첫 응시(평가C)","판정 보류 - 평가A·B가 없어 이번 결과가 기준점수",IF(J50="","기준점수 없음",IF(G50&gt;=HIGH_CUT,"숙달 - 이번 정답률이 숙달 기준 이상",IF(L50&gt;=STEP2,"향상 - 기준보다 크게 오름",IF(L50&gt;=STEP1,"유지 - 기준과 비슷함","보완 필요 - 기준보다 크게 내려감"))))))&amp;IF(H50="비경쟁 응시"," / 비경쟁: 팀 점수 제외",""))</f>
        <v/>
      </c>
      <c r="R50" s="3" t="n"/>
      <c r="S50" s="3" t="n"/>
      <c r="T50" s="3" t="n"/>
      <c r="U50" s="3" t="n"/>
      <c r="W50">
        <f>IF(UPPER(TRIM(R50&amp;""))="","",IF(RIGHT(UPPER(TRIM(R50&amp;"")),2)="-N",TRIM(LEFT(UPPER(TRIM(R50&amp;"")),LEN(UPPER(TRIM(R50&amp;"")))-2)),UPPER(TRIM(R50&amp;""))))</f>
        <v/>
      </c>
      <c r="X50">
        <f>IF(W50="","",IF(ISNUMBER(U50),ROUND(U50,1),IF(AND(ISNUMBER(S50),ISNUMBER(T50)),IF(T50&gt;0,ROUND(S50/T50*100,1),""),"")))</f>
        <v/>
      </c>
      <c r="Y50">
        <f>IF(W50="","",IF(RIGHT(UPPER(TRIM(R50&amp;"")),2)="-N","비경쟁",""))</f>
        <v/>
      </c>
      <c r="Z50">
        <f>IF(W50="","",IF(COUNTIF(참가자!$A$3:$A$52,W50)=0,"명단에 없는 코드",""))</f>
        <v/>
      </c>
      <c r="AA50">
        <f>IF(W50="","",IF(ISNUMBER(U50),ROUND(U50*EVAL_ITEMS/100,1),IF(AND(ISNUMBER(S50),ISNUMBER(T50)),IF(T50&gt;0,S50,""),"")))</f>
        <v/>
      </c>
    </row>
    <row r="51">
      <c r="A51">
        <f>IF(참가자!A51="","",UPPER(TRIM(참가자!A51)))</f>
        <v/>
      </c>
      <c r="B51">
        <f>IF(A51="","",IF(참가자!B51="","(팀 없음)",TRIM(참가자!B51)))</f>
        <v/>
      </c>
      <c r="C51">
        <f>IF(A51="","",평가A!C51)</f>
        <v/>
      </c>
      <c r="D51">
        <f>IF(A51="","",평가B!D51)</f>
        <v/>
      </c>
      <c r="E51">
        <f>IF(A51="","",IFERROR(INDEX($AA$3:$AA$102,MATCH(A51,$W$3:$W$102,0)),""))</f>
        <v/>
      </c>
      <c r="F51">
        <f>IF(A51="","",IF(OR(NOT(ISNUMBER(E51)),K51="첫 응시(평가C)",NOT(ISNUMBER(평가A!I51))),"",ROUND(E51-평가A!I51,1)))</f>
        <v/>
      </c>
      <c r="G51">
        <f>IF(A51="","",IFERROR(INDEX($X$3:$X$102,MATCH(A51,$W$3:$W$102,0)),""))</f>
        <v/>
      </c>
      <c r="H51">
        <f>IF(A51="","",IF(G51="","결석",IF(IFERROR(INDEX($Y$3:$Y$102,MATCH(A51,$W$3:$W$102,0)),"")="비경쟁","비경쟁 응시","응시")))</f>
        <v/>
      </c>
      <c r="I51">
        <f>IF(A51="","",IF(COUNTIF($W$3:$W$102,A51)&gt;1,"중복! 확인",""))</f>
        <v/>
      </c>
      <c r="J51">
        <f>IF(A51="","",평가A!G51)</f>
        <v/>
      </c>
      <c r="K51">
        <f>IF(A51="","",평가A!H51)</f>
        <v/>
      </c>
      <c r="L51">
        <f>IF(A51="","",IF(OR(G51="",J51="",K51="첫 응시(평가C)"),"",ROUND(G51-J51,1)))</f>
        <v/>
      </c>
      <c r="M51">
        <f>IF(A51="","",IF(OR(G51="",J51="",K51="첫 응시(평가C)"),"",IF(G51&gt;=HIGH_CUT,PTS_HIGH,IF(L51&gt;=STEP2,PTS_HIGH,IF(L51&gt;=STEP1,PTS_MID,PTS_LOW)))))</f>
        <v/>
      </c>
      <c r="N51">
        <f>IF(A51="","",IF(G51="","",IF(K51="첫 응시(평가C)","보류",IF(J51="","",IF(G51&gt;=HIGH_CUT,"숙달",IF(L51&gt;=STEP2,"향상",IF(L51&gt;=STEP1,"유지","보완 필요")))))))</f>
        <v/>
      </c>
      <c r="O51">
        <f>IF(A51="","",IF(AND(H51="응시",ISNUMBER(M51)),M51,""))</f>
        <v/>
      </c>
      <c r="P51">
        <f>IF(A51="","",IF(G51="","결석 - 기록 없음",IF(K51="첫 응시(평가C)","판정 보류 - 평가A·B가 없어 이번 결과가 기준점수",IF(J51="","기준점수 없음",IF(G51&gt;=HIGH_CUT,"숙달 - 이번 정답률이 숙달 기준 이상",IF(L51&gt;=STEP2,"향상 - 기준보다 크게 오름",IF(L51&gt;=STEP1,"유지 - 기준과 비슷함","보완 필요 - 기준보다 크게 내려감"))))))&amp;IF(H51="비경쟁 응시"," / 비경쟁: 팀 점수 제외",""))</f>
        <v/>
      </c>
      <c r="R51" s="3" t="n"/>
      <c r="S51" s="3" t="n"/>
      <c r="T51" s="3" t="n"/>
      <c r="U51" s="3" t="n"/>
      <c r="W51">
        <f>IF(UPPER(TRIM(R51&amp;""))="","",IF(RIGHT(UPPER(TRIM(R51&amp;"")),2)="-N",TRIM(LEFT(UPPER(TRIM(R51&amp;"")),LEN(UPPER(TRIM(R51&amp;"")))-2)),UPPER(TRIM(R51&amp;""))))</f>
        <v/>
      </c>
      <c r="X51">
        <f>IF(W51="","",IF(ISNUMBER(U51),ROUND(U51,1),IF(AND(ISNUMBER(S51),ISNUMBER(T51)),IF(T51&gt;0,ROUND(S51/T51*100,1),""),"")))</f>
        <v/>
      </c>
      <c r="Y51">
        <f>IF(W51="","",IF(RIGHT(UPPER(TRIM(R51&amp;"")),2)="-N","비경쟁",""))</f>
        <v/>
      </c>
      <c r="Z51">
        <f>IF(W51="","",IF(COUNTIF(참가자!$A$3:$A$52,W51)=0,"명단에 없는 코드",""))</f>
        <v/>
      </c>
      <c r="AA51">
        <f>IF(W51="","",IF(ISNUMBER(U51),ROUND(U51*EVAL_ITEMS/100,1),IF(AND(ISNUMBER(S51),ISNUMBER(T51)),IF(T51&gt;0,S51,""),"")))</f>
        <v/>
      </c>
    </row>
    <row r="52">
      <c r="A52">
        <f>IF(참가자!A52="","",UPPER(TRIM(참가자!A52)))</f>
        <v/>
      </c>
      <c r="B52">
        <f>IF(A52="","",IF(참가자!B52="","(팀 없음)",TRIM(참가자!B52)))</f>
        <v/>
      </c>
      <c r="C52">
        <f>IF(A52="","",평가A!C52)</f>
        <v/>
      </c>
      <c r="D52">
        <f>IF(A52="","",평가B!D52)</f>
        <v/>
      </c>
      <c r="E52">
        <f>IF(A52="","",IFERROR(INDEX($AA$3:$AA$102,MATCH(A52,$W$3:$W$102,0)),""))</f>
        <v/>
      </c>
      <c r="F52">
        <f>IF(A52="","",IF(OR(NOT(ISNUMBER(E52)),K52="첫 응시(평가C)",NOT(ISNUMBER(평가A!I52))),"",ROUND(E52-평가A!I52,1)))</f>
        <v/>
      </c>
      <c r="G52">
        <f>IF(A52="","",IFERROR(INDEX($X$3:$X$102,MATCH(A52,$W$3:$W$102,0)),""))</f>
        <v/>
      </c>
      <c r="H52">
        <f>IF(A52="","",IF(G52="","결석",IF(IFERROR(INDEX($Y$3:$Y$102,MATCH(A52,$W$3:$W$102,0)),"")="비경쟁","비경쟁 응시","응시")))</f>
        <v/>
      </c>
      <c r="I52">
        <f>IF(A52="","",IF(COUNTIF($W$3:$W$102,A52)&gt;1,"중복! 확인",""))</f>
        <v/>
      </c>
      <c r="J52">
        <f>IF(A52="","",평가A!G52)</f>
        <v/>
      </c>
      <c r="K52">
        <f>IF(A52="","",평가A!H52)</f>
        <v/>
      </c>
      <c r="L52">
        <f>IF(A52="","",IF(OR(G52="",J52="",K52="첫 응시(평가C)"),"",ROUND(G52-J52,1)))</f>
        <v/>
      </c>
      <c r="M52">
        <f>IF(A52="","",IF(OR(G52="",J52="",K52="첫 응시(평가C)"),"",IF(G52&gt;=HIGH_CUT,PTS_HIGH,IF(L52&gt;=STEP2,PTS_HIGH,IF(L52&gt;=STEP1,PTS_MID,PTS_LOW)))))</f>
        <v/>
      </c>
      <c r="N52">
        <f>IF(A52="","",IF(G52="","",IF(K52="첫 응시(평가C)","보류",IF(J52="","",IF(G52&gt;=HIGH_CUT,"숙달",IF(L52&gt;=STEP2,"향상",IF(L52&gt;=STEP1,"유지","보완 필요")))))))</f>
        <v/>
      </c>
      <c r="O52">
        <f>IF(A52="","",IF(AND(H52="응시",ISNUMBER(M52)),M52,""))</f>
        <v/>
      </c>
      <c r="P52">
        <f>IF(A52="","",IF(G52="","결석 - 기록 없음",IF(K52="첫 응시(평가C)","판정 보류 - 평가A·B가 없어 이번 결과가 기준점수",IF(J52="","기준점수 없음",IF(G52&gt;=HIGH_CUT,"숙달 - 이번 정답률이 숙달 기준 이상",IF(L52&gt;=STEP2,"향상 - 기준보다 크게 오름",IF(L52&gt;=STEP1,"유지 - 기준과 비슷함","보완 필요 - 기준보다 크게 내려감"))))))&amp;IF(H52="비경쟁 응시"," / 비경쟁: 팀 점수 제외",""))</f>
        <v/>
      </c>
      <c r="R52" s="3" t="n"/>
      <c r="S52" s="3" t="n"/>
      <c r="T52" s="3" t="n"/>
      <c r="U52" s="3" t="n"/>
      <c r="W52">
        <f>IF(UPPER(TRIM(R52&amp;""))="","",IF(RIGHT(UPPER(TRIM(R52&amp;"")),2)="-N",TRIM(LEFT(UPPER(TRIM(R52&amp;"")),LEN(UPPER(TRIM(R52&amp;"")))-2)),UPPER(TRIM(R52&amp;""))))</f>
        <v/>
      </c>
      <c r="X52">
        <f>IF(W52="","",IF(ISNUMBER(U52),ROUND(U52,1),IF(AND(ISNUMBER(S52),ISNUMBER(T52)),IF(T52&gt;0,ROUND(S52/T52*100,1),""),"")))</f>
        <v/>
      </c>
      <c r="Y52">
        <f>IF(W52="","",IF(RIGHT(UPPER(TRIM(R52&amp;"")),2)="-N","비경쟁",""))</f>
        <v/>
      </c>
      <c r="Z52">
        <f>IF(W52="","",IF(COUNTIF(참가자!$A$3:$A$52,W52)=0,"명단에 없는 코드",""))</f>
        <v/>
      </c>
      <c r="AA52">
        <f>IF(W52="","",IF(ISNUMBER(U52),ROUND(U52*EVAL_ITEMS/100,1),IF(AND(ISNUMBER(S52),ISNUMBER(T52)),IF(T52&gt;0,S52,""),"")))</f>
        <v/>
      </c>
    </row>
    <row r="53">
      <c r="R53" s="3" t="n"/>
      <c r="S53" s="3" t="n"/>
      <c r="T53" s="3" t="n"/>
      <c r="U53" s="3" t="n"/>
      <c r="W53">
        <f>IF(UPPER(TRIM(R53&amp;""))="","",IF(RIGHT(UPPER(TRIM(R53&amp;"")),2)="-N",TRIM(LEFT(UPPER(TRIM(R53&amp;"")),LEN(UPPER(TRIM(R53&amp;"")))-2)),UPPER(TRIM(R53&amp;""))))</f>
        <v/>
      </c>
      <c r="X53">
        <f>IF(W53="","",IF(ISNUMBER(U53),ROUND(U53,1),IF(AND(ISNUMBER(S53),ISNUMBER(T53)),IF(T53&gt;0,ROUND(S53/T53*100,1),""),"")))</f>
        <v/>
      </c>
      <c r="Y53">
        <f>IF(W53="","",IF(RIGHT(UPPER(TRIM(R53&amp;"")),2)="-N","비경쟁",""))</f>
        <v/>
      </c>
      <c r="Z53">
        <f>IF(W53="","",IF(COUNTIF(참가자!$A$3:$A$52,W53)=0,"명단에 없는 코드",""))</f>
        <v/>
      </c>
      <c r="AA53">
        <f>IF(W53="","",IF(ISNUMBER(U53),ROUND(U53*EVAL_ITEMS/100,1),IF(AND(ISNUMBER(S53),ISNUMBER(T53)),IF(T53&gt;0,S53,""),"")))</f>
        <v/>
      </c>
    </row>
    <row r="54">
      <c r="R54" s="3" t="n"/>
      <c r="S54" s="3" t="n"/>
      <c r="T54" s="3" t="n"/>
      <c r="U54" s="3" t="n"/>
      <c r="W54">
        <f>IF(UPPER(TRIM(R54&amp;""))="","",IF(RIGHT(UPPER(TRIM(R54&amp;"")),2)="-N",TRIM(LEFT(UPPER(TRIM(R54&amp;"")),LEN(UPPER(TRIM(R54&amp;"")))-2)),UPPER(TRIM(R54&amp;""))))</f>
        <v/>
      </c>
      <c r="X54">
        <f>IF(W54="","",IF(ISNUMBER(U54),ROUND(U54,1),IF(AND(ISNUMBER(S54),ISNUMBER(T54)),IF(T54&gt;0,ROUND(S54/T54*100,1),""),"")))</f>
        <v/>
      </c>
      <c r="Y54">
        <f>IF(W54="","",IF(RIGHT(UPPER(TRIM(R54&amp;"")),2)="-N","비경쟁",""))</f>
        <v/>
      </c>
      <c r="Z54">
        <f>IF(W54="","",IF(COUNTIF(참가자!$A$3:$A$52,W54)=0,"명단에 없는 코드",""))</f>
        <v/>
      </c>
      <c r="AA54">
        <f>IF(W54="","",IF(ISNUMBER(U54),ROUND(U54*EVAL_ITEMS/100,1),IF(AND(ISNUMBER(S54),ISNUMBER(T54)),IF(T54&gt;0,S54,""),"")))</f>
        <v/>
      </c>
    </row>
    <row r="55">
      <c r="R55" s="3" t="n"/>
      <c r="S55" s="3" t="n"/>
      <c r="T55" s="3" t="n"/>
      <c r="U55" s="3" t="n"/>
      <c r="W55">
        <f>IF(UPPER(TRIM(R55&amp;""))="","",IF(RIGHT(UPPER(TRIM(R55&amp;"")),2)="-N",TRIM(LEFT(UPPER(TRIM(R55&amp;"")),LEN(UPPER(TRIM(R55&amp;"")))-2)),UPPER(TRIM(R55&amp;""))))</f>
        <v/>
      </c>
      <c r="X55">
        <f>IF(W55="","",IF(ISNUMBER(U55),ROUND(U55,1),IF(AND(ISNUMBER(S55),ISNUMBER(T55)),IF(T55&gt;0,ROUND(S55/T55*100,1),""),"")))</f>
        <v/>
      </c>
      <c r="Y55">
        <f>IF(W55="","",IF(RIGHT(UPPER(TRIM(R55&amp;"")),2)="-N","비경쟁",""))</f>
        <v/>
      </c>
      <c r="Z55">
        <f>IF(W55="","",IF(COUNTIF(참가자!$A$3:$A$52,W55)=0,"명단에 없는 코드",""))</f>
        <v/>
      </c>
      <c r="AA55">
        <f>IF(W55="","",IF(ISNUMBER(U55),ROUND(U55*EVAL_ITEMS/100,1),IF(AND(ISNUMBER(S55),ISNUMBER(T55)),IF(T55&gt;0,S55,""),"")))</f>
        <v/>
      </c>
    </row>
    <row r="56">
      <c r="R56" s="3" t="n"/>
      <c r="S56" s="3" t="n"/>
      <c r="T56" s="3" t="n"/>
      <c r="U56" s="3" t="n"/>
      <c r="W56">
        <f>IF(UPPER(TRIM(R56&amp;""))="","",IF(RIGHT(UPPER(TRIM(R56&amp;"")),2)="-N",TRIM(LEFT(UPPER(TRIM(R56&amp;"")),LEN(UPPER(TRIM(R56&amp;"")))-2)),UPPER(TRIM(R56&amp;""))))</f>
        <v/>
      </c>
      <c r="X56">
        <f>IF(W56="","",IF(ISNUMBER(U56),ROUND(U56,1),IF(AND(ISNUMBER(S56),ISNUMBER(T56)),IF(T56&gt;0,ROUND(S56/T56*100,1),""),"")))</f>
        <v/>
      </c>
      <c r="Y56">
        <f>IF(W56="","",IF(RIGHT(UPPER(TRIM(R56&amp;"")),2)="-N","비경쟁",""))</f>
        <v/>
      </c>
      <c r="Z56">
        <f>IF(W56="","",IF(COUNTIF(참가자!$A$3:$A$52,W56)=0,"명단에 없는 코드",""))</f>
        <v/>
      </c>
      <c r="AA56">
        <f>IF(W56="","",IF(ISNUMBER(U56),ROUND(U56*EVAL_ITEMS/100,1),IF(AND(ISNUMBER(S56),ISNUMBER(T56)),IF(T56&gt;0,S56,""),"")))</f>
        <v/>
      </c>
    </row>
    <row r="57">
      <c r="R57" s="3" t="n"/>
      <c r="S57" s="3" t="n"/>
      <c r="T57" s="3" t="n"/>
      <c r="U57" s="3" t="n"/>
      <c r="W57">
        <f>IF(UPPER(TRIM(R57&amp;""))="","",IF(RIGHT(UPPER(TRIM(R57&amp;"")),2)="-N",TRIM(LEFT(UPPER(TRIM(R57&amp;"")),LEN(UPPER(TRIM(R57&amp;"")))-2)),UPPER(TRIM(R57&amp;""))))</f>
        <v/>
      </c>
      <c r="X57">
        <f>IF(W57="","",IF(ISNUMBER(U57),ROUND(U57,1),IF(AND(ISNUMBER(S57),ISNUMBER(T57)),IF(T57&gt;0,ROUND(S57/T57*100,1),""),"")))</f>
        <v/>
      </c>
      <c r="Y57">
        <f>IF(W57="","",IF(RIGHT(UPPER(TRIM(R57&amp;"")),2)="-N","비경쟁",""))</f>
        <v/>
      </c>
      <c r="Z57">
        <f>IF(W57="","",IF(COUNTIF(참가자!$A$3:$A$52,W57)=0,"명단에 없는 코드",""))</f>
        <v/>
      </c>
      <c r="AA57">
        <f>IF(W57="","",IF(ISNUMBER(U57),ROUND(U57*EVAL_ITEMS/100,1),IF(AND(ISNUMBER(S57),ISNUMBER(T57)),IF(T57&gt;0,S57,""),"")))</f>
        <v/>
      </c>
    </row>
    <row r="58">
      <c r="R58" s="3" t="n"/>
      <c r="S58" s="3" t="n"/>
      <c r="T58" s="3" t="n"/>
      <c r="U58" s="3" t="n"/>
      <c r="W58">
        <f>IF(UPPER(TRIM(R58&amp;""))="","",IF(RIGHT(UPPER(TRIM(R58&amp;"")),2)="-N",TRIM(LEFT(UPPER(TRIM(R58&amp;"")),LEN(UPPER(TRIM(R58&amp;"")))-2)),UPPER(TRIM(R58&amp;""))))</f>
        <v/>
      </c>
      <c r="X58">
        <f>IF(W58="","",IF(ISNUMBER(U58),ROUND(U58,1),IF(AND(ISNUMBER(S58),ISNUMBER(T58)),IF(T58&gt;0,ROUND(S58/T58*100,1),""),"")))</f>
        <v/>
      </c>
      <c r="Y58">
        <f>IF(W58="","",IF(RIGHT(UPPER(TRIM(R58&amp;"")),2)="-N","비경쟁",""))</f>
        <v/>
      </c>
      <c r="Z58">
        <f>IF(W58="","",IF(COUNTIF(참가자!$A$3:$A$52,W58)=0,"명단에 없는 코드",""))</f>
        <v/>
      </c>
      <c r="AA58">
        <f>IF(W58="","",IF(ISNUMBER(U58),ROUND(U58*EVAL_ITEMS/100,1),IF(AND(ISNUMBER(S58),ISNUMBER(T58)),IF(T58&gt;0,S58,""),"")))</f>
        <v/>
      </c>
    </row>
    <row r="59">
      <c r="R59" s="3" t="n"/>
      <c r="S59" s="3" t="n"/>
      <c r="T59" s="3" t="n"/>
      <c r="U59" s="3" t="n"/>
      <c r="W59">
        <f>IF(UPPER(TRIM(R59&amp;""))="","",IF(RIGHT(UPPER(TRIM(R59&amp;"")),2)="-N",TRIM(LEFT(UPPER(TRIM(R59&amp;"")),LEN(UPPER(TRIM(R59&amp;"")))-2)),UPPER(TRIM(R59&amp;""))))</f>
        <v/>
      </c>
      <c r="X59">
        <f>IF(W59="","",IF(ISNUMBER(U59),ROUND(U59,1),IF(AND(ISNUMBER(S59),ISNUMBER(T59)),IF(T59&gt;0,ROUND(S59/T59*100,1),""),"")))</f>
        <v/>
      </c>
      <c r="Y59">
        <f>IF(W59="","",IF(RIGHT(UPPER(TRIM(R59&amp;"")),2)="-N","비경쟁",""))</f>
        <v/>
      </c>
      <c r="Z59">
        <f>IF(W59="","",IF(COUNTIF(참가자!$A$3:$A$52,W59)=0,"명단에 없는 코드",""))</f>
        <v/>
      </c>
      <c r="AA59">
        <f>IF(W59="","",IF(ISNUMBER(U59),ROUND(U59*EVAL_ITEMS/100,1),IF(AND(ISNUMBER(S59),ISNUMBER(T59)),IF(T59&gt;0,S59,""),"")))</f>
        <v/>
      </c>
    </row>
    <row r="60">
      <c r="R60" s="3" t="n"/>
      <c r="S60" s="3" t="n"/>
      <c r="T60" s="3" t="n"/>
      <c r="U60" s="3" t="n"/>
      <c r="W60">
        <f>IF(UPPER(TRIM(R60&amp;""))="","",IF(RIGHT(UPPER(TRIM(R60&amp;"")),2)="-N",TRIM(LEFT(UPPER(TRIM(R60&amp;"")),LEN(UPPER(TRIM(R60&amp;"")))-2)),UPPER(TRIM(R60&amp;""))))</f>
        <v/>
      </c>
      <c r="X60">
        <f>IF(W60="","",IF(ISNUMBER(U60),ROUND(U60,1),IF(AND(ISNUMBER(S60),ISNUMBER(T60)),IF(T60&gt;0,ROUND(S60/T60*100,1),""),"")))</f>
        <v/>
      </c>
      <c r="Y60">
        <f>IF(W60="","",IF(RIGHT(UPPER(TRIM(R60&amp;"")),2)="-N","비경쟁",""))</f>
        <v/>
      </c>
      <c r="Z60">
        <f>IF(W60="","",IF(COUNTIF(참가자!$A$3:$A$52,W60)=0,"명단에 없는 코드",""))</f>
        <v/>
      </c>
      <c r="AA60">
        <f>IF(W60="","",IF(ISNUMBER(U60),ROUND(U60*EVAL_ITEMS/100,1),IF(AND(ISNUMBER(S60),ISNUMBER(T60)),IF(T60&gt;0,S60,""),"")))</f>
        <v/>
      </c>
    </row>
    <row r="61">
      <c r="R61" s="3" t="n"/>
      <c r="S61" s="3" t="n"/>
      <c r="T61" s="3" t="n"/>
      <c r="U61" s="3" t="n"/>
      <c r="W61">
        <f>IF(UPPER(TRIM(R61&amp;""))="","",IF(RIGHT(UPPER(TRIM(R61&amp;"")),2)="-N",TRIM(LEFT(UPPER(TRIM(R61&amp;"")),LEN(UPPER(TRIM(R61&amp;"")))-2)),UPPER(TRIM(R61&amp;""))))</f>
        <v/>
      </c>
      <c r="X61">
        <f>IF(W61="","",IF(ISNUMBER(U61),ROUND(U61,1),IF(AND(ISNUMBER(S61),ISNUMBER(T61)),IF(T61&gt;0,ROUND(S61/T61*100,1),""),"")))</f>
        <v/>
      </c>
      <c r="Y61">
        <f>IF(W61="","",IF(RIGHT(UPPER(TRIM(R61&amp;"")),2)="-N","비경쟁",""))</f>
        <v/>
      </c>
      <c r="Z61">
        <f>IF(W61="","",IF(COUNTIF(참가자!$A$3:$A$52,W61)=0,"명단에 없는 코드",""))</f>
        <v/>
      </c>
      <c r="AA61">
        <f>IF(W61="","",IF(ISNUMBER(U61),ROUND(U61*EVAL_ITEMS/100,1),IF(AND(ISNUMBER(S61),ISNUMBER(T61)),IF(T61&gt;0,S61,""),"")))</f>
        <v/>
      </c>
    </row>
    <row r="62">
      <c r="R62" s="3" t="n"/>
      <c r="S62" s="3" t="n"/>
      <c r="T62" s="3" t="n"/>
      <c r="U62" s="3" t="n"/>
      <c r="W62">
        <f>IF(UPPER(TRIM(R62&amp;""))="","",IF(RIGHT(UPPER(TRIM(R62&amp;"")),2)="-N",TRIM(LEFT(UPPER(TRIM(R62&amp;"")),LEN(UPPER(TRIM(R62&amp;"")))-2)),UPPER(TRIM(R62&amp;""))))</f>
        <v/>
      </c>
      <c r="X62">
        <f>IF(W62="","",IF(ISNUMBER(U62),ROUND(U62,1),IF(AND(ISNUMBER(S62),ISNUMBER(T62)),IF(T62&gt;0,ROUND(S62/T62*100,1),""),"")))</f>
        <v/>
      </c>
      <c r="Y62">
        <f>IF(W62="","",IF(RIGHT(UPPER(TRIM(R62&amp;"")),2)="-N","비경쟁",""))</f>
        <v/>
      </c>
      <c r="Z62">
        <f>IF(W62="","",IF(COUNTIF(참가자!$A$3:$A$52,W62)=0,"명단에 없는 코드",""))</f>
        <v/>
      </c>
      <c r="AA62">
        <f>IF(W62="","",IF(ISNUMBER(U62),ROUND(U62*EVAL_ITEMS/100,1),IF(AND(ISNUMBER(S62),ISNUMBER(T62)),IF(T62&gt;0,S62,""),"")))</f>
        <v/>
      </c>
    </row>
    <row r="63">
      <c r="R63" s="3" t="n"/>
      <c r="S63" s="3" t="n"/>
      <c r="T63" s="3" t="n"/>
      <c r="U63" s="3" t="n"/>
      <c r="W63">
        <f>IF(UPPER(TRIM(R63&amp;""))="","",IF(RIGHT(UPPER(TRIM(R63&amp;"")),2)="-N",TRIM(LEFT(UPPER(TRIM(R63&amp;"")),LEN(UPPER(TRIM(R63&amp;"")))-2)),UPPER(TRIM(R63&amp;""))))</f>
        <v/>
      </c>
      <c r="X63">
        <f>IF(W63="","",IF(ISNUMBER(U63),ROUND(U63,1),IF(AND(ISNUMBER(S63),ISNUMBER(T63)),IF(T63&gt;0,ROUND(S63/T63*100,1),""),"")))</f>
        <v/>
      </c>
      <c r="Y63">
        <f>IF(W63="","",IF(RIGHT(UPPER(TRIM(R63&amp;"")),2)="-N","비경쟁",""))</f>
        <v/>
      </c>
      <c r="Z63">
        <f>IF(W63="","",IF(COUNTIF(참가자!$A$3:$A$52,W63)=0,"명단에 없는 코드",""))</f>
        <v/>
      </c>
      <c r="AA63">
        <f>IF(W63="","",IF(ISNUMBER(U63),ROUND(U63*EVAL_ITEMS/100,1),IF(AND(ISNUMBER(S63),ISNUMBER(T63)),IF(T63&gt;0,S63,""),"")))</f>
        <v/>
      </c>
    </row>
    <row r="64">
      <c r="R64" s="3" t="n"/>
      <c r="S64" s="3" t="n"/>
      <c r="T64" s="3" t="n"/>
      <c r="U64" s="3" t="n"/>
      <c r="W64">
        <f>IF(UPPER(TRIM(R64&amp;""))="","",IF(RIGHT(UPPER(TRIM(R64&amp;"")),2)="-N",TRIM(LEFT(UPPER(TRIM(R64&amp;"")),LEN(UPPER(TRIM(R64&amp;"")))-2)),UPPER(TRIM(R64&amp;""))))</f>
        <v/>
      </c>
      <c r="X64">
        <f>IF(W64="","",IF(ISNUMBER(U64),ROUND(U64,1),IF(AND(ISNUMBER(S64),ISNUMBER(T64)),IF(T64&gt;0,ROUND(S64/T64*100,1),""),"")))</f>
        <v/>
      </c>
      <c r="Y64">
        <f>IF(W64="","",IF(RIGHT(UPPER(TRIM(R64&amp;"")),2)="-N","비경쟁",""))</f>
        <v/>
      </c>
      <c r="Z64">
        <f>IF(W64="","",IF(COUNTIF(참가자!$A$3:$A$52,W64)=0,"명단에 없는 코드",""))</f>
        <v/>
      </c>
      <c r="AA64">
        <f>IF(W64="","",IF(ISNUMBER(U64),ROUND(U64*EVAL_ITEMS/100,1),IF(AND(ISNUMBER(S64),ISNUMBER(T64)),IF(T64&gt;0,S64,""),"")))</f>
        <v/>
      </c>
    </row>
    <row r="65">
      <c r="R65" s="3" t="n"/>
      <c r="S65" s="3" t="n"/>
      <c r="T65" s="3" t="n"/>
      <c r="U65" s="3" t="n"/>
      <c r="W65">
        <f>IF(UPPER(TRIM(R65&amp;""))="","",IF(RIGHT(UPPER(TRIM(R65&amp;"")),2)="-N",TRIM(LEFT(UPPER(TRIM(R65&amp;"")),LEN(UPPER(TRIM(R65&amp;"")))-2)),UPPER(TRIM(R65&amp;""))))</f>
        <v/>
      </c>
      <c r="X65">
        <f>IF(W65="","",IF(ISNUMBER(U65),ROUND(U65,1),IF(AND(ISNUMBER(S65),ISNUMBER(T65)),IF(T65&gt;0,ROUND(S65/T65*100,1),""),"")))</f>
        <v/>
      </c>
      <c r="Y65">
        <f>IF(W65="","",IF(RIGHT(UPPER(TRIM(R65&amp;"")),2)="-N","비경쟁",""))</f>
        <v/>
      </c>
      <c r="Z65">
        <f>IF(W65="","",IF(COUNTIF(참가자!$A$3:$A$52,W65)=0,"명단에 없는 코드",""))</f>
        <v/>
      </c>
      <c r="AA65">
        <f>IF(W65="","",IF(ISNUMBER(U65),ROUND(U65*EVAL_ITEMS/100,1),IF(AND(ISNUMBER(S65),ISNUMBER(T65)),IF(T65&gt;0,S65,""),"")))</f>
        <v/>
      </c>
    </row>
    <row r="66">
      <c r="R66" s="3" t="n"/>
      <c r="S66" s="3" t="n"/>
      <c r="T66" s="3" t="n"/>
      <c r="U66" s="3" t="n"/>
      <c r="W66">
        <f>IF(UPPER(TRIM(R66&amp;""))="","",IF(RIGHT(UPPER(TRIM(R66&amp;"")),2)="-N",TRIM(LEFT(UPPER(TRIM(R66&amp;"")),LEN(UPPER(TRIM(R66&amp;"")))-2)),UPPER(TRIM(R66&amp;""))))</f>
        <v/>
      </c>
      <c r="X66">
        <f>IF(W66="","",IF(ISNUMBER(U66),ROUND(U66,1),IF(AND(ISNUMBER(S66),ISNUMBER(T66)),IF(T66&gt;0,ROUND(S66/T66*100,1),""),"")))</f>
        <v/>
      </c>
      <c r="Y66">
        <f>IF(W66="","",IF(RIGHT(UPPER(TRIM(R66&amp;"")),2)="-N","비경쟁",""))</f>
        <v/>
      </c>
      <c r="Z66">
        <f>IF(W66="","",IF(COUNTIF(참가자!$A$3:$A$52,W66)=0,"명단에 없는 코드",""))</f>
        <v/>
      </c>
      <c r="AA66">
        <f>IF(W66="","",IF(ISNUMBER(U66),ROUND(U66*EVAL_ITEMS/100,1),IF(AND(ISNUMBER(S66),ISNUMBER(T66)),IF(T66&gt;0,S66,""),"")))</f>
        <v/>
      </c>
    </row>
    <row r="67">
      <c r="R67" s="3" t="n"/>
      <c r="S67" s="3" t="n"/>
      <c r="T67" s="3" t="n"/>
      <c r="U67" s="3" t="n"/>
      <c r="W67">
        <f>IF(UPPER(TRIM(R67&amp;""))="","",IF(RIGHT(UPPER(TRIM(R67&amp;"")),2)="-N",TRIM(LEFT(UPPER(TRIM(R67&amp;"")),LEN(UPPER(TRIM(R67&amp;"")))-2)),UPPER(TRIM(R67&amp;""))))</f>
        <v/>
      </c>
      <c r="X67">
        <f>IF(W67="","",IF(ISNUMBER(U67),ROUND(U67,1),IF(AND(ISNUMBER(S67),ISNUMBER(T67)),IF(T67&gt;0,ROUND(S67/T67*100,1),""),"")))</f>
        <v/>
      </c>
      <c r="Y67">
        <f>IF(W67="","",IF(RIGHT(UPPER(TRIM(R67&amp;"")),2)="-N","비경쟁",""))</f>
        <v/>
      </c>
      <c r="Z67">
        <f>IF(W67="","",IF(COUNTIF(참가자!$A$3:$A$52,W67)=0,"명단에 없는 코드",""))</f>
        <v/>
      </c>
      <c r="AA67">
        <f>IF(W67="","",IF(ISNUMBER(U67),ROUND(U67*EVAL_ITEMS/100,1),IF(AND(ISNUMBER(S67),ISNUMBER(T67)),IF(T67&gt;0,S67,""),"")))</f>
        <v/>
      </c>
    </row>
    <row r="68">
      <c r="R68" s="3" t="n"/>
      <c r="S68" s="3" t="n"/>
      <c r="T68" s="3" t="n"/>
      <c r="U68" s="3" t="n"/>
      <c r="W68">
        <f>IF(UPPER(TRIM(R68&amp;""))="","",IF(RIGHT(UPPER(TRIM(R68&amp;"")),2)="-N",TRIM(LEFT(UPPER(TRIM(R68&amp;"")),LEN(UPPER(TRIM(R68&amp;"")))-2)),UPPER(TRIM(R68&amp;""))))</f>
        <v/>
      </c>
      <c r="X68">
        <f>IF(W68="","",IF(ISNUMBER(U68),ROUND(U68,1),IF(AND(ISNUMBER(S68),ISNUMBER(T68)),IF(T68&gt;0,ROUND(S68/T68*100,1),""),"")))</f>
        <v/>
      </c>
      <c r="Y68">
        <f>IF(W68="","",IF(RIGHT(UPPER(TRIM(R68&amp;"")),2)="-N","비경쟁",""))</f>
        <v/>
      </c>
      <c r="Z68">
        <f>IF(W68="","",IF(COUNTIF(참가자!$A$3:$A$52,W68)=0,"명단에 없는 코드",""))</f>
        <v/>
      </c>
      <c r="AA68">
        <f>IF(W68="","",IF(ISNUMBER(U68),ROUND(U68*EVAL_ITEMS/100,1),IF(AND(ISNUMBER(S68),ISNUMBER(T68)),IF(T68&gt;0,S68,""),"")))</f>
        <v/>
      </c>
    </row>
    <row r="69">
      <c r="R69" s="3" t="n"/>
      <c r="S69" s="3" t="n"/>
      <c r="T69" s="3" t="n"/>
      <c r="U69" s="3" t="n"/>
      <c r="W69">
        <f>IF(UPPER(TRIM(R69&amp;""))="","",IF(RIGHT(UPPER(TRIM(R69&amp;"")),2)="-N",TRIM(LEFT(UPPER(TRIM(R69&amp;"")),LEN(UPPER(TRIM(R69&amp;"")))-2)),UPPER(TRIM(R69&amp;""))))</f>
        <v/>
      </c>
      <c r="X69">
        <f>IF(W69="","",IF(ISNUMBER(U69),ROUND(U69,1),IF(AND(ISNUMBER(S69),ISNUMBER(T69)),IF(T69&gt;0,ROUND(S69/T69*100,1),""),"")))</f>
        <v/>
      </c>
      <c r="Y69">
        <f>IF(W69="","",IF(RIGHT(UPPER(TRIM(R69&amp;"")),2)="-N","비경쟁",""))</f>
        <v/>
      </c>
      <c r="Z69">
        <f>IF(W69="","",IF(COUNTIF(참가자!$A$3:$A$52,W69)=0,"명단에 없는 코드",""))</f>
        <v/>
      </c>
      <c r="AA69">
        <f>IF(W69="","",IF(ISNUMBER(U69),ROUND(U69*EVAL_ITEMS/100,1),IF(AND(ISNUMBER(S69),ISNUMBER(T69)),IF(T69&gt;0,S69,""),"")))</f>
        <v/>
      </c>
    </row>
    <row r="70">
      <c r="R70" s="3" t="n"/>
      <c r="S70" s="3" t="n"/>
      <c r="T70" s="3" t="n"/>
      <c r="U70" s="3" t="n"/>
      <c r="W70">
        <f>IF(UPPER(TRIM(R70&amp;""))="","",IF(RIGHT(UPPER(TRIM(R70&amp;"")),2)="-N",TRIM(LEFT(UPPER(TRIM(R70&amp;"")),LEN(UPPER(TRIM(R70&amp;"")))-2)),UPPER(TRIM(R70&amp;""))))</f>
        <v/>
      </c>
      <c r="X70">
        <f>IF(W70="","",IF(ISNUMBER(U70),ROUND(U70,1),IF(AND(ISNUMBER(S70),ISNUMBER(T70)),IF(T70&gt;0,ROUND(S70/T70*100,1),""),"")))</f>
        <v/>
      </c>
      <c r="Y70">
        <f>IF(W70="","",IF(RIGHT(UPPER(TRIM(R70&amp;"")),2)="-N","비경쟁",""))</f>
        <v/>
      </c>
      <c r="Z70">
        <f>IF(W70="","",IF(COUNTIF(참가자!$A$3:$A$52,W70)=0,"명단에 없는 코드",""))</f>
        <v/>
      </c>
      <c r="AA70">
        <f>IF(W70="","",IF(ISNUMBER(U70),ROUND(U70*EVAL_ITEMS/100,1),IF(AND(ISNUMBER(S70),ISNUMBER(T70)),IF(T70&gt;0,S70,""),"")))</f>
        <v/>
      </c>
    </row>
    <row r="71">
      <c r="R71" s="3" t="n"/>
      <c r="S71" s="3" t="n"/>
      <c r="T71" s="3" t="n"/>
      <c r="U71" s="3" t="n"/>
      <c r="W71">
        <f>IF(UPPER(TRIM(R71&amp;""))="","",IF(RIGHT(UPPER(TRIM(R71&amp;"")),2)="-N",TRIM(LEFT(UPPER(TRIM(R71&amp;"")),LEN(UPPER(TRIM(R71&amp;"")))-2)),UPPER(TRIM(R71&amp;""))))</f>
        <v/>
      </c>
      <c r="X71">
        <f>IF(W71="","",IF(ISNUMBER(U71),ROUND(U71,1),IF(AND(ISNUMBER(S71),ISNUMBER(T71)),IF(T71&gt;0,ROUND(S71/T71*100,1),""),"")))</f>
        <v/>
      </c>
      <c r="Y71">
        <f>IF(W71="","",IF(RIGHT(UPPER(TRIM(R71&amp;"")),2)="-N","비경쟁",""))</f>
        <v/>
      </c>
      <c r="Z71">
        <f>IF(W71="","",IF(COUNTIF(참가자!$A$3:$A$52,W71)=0,"명단에 없는 코드",""))</f>
        <v/>
      </c>
      <c r="AA71">
        <f>IF(W71="","",IF(ISNUMBER(U71),ROUND(U71*EVAL_ITEMS/100,1),IF(AND(ISNUMBER(S71),ISNUMBER(T71)),IF(T71&gt;0,S71,""),"")))</f>
        <v/>
      </c>
    </row>
    <row r="72">
      <c r="R72" s="3" t="n"/>
      <c r="S72" s="3" t="n"/>
      <c r="T72" s="3" t="n"/>
      <c r="U72" s="3" t="n"/>
      <c r="W72">
        <f>IF(UPPER(TRIM(R72&amp;""))="","",IF(RIGHT(UPPER(TRIM(R72&amp;"")),2)="-N",TRIM(LEFT(UPPER(TRIM(R72&amp;"")),LEN(UPPER(TRIM(R72&amp;"")))-2)),UPPER(TRIM(R72&amp;""))))</f>
        <v/>
      </c>
      <c r="X72">
        <f>IF(W72="","",IF(ISNUMBER(U72),ROUND(U72,1),IF(AND(ISNUMBER(S72),ISNUMBER(T72)),IF(T72&gt;0,ROUND(S72/T72*100,1),""),"")))</f>
        <v/>
      </c>
      <c r="Y72">
        <f>IF(W72="","",IF(RIGHT(UPPER(TRIM(R72&amp;"")),2)="-N","비경쟁",""))</f>
        <v/>
      </c>
      <c r="Z72">
        <f>IF(W72="","",IF(COUNTIF(참가자!$A$3:$A$52,W72)=0,"명단에 없는 코드",""))</f>
        <v/>
      </c>
      <c r="AA72">
        <f>IF(W72="","",IF(ISNUMBER(U72),ROUND(U72*EVAL_ITEMS/100,1),IF(AND(ISNUMBER(S72),ISNUMBER(T72)),IF(T72&gt;0,S72,""),"")))</f>
        <v/>
      </c>
    </row>
    <row r="73">
      <c r="R73" s="3" t="n"/>
      <c r="S73" s="3" t="n"/>
      <c r="T73" s="3" t="n"/>
      <c r="U73" s="3" t="n"/>
      <c r="W73">
        <f>IF(UPPER(TRIM(R73&amp;""))="","",IF(RIGHT(UPPER(TRIM(R73&amp;"")),2)="-N",TRIM(LEFT(UPPER(TRIM(R73&amp;"")),LEN(UPPER(TRIM(R73&amp;"")))-2)),UPPER(TRIM(R73&amp;""))))</f>
        <v/>
      </c>
      <c r="X73">
        <f>IF(W73="","",IF(ISNUMBER(U73),ROUND(U73,1),IF(AND(ISNUMBER(S73),ISNUMBER(T73)),IF(T73&gt;0,ROUND(S73/T73*100,1),""),"")))</f>
        <v/>
      </c>
      <c r="Y73">
        <f>IF(W73="","",IF(RIGHT(UPPER(TRIM(R73&amp;"")),2)="-N","비경쟁",""))</f>
        <v/>
      </c>
      <c r="Z73">
        <f>IF(W73="","",IF(COUNTIF(참가자!$A$3:$A$52,W73)=0,"명단에 없는 코드",""))</f>
        <v/>
      </c>
      <c r="AA73">
        <f>IF(W73="","",IF(ISNUMBER(U73),ROUND(U73*EVAL_ITEMS/100,1),IF(AND(ISNUMBER(S73),ISNUMBER(T73)),IF(T73&gt;0,S73,""),"")))</f>
        <v/>
      </c>
    </row>
    <row r="74">
      <c r="R74" s="3" t="n"/>
      <c r="S74" s="3" t="n"/>
      <c r="T74" s="3" t="n"/>
      <c r="U74" s="3" t="n"/>
      <c r="W74">
        <f>IF(UPPER(TRIM(R74&amp;""))="","",IF(RIGHT(UPPER(TRIM(R74&amp;"")),2)="-N",TRIM(LEFT(UPPER(TRIM(R74&amp;"")),LEN(UPPER(TRIM(R74&amp;"")))-2)),UPPER(TRIM(R74&amp;""))))</f>
        <v/>
      </c>
      <c r="X74">
        <f>IF(W74="","",IF(ISNUMBER(U74),ROUND(U74,1),IF(AND(ISNUMBER(S74),ISNUMBER(T74)),IF(T74&gt;0,ROUND(S74/T74*100,1),""),"")))</f>
        <v/>
      </c>
      <c r="Y74">
        <f>IF(W74="","",IF(RIGHT(UPPER(TRIM(R74&amp;"")),2)="-N","비경쟁",""))</f>
        <v/>
      </c>
      <c r="Z74">
        <f>IF(W74="","",IF(COUNTIF(참가자!$A$3:$A$52,W74)=0,"명단에 없는 코드",""))</f>
        <v/>
      </c>
      <c r="AA74">
        <f>IF(W74="","",IF(ISNUMBER(U74),ROUND(U74*EVAL_ITEMS/100,1),IF(AND(ISNUMBER(S74),ISNUMBER(T74)),IF(T74&gt;0,S74,""),"")))</f>
        <v/>
      </c>
    </row>
    <row r="75">
      <c r="R75" s="3" t="n"/>
      <c r="S75" s="3" t="n"/>
      <c r="T75" s="3" t="n"/>
      <c r="U75" s="3" t="n"/>
      <c r="W75">
        <f>IF(UPPER(TRIM(R75&amp;""))="","",IF(RIGHT(UPPER(TRIM(R75&amp;"")),2)="-N",TRIM(LEFT(UPPER(TRIM(R75&amp;"")),LEN(UPPER(TRIM(R75&amp;"")))-2)),UPPER(TRIM(R75&amp;""))))</f>
        <v/>
      </c>
      <c r="X75">
        <f>IF(W75="","",IF(ISNUMBER(U75),ROUND(U75,1),IF(AND(ISNUMBER(S75),ISNUMBER(T75)),IF(T75&gt;0,ROUND(S75/T75*100,1),""),"")))</f>
        <v/>
      </c>
      <c r="Y75">
        <f>IF(W75="","",IF(RIGHT(UPPER(TRIM(R75&amp;"")),2)="-N","비경쟁",""))</f>
        <v/>
      </c>
      <c r="Z75">
        <f>IF(W75="","",IF(COUNTIF(참가자!$A$3:$A$52,W75)=0,"명단에 없는 코드",""))</f>
        <v/>
      </c>
      <c r="AA75">
        <f>IF(W75="","",IF(ISNUMBER(U75),ROUND(U75*EVAL_ITEMS/100,1),IF(AND(ISNUMBER(S75),ISNUMBER(T75)),IF(T75&gt;0,S75,""),"")))</f>
        <v/>
      </c>
    </row>
    <row r="76">
      <c r="R76" s="3" t="n"/>
      <c r="S76" s="3" t="n"/>
      <c r="T76" s="3" t="n"/>
      <c r="U76" s="3" t="n"/>
      <c r="W76">
        <f>IF(UPPER(TRIM(R76&amp;""))="","",IF(RIGHT(UPPER(TRIM(R76&amp;"")),2)="-N",TRIM(LEFT(UPPER(TRIM(R76&amp;"")),LEN(UPPER(TRIM(R76&amp;"")))-2)),UPPER(TRIM(R76&amp;""))))</f>
        <v/>
      </c>
      <c r="X76">
        <f>IF(W76="","",IF(ISNUMBER(U76),ROUND(U76,1),IF(AND(ISNUMBER(S76),ISNUMBER(T76)),IF(T76&gt;0,ROUND(S76/T76*100,1),""),"")))</f>
        <v/>
      </c>
      <c r="Y76">
        <f>IF(W76="","",IF(RIGHT(UPPER(TRIM(R76&amp;"")),2)="-N","비경쟁",""))</f>
        <v/>
      </c>
      <c r="Z76">
        <f>IF(W76="","",IF(COUNTIF(참가자!$A$3:$A$52,W76)=0,"명단에 없는 코드",""))</f>
        <v/>
      </c>
      <c r="AA76">
        <f>IF(W76="","",IF(ISNUMBER(U76),ROUND(U76*EVAL_ITEMS/100,1),IF(AND(ISNUMBER(S76),ISNUMBER(T76)),IF(T76&gt;0,S76,""),"")))</f>
        <v/>
      </c>
    </row>
    <row r="77">
      <c r="R77" s="3" t="n"/>
      <c r="S77" s="3" t="n"/>
      <c r="T77" s="3" t="n"/>
      <c r="U77" s="3" t="n"/>
      <c r="W77">
        <f>IF(UPPER(TRIM(R77&amp;""))="","",IF(RIGHT(UPPER(TRIM(R77&amp;"")),2)="-N",TRIM(LEFT(UPPER(TRIM(R77&amp;"")),LEN(UPPER(TRIM(R77&amp;"")))-2)),UPPER(TRIM(R77&amp;""))))</f>
        <v/>
      </c>
      <c r="X77">
        <f>IF(W77="","",IF(ISNUMBER(U77),ROUND(U77,1),IF(AND(ISNUMBER(S77),ISNUMBER(T77)),IF(T77&gt;0,ROUND(S77/T77*100,1),""),"")))</f>
        <v/>
      </c>
      <c r="Y77">
        <f>IF(W77="","",IF(RIGHT(UPPER(TRIM(R77&amp;"")),2)="-N","비경쟁",""))</f>
        <v/>
      </c>
      <c r="Z77">
        <f>IF(W77="","",IF(COUNTIF(참가자!$A$3:$A$52,W77)=0,"명단에 없는 코드",""))</f>
        <v/>
      </c>
      <c r="AA77">
        <f>IF(W77="","",IF(ISNUMBER(U77),ROUND(U77*EVAL_ITEMS/100,1),IF(AND(ISNUMBER(S77),ISNUMBER(T77)),IF(T77&gt;0,S77,""),"")))</f>
        <v/>
      </c>
    </row>
    <row r="78">
      <c r="R78" s="3" t="n"/>
      <c r="S78" s="3" t="n"/>
      <c r="T78" s="3" t="n"/>
      <c r="U78" s="3" t="n"/>
      <c r="W78">
        <f>IF(UPPER(TRIM(R78&amp;""))="","",IF(RIGHT(UPPER(TRIM(R78&amp;"")),2)="-N",TRIM(LEFT(UPPER(TRIM(R78&amp;"")),LEN(UPPER(TRIM(R78&amp;"")))-2)),UPPER(TRIM(R78&amp;""))))</f>
        <v/>
      </c>
      <c r="X78">
        <f>IF(W78="","",IF(ISNUMBER(U78),ROUND(U78,1),IF(AND(ISNUMBER(S78),ISNUMBER(T78)),IF(T78&gt;0,ROUND(S78/T78*100,1),""),"")))</f>
        <v/>
      </c>
      <c r="Y78">
        <f>IF(W78="","",IF(RIGHT(UPPER(TRIM(R78&amp;"")),2)="-N","비경쟁",""))</f>
        <v/>
      </c>
      <c r="Z78">
        <f>IF(W78="","",IF(COUNTIF(참가자!$A$3:$A$52,W78)=0,"명단에 없는 코드",""))</f>
        <v/>
      </c>
      <c r="AA78">
        <f>IF(W78="","",IF(ISNUMBER(U78),ROUND(U78*EVAL_ITEMS/100,1),IF(AND(ISNUMBER(S78),ISNUMBER(T78)),IF(T78&gt;0,S78,""),"")))</f>
        <v/>
      </c>
    </row>
    <row r="79">
      <c r="R79" s="3" t="n"/>
      <c r="S79" s="3" t="n"/>
      <c r="T79" s="3" t="n"/>
      <c r="U79" s="3" t="n"/>
      <c r="W79">
        <f>IF(UPPER(TRIM(R79&amp;""))="","",IF(RIGHT(UPPER(TRIM(R79&amp;"")),2)="-N",TRIM(LEFT(UPPER(TRIM(R79&amp;"")),LEN(UPPER(TRIM(R79&amp;"")))-2)),UPPER(TRIM(R79&amp;""))))</f>
        <v/>
      </c>
      <c r="X79">
        <f>IF(W79="","",IF(ISNUMBER(U79),ROUND(U79,1),IF(AND(ISNUMBER(S79),ISNUMBER(T79)),IF(T79&gt;0,ROUND(S79/T79*100,1),""),"")))</f>
        <v/>
      </c>
      <c r="Y79">
        <f>IF(W79="","",IF(RIGHT(UPPER(TRIM(R79&amp;"")),2)="-N","비경쟁",""))</f>
        <v/>
      </c>
      <c r="Z79">
        <f>IF(W79="","",IF(COUNTIF(참가자!$A$3:$A$52,W79)=0,"명단에 없는 코드",""))</f>
        <v/>
      </c>
      <c r="AA79">
        <f>IF(W79="","",IF(ISNUMBER(U79),ROUND(U79*EVAL_ITEMS/100,1),IF(AND(ISNUMBER(S79),ISNUMBER(T79)),IF(T79&gt;0,S79,""),"")))</f>
        <v/>
      </c>
    </row>
    <row r="80">
      <c r="R80" s="3" t="n"/>
      <c r="S80" s="3" t="n"/>
      <c r="T80" s="3" t="n"/>
      <c r="U80" s="3" t="n"/>
      <c r="W80">
        <f>IF(UPPER(TRIM(R80&amp;""))="","",IF(RIGHT(UPPER(TRIM(R80&amp;"")),2)="-N",TRIM(LEFT(UPPER(TRIM(R80&amp;"")),LEN(UPPER(TRIM(R80&amp;"")))-2)),UPPER(TRIM(R80&amp;""))))</f>
        <v/>
      </c>
      <c r="X80">
        <f>IF(W80="","",IF(ISNUMBER(U80),ROUND(U80,1),IF(AND(ISNUMBER(S80),ISNUMBER(T80)),IF(T80&gt;0,ROUND(S80/T80*100,1),""),"")))</f>
        <v/>
      </c>
      <c r="Y80">
        <f>IF(W80="","",IF(RIGHT(UPPER(TRIM(R80&amp;"")),2)="-N","비경쟁",""))</f>
        <v/>
      </c>
      <c r="Z80">
        <f>IF(W80="","",IF(COUNTIF(참가자!$A$3:$A$52,W80)=0,"명단에 없는 코드",""))</f>
        <v/>
      </c>
      <c r="AA80">
        <f>IF(W80="","",IF(ISNUMBER(U80),ROUND(U80*EVAL_ITEMS/100,1),IF(AND(ISNUMBER(S80),ISNUMBER(T80)),IF(T80&gt;0,S80,""),"")))</f>
        <v/>
      </c>
    </row>
    <row r="81">
      <c r="R81" s="3" t="n"/>
      <c r="S81" s="3" t="n"/>
      <c r="T81" s="3" t="n"/>
      <c r="U81" s="3" t="n"/>
      <c r="W81">
        <f>IF(UPPER(TRIM(R81&amp;""))="","",IF(RIGHT(UPPER(TRIM(R81&amp;"")),2)="-N",TRIM(LEFT(UPPER(TRIM(R81&amp;"")),LEN(UPPER(TRIM(R81&amp;"")))-2)),UPPER(TRIM(R81&amp;""))))</f>
        <v/>
      </c>
      <c r="X81">
        <f>IF(W81="","",IF(ISNUMBER(U81),ROUND(U81,1),IF(AND(ISNUMBER(S81),ISNUMBER(T81)),IF(T81&gt;0,ROUND(S81/T81*100,1),""),"")))</f>
        <v/>
      </c>
      <c r="Y81">
        <f>IF(W81="","",IF(RIGHT(UPPER(TRIM(R81&amp;"")),2)="-N","비경쟁",""))</f>
        <v/>
      </c>
      <c r="Z81">
        <f>IF(W81="","",IF(COUNTIF(참가자!$A$3:$A$52,W81)=0,"명단에 없는 코드",""))</f>
        <v/>
      </c>
      <c r="AA81">
        <f>IF(W81="","",IF(ISNUMBER(U81),ROUND(U81*EVAL_ITEMS/100,1),IF(AND(ISNUMBER(S81),ISNUMBER(T81)),IF(T81&gt;0,S81,""),"")))</f>
        <v/>
      </c>
    </row>
    <row r="82">
      <c r="R82" s="3" t="n"/>
      <c r="S82" s="3" t="n"/>
      <c r="T82" s="3" t="n"/>
      <c r="U82" s="3" t="n"/>
      <c r="W82">
        <f>IF(UPPER(TRIM(R82&amp;""))="","",IF(RIGHT(UPPER(TRIM(R82&amp;"")),2)="-N",TRIM(LEFT(UPPER(TRIM(R82&amp;"")),LEN(UPPER(TRIM(R82&amp;"")))-2)),UPPER(TRIM(R82&amp;""))))</f>
        <v/>
      </c>
      <c r="X82">
        <f>IF(W82="","",IF(ISNUMBER(U82),ROUND(U82,1),IF(AND(ISNUMBER(S82),ISNUMBER(T82)),IF(T82&gt;0,ROUND(S82/T82*100,1),""),"")))</f>
        <v/>
      </c>
      <c r="Y82">
        <f>IF(W82="","",IF(RIGHT(UPPER(TRIM(R82&amp;"")),2)="-N","비경쟁",""))</f>
        <v/>
      </c>
      <c r="Z82">
        <f>IF(W82="","",IF(COUNTIF(참가자!$A$3:$A$52,W82)=0,"명단에 없는 코드",""))</f>
        <v/>
      </c>
      <c r="AA82">
        <f>IF(W82="","",IF(ISNUMBER(U82),ROUND(U82*EVAL_ITEMS/100,1),IF(AND(ISNUMBER(S82),ISNUMBER(T82)),IF(T82&gt;0,S82,""),"")))</f>
        <v/>
      </c>
    </row>
    <row r="83">
      <c r="R83" s="3" t="n"/>
      <c r="S83" s="3" t="n"/>
      <c r="T83" s="3" t="n"/>
      <c r="U83" s="3" t="n"/>
      <c r="W83">
        <f>IF(UPPER(TRIM(R83&amp;""))="","",IF(RIGHT(UPPER(TRIM(R83&amp;"")),2)="-N",TRIM(LEFT(UPPER(TRIM(R83&amp;"")),LEN(UPPER(TRIM(R83&amp;"")))-2)),UPPER(TRIM(R83&amp;""))))</f>
        <v/>
      </c>
      <c r="X83">
        <f>IF(W83="","",IF(ISNUMBER(U83),ROUND(U83,1),IF(AND(ISNUMBER(S83),ISNUMBER(T83)),IF(T83&gt;0,ROUND(S83/T83*100,1),""),"")))</f>
        <v/>
      </c>
      <c r="Y83">
        <f>IF(W83="","",IF(RIGHT(UPPER(TRIM(R83&amp;"")),2)="-N","비경쟁",""))</f>
        <v/>
      </c>
      <c r="Z83">
        <f>IF(W83="","",IF(COUNTIF(참가자!$A$3:$A$52,W83)=0,"명단에 없는 코드",""))</f>
        <v/>
      </c>
      <c r="AA83">
        <f>IF(W83="","",IF(ISNUMBER(U83),ROUND(U83*EVAL_ITEMS/100,1),IF(AND(ISNUMBER(S83),ISNUMBER(T83)),IF(T83&gt;0,S83,""),"")))</f>
        <v/>
      </c>
    </row>
    <row r="84">
      <c r="R84" s="3" t="n"/>
      <c r="S84" s="3" t="n"/>
      <c r="T84" s="3" t="n"/>
      <c r="U84" s="3" t="n"/>
      <c r="W84">
        <f>IF(UPPER(TRIM(R84&amp;""))="","",IF(RIGHT(UPPER(TRIM(R84&amp;"")),2)="-N",TRIM(LEFT(UPPER(TRIM(R84&amp;"")),LEN(UPPER(TRIM(R84&amp;"")))-2)),UPPER(TRIM(R84&amp;""))))</f>
        <v/>
      </c>
      <c r="X84">
        <f>IF(W84="","",IF(ISNUMBER(U84),ROUND(U84,1),IF(AND(ISNUMBER(S84),ISNUMBER(T84)),IF(T84&gt;0,ROUND(S84/T84*100,1),""),"")))</f>
        <v/>
      </c>
      <c r="Y84">
        <f>IF(W84="","",IF(RIGHT(UPPER(TRIM(R84&amp;"")),2)="-N","비경쟁",""))</f>
        <v/>
      </c>
      <c r="Z84">
        <f>IF(W84="","",IF(COUNTIF(참가자!$A$3:$A$52,W84)=0,"명단에 없는 코드",""))</f>
        <v/>
      </c>
      <c r="AA84">
        <f>IF(W84="","",IF(ISNUMBER(U84),ROUND(U84*EVAL_ITEMS/100,1),IF(AND(ISNUMBER(S84),ISNUMBER(T84)),IF(T84&gt;0,S84,""),"")))</f>
        <v/>
      </c>
    </row>
    <row r="85">
      <c r="R85" s="3" t="n"/>
      <c r="S85" s="3" t="n"/>
      <c r="T85" s="3" t="n"/>
      <c r="U85" s="3" t="n"/>
      <c r="W85">
        <f>IF(UPPER(TRIM(R85&amp;""))="","",IF(RIGHT(UPPER(TRIM(R85&amp;"")),2)="-N",TRIM(LEFT(UPPER(TRIM(R85&amp;"")),LEN(UPPER(TRIM(R85&amp;"")))-2)),UPPER(TRIM(R85&amp;""))))</f>
        <v/>
      </c>
      <c r="X85">
        <f>IF(W85="","",IF(ISNUMBER(U85),ROUND(U85,1),IF(AND(ISNUMBER(S85),ISNUMBER(T85)),IF(T85&gt;0,ROUND(S85/T85*100,1),""),"")))</f>
        <v/>
      </c>
      <c r="Y85">
        <f>IF(W85="","",IF(RIGHT(UPPER(TRIM(R85&amp;"")),2)="-N","비경쟁",""))</f>
        <v/>
      </c>
      <c r="Z85">
        <f>IF(W85="","",IF(COUNTIF(참가자!$A$3:$A$52,W85)=0,"명단에 없는 코드",""))</f>
        <v/>
      </c>
      <c r="AA85">
        <f>IF(W85="","",IF(ISNUMBER(U85),ROUND(U85*EVAL_ITEMS/100,1),IF(AND(ISNUMBER(S85),ISNUMBER(T85)),IF(T85&gt;0,S85,""),"")))</f>
        <v/>
      </c>
    </row>
    <row r="86">
      <c r="R86" s="3" t="n"/>
      <c r="S86" s="3" t="n"/>
      <c r="T86" s="3" t="n"/>
      <c r="U86" s="3" t="n"/>
      <c r="W86">
        <f>IF(UPPER(TRIM(R86&amp;""))="","",IF(RIGHT(UPPER(TRIM(R86&amp;"")),2)="-N",TRIM(LEFT(UPPER(TRIM(R86&amp;"")),LEN(UPPER(TRIM(R86&amp;"")))-2)),UPPER(TRIM(R86&amp;""))))</f>
        <v/>
      </c>
      <c r="X86">
        <f>IF(W86="","",IF(ISNUMBER(U86),ROUND(U86,1),IF(AND(ISNUMBER(S86),ISNUMBER(T86)),IF(T86&gt;0,ROUND(S86/T86*100,1),""),"")))</f>
        <v/>
      </c>
      <c r="Y86">
        <f>IF(W86="","",IF(RIGHT(UPPER(TRIM(R86&amp;"")),2)="-N","비경쟁",""))</f>
        <v/>
      </c>
      <c r="Z86">
        <f>IF(W86="","",IF(COUNTIF(참가자!$A$3:$A$52,W86)=0,"명단에 없는 코드",""))</f>
        <v/>
      </c>
      <c r="AA86">
        <f>IF(W86="","",IF(ISNUMBER(U86),ROUND(U86*EVAL_ITEMS/100,1),IF(AND(ISNUMBER(S86),ISNUMBER(T86)),IF(T86&gt;0,S86,""),"")))</f>
        <v/>
      </c>
    </row>
    <row r="87">
      <c r="R87" s="3" t="n"/>
      <c r="S87" s="3" t="n"/>
      <c r="T87" s="3" t="n"/>
      <c r="U87" s="3" t="n"/>
      <c r="W87">
        <f>IF(UPPER(TRIM(R87&amp;""))="","",IF(RIGHT(UPPER(TRIM(R87&amp;"")),2)="-N",TRIM(LEFT(UPPER(TRIM(R87&amp;"")),LEN(UPPER(TRIM(R87&amp;"")))-2)),UPPER(TRIM(R87&amp;""))))</f>
        <v/>
      </c>
      <c r="X87">
        <f>IF(W87="","",IF(ISNUMBER(U87),ROUND(U87,1),IF(AND(ISNUMBER(S87),ISNUMBER(T87)),IF(T87&gt;0,ROUND(S87/T87*100,1),""),"")))</f>
        <v/>
      </c>
      <c r="Y87">
        <f>IF(W87="","",IF(RIGHT(UPPER(TRIM(R87&amp;"")),2)="-N","비경쟁",""))</f>
        <v/>
      </c>
      <c r="Z87">
        <f>IF(W87="","",IF(COUNTIF(참가자!$A$3:$A$52,W87)=0,"명단에 없는 코드",""))</f>
        <v/>
      </c>
      <c r="AA87">
        <f>IF(W87="","",IF(ISNUMBER(U87),ROUND(U87*EVAL_ITEMS/100,1),IF(AND(ISNUMBER(S87),ISNUMBER(T87)),IF(T87&gt;0,S87,""),"")))</f>
        <v/>
      </c>
    </row>
    <row r="88">
      <c r="R88" s="3" t="n"/>
      <c r="S88" s="3" t="n"/>
      <c r="T88" s="3" t="n"/>
      <c r="U88" s="3" t="n"/>
      <c r="W88">
        <f>IF(UPPER(TRIM(R88&amp;""))="","",IF(RIGHT(UPPER(TRIM(R88&amp;"")),2)="-N",TRIM(LEFT(UPPER(TRIM(R88&amp;"")),LEN(UPPER(TRIM(R88&amp;"")))-2)),UPPER(TRIM(R88&amp;""))))</f>
        <v/>
      </c>
      <c r="X88">
        <f>IF(W88="","",IF(ISNUMBER(U88),ROUND(U88,1),IF(AND(ISNUMBER(S88),ISNUMBER(T88)),IF(T88&gt;0,ROUND(S88/T88*100,1),""),"")))</f>
        <v/>
      </c>
      <c r="Y88">
        <f>IF(W88="","",IF(RIGHT(UPPER(TRIM(R88&amp;"")),2)="-N","비경쟁",""))</f>
        <v/>
      </c>
      <c r="Z88">
        <f>IF(W88="","",IF(COUNTIF(참가자!$A$3:$A$52,W88)=0,"명단에 없는 코드",""))</f>
        <v/>
      </c>
      <c r="AA88">
        <f>IF(W88="","",IF(ISNUMBER(U88),ROUND(U88*EVAL_ITEMS/100,1),IF(AND(ISNUMBER(S88),ISNUMBER(T88)),IF(T88&gt;0,S88,""),"")))</f>
        <v/>
      </c>
    </row>
    <row r="89">
      <c r="R89" s="3" t="n"/>
      <c r="S89" s="3" t="n"/>
      <c r="T89" s="3" t="n"/>
      <c r="U89" s="3" t="n"/>
      <c r="W89">
        <f>IF(UPPER(TRIM(R89&amp;""))="","",IF(RIGHT(UPPER(TRIM(R89&amp;"")),2)="-N",TRIM(LEFT(UPPER(TRIM(R89&amp;"")),LEN(UPPER(TRIM(R89&amp;"")))-2)),UPPER(TRIM(R89&amp;""))))</f>
        <v/>
      </c>
      <c r="X89">
        <f>IF(W89="","",IF(ISNUMBER(U89),ROUND(U89,1),IF(AND(ISNUMBER(S89),ISNUMBER(T89)),IF(T89&gt;0,ROUND(S89/T89*100,1),""),"")))</f>
        <v/>
      </c>
      <c r="Y89">
        <f>IF(W89="","",IF(RIGHT(UPPER(TRIM(R89&amp;"")),2)="-N","비경쟁",""))</f>
        <v/>
      </c>
      <c r="Z89">
        <f>IF(W89="","",IF(COUNTIF(참가자!$A$3:$A$52,W89)=0,"명단에 없는 코드",""))</f>
        <v/>
      </c>
      <c r="AA89">
        <f>IF(W89="","",IF(ISNUMBER(U89),ROUND(U89*EVAL_ITEMS/100,1),IF(AND(ISNUMBER(S89),ISNUMBER(T89)),IF(T89&gt;0,S89,""),"")))</f>
        <v/>
      </c>
    </row>
    <row r="90">
      <c r="R90" s="3" t="n"/>
      <c r="S90" s="3" t="n"/>
      <c r="T90" s="3" t="n"/>
      <c r="U90" s="3" t="n"/>
      <c r="W90">
        <f>IF(UPPER(TRIM(R90&amp;""))="","",IF(RIGHT(UPPER(TRIM(R90&amp;"")),2)="-N",TRIM(LEFT(UPPER(TRIM(R90&amp;"")),LEN(UPPER(TRIM(R90&amp;"")))-2)),UPPER(TRIM(R90&amp;""))))</f>
        <v/>
      </c>
      <c r="X90">
        <f>IF(W90="","",IF(ISNUMBER(U90),ROUND(U90,1),IF(AND(ISNUMBER(S90),ISNUMBER(T90)),IF(T90&gt;0,ROUND(S90/T90*100,1),""),"")))</f>
        <v/>
      </c>
      <c r="Y90">
        <f>IF(W90="","",IF(RIGHT(UPPER(TRIM(R90&amp;"")),2)="-N","비경쟁",""))</f>
        <v/>
      </c>
      <c r="Z90">
        <f>IF(W90="","",IF(COUNTIF(참가자!$A$3:$A$52,W90)=0,"명단에 없는 코드",""))</f>
        <v/>
      </c>
      <c r="AA90">
        <f>IF(W90="","",IF(ISNUMBER(U90),ROUND(U90*EVAL_ITEMS/100,1),IF(AND(ISNUMBER(S90),ISNUMBER(T90)),IF(T90&gt;0,S90,""),"")))</f>
        <v/>
      </c>
    </row>
    <row r="91">
      <c r="R91" s="3" t="n"/>
      <c r="S91" s="3" t="n"/>
      <c r="T91" s="3" t="n"/>
      <c r="U91" s="3" t="n"/>
      <c r="W91">
        <f>IF(UPPER(TRIM(R91&amp;""))="","",IF(RIGHT(UPPER(TRIM(R91&amp;"")),2)="-N",TRIM(LEFT(UPPER(TRIM(R91&amp;"")),LEN(UPPER(TRIM(R91&amp;"")))-2)),UPPER(TRIM(R91&amp;""))))</f>
        <v/>
      </c>
      <c r="X91">
        <f>IF(W91="","",IF(ISNUMBER(U91),ROUND(U91,1),IF(AND(ISNUMBER(S91),ISNUMBER(T91)),IF(T91&gt;0,ROUND(S91/T91*100,1),""),"")))</f>
        <v/>
      </c>
      <c r="Y91">
        <f>IF(W91="","",IF(RIGHT(UPPER(TRIM(R91&amp;"")),2)="-N","비경쟁",""))</f>
        <v/>
      </c>
      <c r="Z91">
        <f>IF(W91="","",IF(COUNTIF(참가자!$A$3:$A$52,W91)=0,"명단에 없는 코드",""))</f>
        <v/>
      </c>
      <c r="AA91">
        <f>IF(W91="","",IF(ISNUMBER(U91),ROUND(U91*EVAL_ITEMS/100,1),IF(AND(ISNUMBER(S91),ISNUMBER(T91)),IF(T91&gt;0,S91,""),"")))</f>
        <v/>
      </c>
    </row>
    <row r="92">
      <c r="R92" s="3" t="n"/>
      <c r="S92" s="3" t="n"/>
      <c r="T92" s="3" t="n"/>
      <c r="U92" s="3" t="n"/>
      <c r="W92">
        <f>IF(UPPER(TRIM(R92&amp;""))="","",IF(RIGHT(UPPER(TRIM(R92&amp;"")),2)="-N",TRIM(LEFT(UPPER(TRIM(R92&amp;"")),LEN(UPPER(TRIM(R92&amp;"")))-2)),UPPER(TRIM(R92&amp;""))))</f>
        <v/>
      </c>
      <c r="X92">
        <f>IF(W92="","",IF(ISNUMBER(U92),ROUND(U92,1),IF(AND(ISNUMBER(S92),ISNUMBER(T92)),IF(T92&gt;0,ROUND(S92/T92*100,1),""),"")))</f>
        <v/>
      </c>
      <c r="Y92">
        <f>IF(W92="","",IF(RIGHT(UPPER(TRIM(R92&amp;"")),2)="-N","비경쟁",""))</f>
        <v/>
      </c>
      <c r="Z92">
        <f>IF(W92="","",IF(COUNTIF(참가자!$A$3:$A$52,W92)=0,"명단에 없는 코드",""))</f>
        <v/>
      </c>
      <c r="AA92">
        <f>IF(W92="","",IF(ISNUMBER(U92),ROUND(U92*EVAL_ITEMS/100,1),IF(AND(ISNUMBER(S92),ISNUMBER(T92)),IF(T92&gt;0,S92,""),"")))</f>
        <v/>
      </c>
    </row>
    <row r="93">
      <c r="R93" s="3" t="n"/>
      <c r="S93" s="3" t="n"/>
      <c r="T93" s="3" t="n"/>
      <c r="U93" s="3" t="n"/>
      <c r="W93">
        <f>IF(UPPER(TRIM(R93&amp;""))="","",IF(RIGHT(UPPER(TRIM(R93&amp;"")),2)="-N",TRIM(LEFT(UPPER(TRIM(R93&amp;"")),LEN(UPPER(TRIM(R93&amp;"")))-2)),UPPER(TRIM(R93&amp;""))))</f>
        <v/>
      </c>
      <c r="X93">
        <f>IF(W93="","",IF(ISNUMBER(U93),ROUND(U93,1),IF(AND(ISNUMBER(S93),ISNUMBER(T93)),IF(T93&gt;0,ROUND(S93/T93*100,1),""),"")))</f>
        <v/>
      </c>
      <c r="Y93">
        <f>IF(W93="","",IF(RIGHT(UPPER(TRIM(R93&amp;"")),2)="-N","비경쟁",""))</f>
        <v/>
      </c>
      <c r="Z93">
        <f>IF(W93="","",IF(COUNTIF(참가자!$A$3:$A$52,W93)=0,"명단에 없는 코드",""))</f>
        <v/>
      </c>
      <c r="AA93">
        <f>IF(W93="","",IF(ISNUMBER(U93),ROUND(U93*EVAL_ITEMS/100,1),IF(AND(ISNUMBER(S93),ISNUMBER(T93)),IF(T93&gt;0,S93,""),"")))</f>
        <v/>
      </c>
    </row>
    <row r="94">
      <c r="R94" s="3" t="n"/>
      <c r="S94" s="3" t="n"/>
      <c r="T94" s="3" t="n"/>
      <c r="U94" s="3" t="n"/>
      <c r="W94">
        <f>IF(UPPER(TRIM(R94&amp;""))="","",IF(RIGHT(UPPER(TRIM(R94&amp;"")),2)="-N",TRIM(LEFT(UPPER(TRIM(R94&amp;"")),LEN(UPPER(TRIM(R94&amp;"")))-2)),UPPER(TRIM(R94&amp;""))))</f>
        <v/>
      </c>
      <c r="X94">
        <f>IF(W94="","",IF(ISNUMBER(U94),ROUND(U94,1),IF(AND(ISNUMBER(S94),ISNUMBER(T94)),IF(T94&gt;0,ROUND(S94/T94*100,1),""),"")))</f>
        <v/>
      </c>
      <c r="Y94">
        <f>IF(W94="","",IF(RIGHT(UPPER(TRIM(R94&amp;"")),2)="-N","비경쟁",""))</f>
        <v/>
      </c>
      <c r="Z94">
        <f>IF(W94="","",IF(COUNTIF(참가자!$A$3:$A$52,W94)=0,"명단에 없는 코드",""))</f>
        <v/>
      </c>
      <c r="AA94">
        <f>IF(W94="","",IF(ISNUMBER(U94),ROUND(U94*EVAL_ITEMS/100,1),IF(AND(ISNUMBER(S94),ISNUMBER(T94)),IF(T94&gt;0,S94,""),"")))</f>
        <v/>
      </c>
    </row>
    <row r="95">
      <c r="R95" s="3" t="n"/>
      <c r="S95" s="3" t="n"/>
      <c r="T95" s="3" t="n"/>
      <c r="U95" s="3" t="n"/>
      <c r="W95">
        <f>IF(UPPER(TRIM(R95&amp;""))="","",IF(RIGHT(UPPER(TRIM(R95&amp;"")),2)="-N",TRIM(LEFT(UPPER(TRIM(R95&amp;"")),LEN(UPPER(TRIM(R95&amp;"")))-2)),UPPER(TRIM(R95&amp;""))))</f>
        <v/>
      </c>
      <c r="X95">
        <f>IF(W95="","",IF(ISNUMBER(U95),ROUND(U95,1),IF(AND(ISNUMBER(S95),ISNUMBER(T95)),IF(T95&gt;0,ROUND(S95/T95*100,1),""),"")))</f>
        <v/>
      </c>
      <c r="Y95">
        <f>IF(W95="","",IF(RIGHT(UPPER(TRIM(R95&amp;"")),2)="-N","비경쟁",""))</f>
        <v/>
      </c>
      <c r="Z95">
        <f>IF(W95="","",IF(COUNTIF(참가자!$A$3:$A$52,W95)=0,"명단에 없는 코드",""))</f>
        <v/>
      </c>
      <c r="AA95">
        <f>IF(W95="","",IF(ISNUMBER(U95),ROUND(U95*EVAL_ITEMS/100,1),IF(AND(ISNUMBER(S95),ISNUMBER(T95)),IF(T95&gt;0,S95,""),"")))</f>
        <v/>
      </c>
    </row>
    <row r="96">
      <c r="R96" s="3" t="n"/>
      <c r="S96" s="3" t="n"/>
      <c r="T96" s="3" t="n"/>
      <c r="U96" s="3" t="n"/>
      <c r="W96">
        <f>IF(UPPER(TRIM(R96&amp;""))="","",IF(RIGHT(UPPER(TRIM(R96&amp;"")),2)="-N",TRIM(LEFT(UPPER(TRIM(R96&amp;"")),LEN(UPPER(TRIM(R96&amp;"")))-2)),UPPER(TRIM(R96&amp;""))))</f>
        <v/>
      </c>
      <c r="X96">
        <f>IF(W96="","",IF(ISNUMBER(U96),ROUND(U96,1),IF(AND(ISNUMBER(S96),ISNUMBER(T96)),IF(T96&gt;0,ROUND(S96/T96*100,1),""),"")))</f>
        <v/>
      </c>
      <c r="Y96">
        <f>IF(W96="","",IF(RIGHT(UPPER(TRIM(R96&amp;"")),2)="-N","비경쟁",""))</f>
        <v/>
      </c>
      <c r="Z96">
        <f>IF(W96="","",IF(COUNTIF(참가자!$A$3:$A$52,W96)=0,"명단에 없는 코드",""))</f>
        <v/>
      </c>
      <c r="AA96">
        <f>IF(W96="","",IF(ISNUMBER(U96),ROUND(U96*EVAL_ITEMS/100,1),IF(AND(ISNUMBER(S96),ISNUMBER(T96)),IF(T96&gt;0,S96,""),"")))</f>
        <v/>
      </c>
    </row>
    <row r="97">
      <c r="R97" s="3" t="n"/>
      <c r="S97" s="3" t="n"/>
      <c r="T97" s="3" t="n"/>
      <c r="U97" s="3" t="n"/>
      <c r="W97">
        <f>IF(UPPER(TRIM(R97&amp;""))="","",IF(RIGHT(UPPER(TRIM(R97&amp;"")),2)="-N",TRIM(LEFT(UPPER(TRIM(R97&amp;"")),LEN(UPPER(TRIM(R97&amp;"")))-2)),UPPER(TRIM(R97&amp;""))))</f>
        <v/>
      </c>
      <c r="X97">
        <f>IF(W97="","",IF(ISNUMBER(U97),ROUND(U97,1),IF(AND(ISNUMBER(S97),ISNUMBER(T97)),IF(T97&gt;0,ROUND(S97/T97*100,1),""),"")))</f>
        <v/>
      </c>
      <c r="Y97">
        <f>IF(W97="","",IF(RIGHT(UPPER(TRIM(R97&amp;"")),2)="-N","비경쟁",""))</f>
        <v/>
      </c>
      <c r="Z97">
        <f>IF(W97="","",IF(COUNTIF(참가자!$A$3:$A$52,W97)=0,"명단에 없는 코드",""))</f>
        <v/>
      </c>
      <c r="AA97">
        <f>IF(W97="","",IF(ISNUMBER(U97),ROUND(U97*EVAL_ITEMS/100,1),IF(AND(ISNUMBER(S97),ISNUMBER(T97)),IF(T97&gt;0,S97,""),"")))</f>
        <v/>
      </c>
    </row>
    <row r="98">
      <c r="R98" s="3" t="n"/>
      <c r="S98" s="3" t="n"/>
      <c r="T98" s="3" t="n"/>
      <c r="U98" s="3" t="n"/>
      <c r="W98">
        <f>IF(UPPER(TRIM(R98&amp;""))="","",IF(RIGHT(UPPER(TRIM(R98&amp;"")),2)="-N",TRIM(LEFT(UPPER(TRIM(R98&amp;"")),LEN(UPPER(TRIM(R98&amp;"")))-2)),UPPER(TRIM(R98&amp;""))))</f>
        <v/>
      </c>
      <c r="X98">
        <f>IF(W98="","",IF(ISNUMBER(U98),ROUND(U98,1),IF(AND(ISNUMBER(S98),ISNUMBER(T98)),IF(T98&gt;0,ROUND(S98/T98*100,1),""),"")))</f>
        <v/>
      </c>
      <c r="Y98">
        <f>IF(W98="","",IF(RIGHT(UPPER(TRIM(R98&amp;"")),2)="-N","비경쟁",""))</f>
        <v/>
      </c>
      <c r="Z98">
        <f>IF(W98="","",IF(COUNTIF(참가자!$A$3:$A$52,W98)=0,"명단에 없는 코드",""))</f>
        <v/>
      </c>
      <c r="AA98">
        <f>IF(W98="","",IF(ISNUMBER(U98),ROUND(U98*EVAL_ITEMS/100,1),IF(AND(ISNUMBER(S98),ISNUMBER(T98)),IF(T98&gt;0,S98,""),"")))</f>
        <v/>
      </c>
    </row>
    <row r="99">
      <c r="R99" s="3" t="n"/>
      <c r="S99" s="3" t="n"/>
      <c r="T99" s="3" t="n"/>
      <c r="U99" s="3" t="n"/>
      <c r="W99">
        <f>IF(UPPER(TRIM(R99&amp;""))="","",IF(RIGHT(UPPER(TRIM(R99&amp;"")),2)="-N",TRIM(LEFT(UPPER(TRIM(R99&amp;"")),LEN(UPPER(TRIM(R99&amp;"")))-2)),UPPER(TRIM(R99&amp;""))))</f>
        <v/>
      </c>
      <c r="X99">
        <f>IF(W99="","",IF(ISNUMBER(U99),ROUND(U99,1),IF(AND(ISNUMBER(S99),ISNUMBER(T99)),IF(T99&gt;0,ROUND(S99/T99*100,1),""),"")))</f>
        <v/>
      </c>
      <c r="Y99">
        <f>IF(W99="","",IF(RIGHT(UPPER(TRIM(R99&amp;"")),2)="-N","비경쟁",""))</f>
        <v/>
      </c>
      <c r="Z99">
        <f>IF(W99="","",IF(COUNTIF(참가자!$A$3:$A$52,W99)=0,"명단에 없는 코드",""))</f>
        <v/>
      </c>
      <c r="AA99">
        <f>IF(W99="","",IF(ISNUMBER(U99),ROUND(U99*EVAL_ITEMS/100,1),IF(AND(ISNUMBER(S99),ISNUMBER(T99)),IF(T99&gt;0,S99,""),"")))</f>
        <v/>
      </c>
    </row>
    <row r="100">
      <c r="R100" s="3" t="n"/>
      <c r="S100" s="3" t="n"/>
      <c r="T100" s="3" t="n"/>
      <c r="U100" s="3" t="n"/>
      <c r="W100">
        <f>IF(UPPER(TRIM(R100&amp;""))="","",IF(RIGHT(UPPER(TRIM(R100&amp;"")),2)="-N",TRIM(LEFT(UPPER(TRIM(R100&amp;"")),LEN(UPPER(TRIM(R100&amp;"")))-2)),UPPER(TRIM(R100&amp;""))))</f>
        <v/>
      </c>
      <c r="X100">
        <f>IF(W100="","",IF(ISNUMBER(U100),ROUND(U100,1),IF(AND(ISNUMBER(S100),ISNUMBER(T100)),IF(T100&gt;0,ROUND(S100/T100*100,1),""),"")))</f>
        <v/>
      </c>
      <c r="Y100">
        <f>IF(W100="","",IF(RIGHT(UPPER(TRIM(R100&amp;"")),2)="-N","비경쟁",""))</f>
        <v/>
      </c>
      <c r="Z100">
        <f>IF(W100="","",IF(COUNTIF(참가자!$A$3:$A$52,W100)=0,"명단에 없는 코드",""))</f>
        <v/>
      </c>
      <c r="AA100">
        <f>IF(W100="","",IF(ISNUMBER(U100),ROUND(U100*EVAL_ITEMS/100,1),IF(AND(ISNUMBER(S100),ISNUMBER(T100)),IF(T100&gt;0,S100,""),"")))</f>
        <v/>
      </c>
    </row>
    <row r="101">
      <c r="R101" s="3" t="n"/>
      <c r="S101" s="3" t="n"/>
      <c r="T101" s="3" t="n"/>
      <c r="U101" s="3" t="n"/>
      <c r="W101">
        <f>IF(UPPER(TRIM(R101&amp;""))="","",IF(RIGHT(UPPER(TRIM(R101&amp;"")),2)="-N",TRIM(LEFT(UPPER(TRIM(R101&amp;"")),LEN(UPPER(TRIM(R101&amp;"")))-2)),UPPER(TRIM(R101&amp;""))))</f>
        <v/>
      </c>
      <c r="X101">
        <f>IF(W101="","",IF(ISNUMBER(U101),ROUND(U101,1),IF(AND(ISNUMBER(S101),ISNUMBER(T101)),IF(T101&gt;0,ROUND(S101/T101*100,1),""),"")))</f>
        <v/>
      </c>
      <c r="Y101">
        <f>IF(W101="","",IF(RIGHT(UPPER(TRIM(R101&amp;"")),2)="-N","비경쟁",""))</f>
        <v/>
      </c>
      <c r="Z101">
        <f>IF(W101="","",IF(COUNTIF(참가자!$A$3:$A$52,W101)=0,"명단에 없는 코드",""))</f>
        <v/>
      </c>
      <c r="AA101">
        <f>IF(W101="","",IF(ISNUMBER(U101),ROUND(U101*EVAL_ITEMS/100,1),IF(AND(ISNUMBER(S101),ISNUMBER(T101)),IF(T101&gt;0,S101,""),"")))</f>
        <v/>
      </c>
    </row>
    <row r="102">
      <c r="R102" s="3" t="n"/>
      <c r="S102" s="3" t="n"/>
      <c r="T102" s="3" t="n"/>
      <c r="U102" s="3" t="n"/>
      <c r="W102">
        <f>IF(UPPER(TRIM(R102&amp;""))="","",IF(RIGHT(UPPER(TRIM(R102&amp;"")),2)="-N",TRIM(LEFT(UPPER(TRIM(R102&amp;"")),LEN(UPPER(TRIM(R102&amp;"")))-2)),UPPER(TRIM(R102&amp;""))))</f>
        <v/>
      </c>
      <c r="X102">
        <f>IF(W102="","",IF(ISNUMBER(U102),ROUND(U102,1),IF(AND(ISNUMBER(S102),ISNUMBER(T102)),IF(T102&gt;0,ROUND(S102/T102*100,1),""),"")))</f>
        <v/>
      </c>
      <c r="Y102">
        <f>IF(W102="","",IF(RIGHT(UPPER(TRIM(R102&amp;"")),2)="-N","비경쟁",""))</f>
        <v/>
      </c>
      <c r="Z102">
        <f>IF(W102="","",IF(COUNTIF(참가자!$A$3:$A$52,W102)=0,"명단에 없는 코드",""))</f>
        <v/>
      </c>
      <c r="AA102">
        <f>IF(W102="","",IF(ISNUMBER(U102),ROUND(U102*EVAL_ITEMS/100,1),IF(AND(ISNUMBER(S102),ISNUMBER(T102)),IF(T102&gt;0,S102,""),"")))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2" customWidth="1" min="5" max="5"/>
    <col width="12" customWidth="1" min="6" max="6"/>
    <col width="10" customWidth="1" min="7" max="7"/>
    <col width="12" customWidth="1" min="8" max="8"/>
    <col width="13" customWidth="1" min="9" max="9"/>
    <col width="12" customWidth="1" min="10" max="10"/>
    <col width="3" customWidth="1" min="11" max="11"/>
    <col width="9" customWidth="1" min="12" max="12"/>
    <col width="12" customWidth="1" min="13" max="13"/>
    <col width="12" customWidth="1" min="14" max="14"/>
  </cols>
  <sheetData>
    <row r="1">
      <c r="A1" s="1" t="inlineStr">
        <is>
          <t>공개용 (활동이 끝난 뒤에만) — 팀 점수 = 판정된 팀원의 향상점수 평균. 결석·비경쟁·판정 보류 제외. 15점 이상 '학습목표 달성'</t>
        </is>
      </c>
      <c r="L1" s="4" t="inlineStr">
        <is>
          <t>교수용 — 화면에 띄우지 마세요</t>
        </is>
      </c>
    </row>
    <row r="2">
      <c r="A2" s="7" t="inlineStr">
        <is>
          <t>팀</t>
        </is>
      </c>
      <c r="B2" s="7" t="inlineStr">
        <is>
          <t>2회차(평가B) 팀 점수</t>
        </is>
      </c>
      <c r="C2" s="7" t="inlineStr">
        <is>
          <t>2회차 판정</t>
        </is>
      </c>
      <c r="D2" s="7" t="inlineStr">
        <is>
          <t>2회차 순위</t>
        </is>
      </c>
      <c r="E2" s="7" t="inlineStr">
        <is>
          <t>3회차(평가C) 팀 점수</t>
        </is>
      </c>
      <c r="F2" s="7" t="inlineStr">
        <is>
          <t>3회차 판정</t>
        </is>
      </c>
      <c r="G2" s="7" t="inlineStr">
        <is>
          <t>3회차 순위</t>
        </is>
      </c>
      <c r="H2" s="7" t="inlineStr">
        <is>
          <t>종합 평균</t>
        </is>
      </c>
      <c r="I2" s="7" t="inlineStr">
        <is>
          <t>종합 순위(상위 3)</t>
        </is>
      </c>
      <c r="J2" s="7" t="inlineStr">
        <is>
          <t>챌린지 완주</t>
        </is>
      </c>
      <c r="L2" s="8" t="inlineStr">
        <is>
          <t>팀원 수</t>
        </is>
      </c>
      <c r="M2" s="8" t="inlineStr">
        <is>
          <t>평가B 반영 인원</t>
        </is>
      </c>
      <c r="N2" s="8" t="inlineStr">
        <is>
          <t>평가C 반영 인원</t>
        </is>
      </c>
    </row>
    <row r="3">
      <c r="A3" s="3" t="inlineStr">
        <is>
          <t>1팀</t>
        </is>
      </c>
      <c r="B3">
        <f>IF(A3="","",IF(M3=0,"",ROUND(SUMIFS(평가B!$N$3:$N$52,평가B!$B$3:$B$52,A3)/M3,1)))</f>
        <v/>
      </c>
      <c r="C3">
        <f>IF(A3="","",IF(B3="","기록 없음",IF(B3&gt;=GOAL,"학습목표 달성","도전 중")))</f>
        <v/>
      </c>
      <c r="D3">
        <f>IF(A3="","",IF(B3="","",IF(B3&lt;GOAL,"",RANK(B3,$B$3:$B$12))))</f>
        <v/>
      </c>
      <c r="E3">
        <f>IF(A3="","",IF(N3=0,"",ROUND(SUMIFS(평가C!$O$3:$O$52,평가C!$B$3:$B$52,A3)/N3,1)))</f>
        <v/>
      </c>
      <c r="F3">
        <f>IF(A3="","",IF(E3="","기록 없음",IF(E3&gt;=GOAL,"학습목표 달성","도전 중")))</f>
        <v/>
      </c>
      <c r="G3">
        <f>IF(A3="","",IF(E3="","",IF(E3&lt;GOAL,"",RANK(E3,$E$3:$E$12))))</f>
        <v/>
      </c>
      <c r="H3">
        <f>IF(A3="","",IF(COUNT(B3,E3)=0,"",ROUND(AVERAGE(B3,E3),1)))</f>
        <v/>
      </c>
      <c r="I3">
        <f>IF(OR(A3="",H3=""),"",IF(RANK(H3,$H$3:$H$12)&lt;=3,RANK(H3,$H$3:$H$12),""))</f>
        <v/>
      </c>
      <c r="J3">
        <f>IF(A3="","",IF(COUNT(B3,E3)=0,"",IF(AND(OR(NOT(ISNUMBER(B3)),B3&gt;=GOAL),OR(NOT(ISNUMBER(E3)),E3&gt;=GOAL)),"챌린지 완주","")))</f>
        <v/>
      </c>
      <c r="L3">
        <f>IF(A3="","",COUNTIF(평가A!$B$3:$B$52,A3))</f>
        <v/>
      </c>
      <c r="M3">
        <f>IF(A3="","",COUNTIFS(평가B!$B$3:$B$52,A3,평가B!$N$3:$N$52,"&gt;=0"))</f>
        <v/>
      </c>
      <c r="N3">
        <f>IF(A3="","",COUNTIFS(평가C!$B$3:$B$52,A3,평가C!$O$3:$O$52,"&gt;=0"))</f>
        <v/>
      </c>
    </row>
    <row r="4">
      <c r="A4" s="3" t="inlineStr">
        <is>
          <t>2팀</t>
        </is>
      </c>
      <c r="B4">
        <f>IF(A4="","",IF(M4=0,"",ROUND(SUMIFS(평가B!$N$3:$N$52,평가B!$B$3:$B$52,A4)/M4,1)))</f>
        <v/>
      </c>
      <c r="C4">
        <f>IF(A4="","",IF(B4="","기록 없음",IF(B4&gt;=GOAL,"학습목표 달성","도전 중")))</f>
        <v/>
      </c>
      <c r="D4">
        <f>IF(A4="","",IF(B4="","",IF(B4&lt;GOAL,"",RANK(B4,$B$3:$B$12))))</f>
        <v/>
      </c>
      <c r="E4">
        <f>IF(A4="","",IF(N4=0,"",ROUND(SUMIFS(평가C!$O$3:$O$52,평가C!$B$3:$B$52,A4)/N4,1)))</f>
        <v/>
      </c>
      <c r="F4">
        <f>IF(A4="","",IF(E4="","기록 없음",IF(E4&gt;=GOAL,"학습목표 달성","도전 중")))</f>
        <v/>
      </c>
      <c r="G4">
        <f>IF(A4="","",IF(E4="","",IF(E4&lt;GOAL,"",RANK(E4,$E$3:$E$12))))</f>
        <v/>
      </c>
      <c r="H4">
        <f>IF(A4="","",IF(COUNT(B4,E4)=0,"",ROUND(AVERAGE(B4,E4),1)))</f>
        <v/>
      </c>
      <c r="I4">
        <f>IF(OR(A4="",H4=""),"",IF(RANK(H4,$H$3:$H$12)&lt;=3,RANK(H4,$H$3:$H$12),""))</f>
        <v/>
      </c>
      <c r="J4">
        <f>IF(A4="","",IF(COUNT(B4,E4)=0,"",IF(AND(OR(NOT(ISNUMBER(B4)),B4&gt;=GOAL),OR(NOT(ISNUMBER(E4)),E4&gt;=GOAL)),"챌린지 완주","")))</f>
        <v/>
      </c>
      <c r="L4">
        <f>IF(A4="","",COUNTIF(평가A!$B$3:$B$52,A4))</f>
        <v/>
      </c>
      <c r="M4">
        <f>IF(A4="","",COUNTIFS(평가B!$B$3:$B$52,A4,평가B!$N$3:$N$52,"&gt;=0"))</f>
        <v/>
      </c>
      <c r="N4">
        <f>IF(A4="","",COUNTIFS(평가C!$B$3:$B$52,A4,평가C!$O$3:$O$52,"&gt;=0"))</f>
        <v/>
      </c>
    </row>
    <row r="5">
      <c r="A5" s="3" t="inlineStr">
        <is>
          <t>3팀</t>
        </is>
      </c>
      <c r="B5">
        <f>IF(A5="","",IF(M5=0,"",ROUND(SUMIFS(평가B!$N$3:$N$52,평가B!$B$3:$B$52,A5)/M5,1)))</f>
        <v/>
      </c>
      <c r="C5">
        <f>IF(A5="","",IF(B5="","기록 없음",IF(B5&gt;=GOAL,"학습목표 달성","도전 중")))</f>
        <v/>
      </c>
      <c r="D5">
        <f>IF(A5="","",IF(B5="","",IF(B5&lt;GOAL,"",RANK(B5,$B$3:$B$12))))</f>
        <v/>
      </c>
      <c r="E5">
        <f>IF(A5="","",IF(N5=0,"",ROUND(SUMIFS(평가C!$O$3:$O$52,평가C!$B$3:$B$52,A5)/N5,1)))</f>
        <v/>
      </c>
      <c r="F5">
        <f>IF(A5="","",IF(E5="","기록 없음",IF(E5&gt;=GOAL,"학습목표 달성","도전 중")))</f>
        <v/>
      </c>
      <c r="G5">
        <f>IF(A5="","",IF(E5="","",IF(E5&lt;GOAL,"",RANK(E5,$E$3:$E$12))))</f>
        <v/>
      </c>
      <c r="H5">
        <f>IF(A5="","",IF(COUNT(B5,E5)=0,"",ROUND(AVERAGE(B5,E5),1)))</f>
        <v/>
      </c>
      <c r="I5">
        <f>IF(OR(A5="",H5=""),"",IF(RANK(H5,$H$3:$H$12)&lt;=3,RANK(H5,$H$3:$H$12),""))</f>
        <v/>
      </c>
      <c r="J5">
        <f>IF(A5="","",IF(COUNT(B5,E5)=0,"",IF(AND(OR(NOT(ISNUMBER(B5)),B5&gt;=GOAL),OR(NOT(ISNUMBER(E5)),E5&gt;=GOAL)),"챌린지 완주","")))</f>
        <v/>
      </c>
      <c r="L5">
        <f>IF(A5="","",COUNTIF(평가A!$B$3:$B$52,A5))</f>
        <v/>
      </c>
      <c r="M5">
        <f>IF(A5="","",COUNTIFS(평가B!$B$3:$B$52,A5,평가B!$N$3:$N$52,"&gt;=0"))</f>
        <v/>
      </c>
      <c r="N5">
        <f>IF(A5="","",COUNTIFS(평가C!$B$3:$B$52,A5,평가C!$O$3:$O$52,"&gt;=0"))</f>
        <v/>
      </c>
    </row>
    <row r="6">
      <c r="A6" s="3" t="inlineStr">
        <is>
          <t>4팀</t>
        </is>
      </c>
      <c r="B6">
        <f>IF(A6="","",IF(M6=0,"",ROUND(SUMIFS(평가B!$N$3:$N$52,평가B!$B$3:$B$52,A6)/M6,1)))</f>
        <v/>
      </c>
      <c r="C6">
        <f>IF(A6="","",IF(B6="","기록 없음",IF(B6&gt;=GOAL,"학습목표 달성","도전 중")))</f>
        <v/>
      </c>
      <c r="D6">
        <f>IF(A6="","",IF(B6="","",IF(B6&lt;GOAL,"",RANK(B6,$B$3:$B$12))))</f>
        <v/>
      </c>
      <c r="E6">
        <f>IF(A6="","",IF(N6=0,"",ROUND(SUMIFS(평가C!$O$3:$O$52,평가C!$B$3:$B$52,A6)/N6,1)))</f>
        <v/>
      </c>
      <c r="F6">
        <f>IF(A6="","",IF(E6="","기록 없음",IF(E6&gt;=GOAL,"학습목표 달성","도전 중")))</f>
        <v/>
      </c>
      <c r="G6">
        <f>IF(A6="","",IF(E6="","",IF(E6&lt;GOAL,"",RANK(E6,$E$3:$E$12))))</f>
        <v/>
      </c>
      <c r="H6">
        <f>IF(A6="","",IF(COUNT(B6,E6)=0,"",ROUND(AVERAGE(B6,E6),1)))</f>
        <v/>
      </c>
      <c r="I6">
        <f>IF(OR(A6="",H6=""),"",IF(RANK(H6,$H$3:$H$12)&lt;=3,RANK(H6,$H$3:$H$12),""))</f>
        <v/>
      </c>
      <c r="J6">
        <f>IF(A6="","",IF(COUNT(B6,E6)=0,"",IF(AND(OR(NOT(ISNUMBER(B6)),B6&gt;=GOAL),OR(NOT(ISNUMBER(E6)),E6&gt;=GOAL)),"챌린지 완주","")))</f>
        <v/>
      </c>
      <c r="L6">
        <f>IF(A6="","",COUNTIF(평가A!$B$3:$B$52,A6))</f>
        <v/>
      </c>
      <c r="M6">
        <f>IF(A6="","",COUNTIFS(평가B!$B$3:$B$52,A6,평가B!$N$3:$N$52,"&gt;=0"))</f>
        <v/>
      </c>
      <c r="N6">
        <f>IF(A6="","",COUNTIFS(평가C!$B$3:$B$52,A6,평가C!$O$3:$O$52,"&gt;=0"))</f>
        <v/>
      </c>
    </row>
    <row r="7">
      <c r="A7" s="3" t="n"/>
      <c r="B7">
        <f>IF(A7="","",IF(M7=0,"",ROUND(SUMIFS(평가B!$N$3:$N$52,평가B!$B$3:$B$52,A7)/M7,1)))</f>
        <v/>
      </c>
      <c r="C7">
        <f>IF(A7="","",IF(B7="","기록 없음",IF(B7&gt;=GOAL,"학습목표 달성","도전 중")))</f>
        <v/>
      </c>
      <c r="D7">
        <f>IF(A7="","",IF(B7="","",IF(B7&lt;GOAL,"",RANK(B7,$B$3:$B$12))))</f>
        <v/>
      </c>
      <c r="E7">
        <f>IF(A7="","",IF(N7=0,"",ROUND(SUMIFS(평가C!$O$3:$O$52,평가C!$B$3:$B$52,A7)/N7,1)))</f>
        <v/>
      </c>
      <c r="F7">
        <f>IF(A7="","",IF(E7="","기록 없음",IF(E7&gt;=GOAL,"학습목표 달성","도전 중")))</f>
        <v/>
      </c>
      <c r="G7">
        <f>IF(A7="","",IF(E7="","",IF(E7&lt;GOAL,"",RANK(E7,$E$3:$E$12))))</f>
        <v/>
      </c>
      <c r="H7">
        <f>IF(A7="","",IF(COUNT(B7,E7)=0,"",ROUND(AVERAGE(B7,E7),1)))</f>
        <v/>
      </c>
      <c r="I7">
        <f>IF(OR(A7="",H7=""),"",IF(RANK(H7,$H$3:$H$12)&lt;=3,RANK(H7,$H$3:$H$12),""))</f>
        <v/>
      </c>
      <c r="J7">
        <f>IF(A7="","",IF(COUNT(B7,E7)=0,"",IF(AND(OR(NOT(ISNUMBER(B7)),B7&gt;=GOAL),OR(NOT(ISNUMBER(E7)),E7&gt;=GOAL)),"챌린지 완주","")))</f>
        <v/>
      </c>
      <c r="L7">
        <f>IF(A7="","",COUNTIF(평가A!$B$3:$B$52,A7))</f>
        <v/>
      </c>
      <c r="M7">
        <f>IF(A7="","",COUNTIFS(평가B!$B$3:$B$52,A7,평가B!$N$3:$N$52,"&gt;=0"))</f>
        <v/>
      </c>
      <c r="N7">
        <f>IF(A7="","",COUNTIFS(평가C!$B$3:$B$52,A7,평가C!$O$3:$O$52,"&gt;=0"))</f>
        <v/>
      </c>
    </row>
    <row r="8">
      <c r="A8" s="3" t="n"/>
      <c r="B8">
        <f>IF(A8="","",IF(M8=0,"",ROUND(SUMIFS(평가B!$N$3:$N$52,평가B!$B$3:$B$52,A8)/M8,1)))</f>
        <v/>
      </c>
      <c r="C8">
        <f>IF(A8="","",IF(B8="","기록 없음",IF(B8&gt;=GOAL,"학습목표 달성","도전 중")))</f>
        <v/>
      </c>
      <c r="D8">
        <f>IF(A8="","",IF(B8="","",IF(B8&lt;GOAL,"",RANK(B8,$B$3:$B$12))))</f>
        <v/>
      </c>
      <c r="E8">
        <f>IF(A8="","",IF(N8=0,"",ROUND(SUMIFS(평가C!$O$3:$O$52,평가C!$B$3:$B$52,A8)/N8,1)))</f>
        <v/>
      </c>
      <c r="F8">
        <f>IF(A8="","",IF(E8="","기록 없음",IF(E8&gt;=GOAL,"학습목표 달성","도전 중")))</f>
        <v/>
      </c>
      <c r="G8">
        <f>IF(A8="","",IF(E8="","",IF(E8&lt;GOAL,"",RANK(E8,$E$3:$E$12))))</f>
        <v/>
      </c>
      <c r="H8">
        <f>IF(A8="","",IF(COUNT(B8,E8)=0,"",ROUND(AVERAGE(B8,E8),1)))</f>
        <v/>
      </c>
      <c r="I8">
        <f>IF(OR(A8="",H8=""),"",IF(RANK(H8,$H$3:$H$12)&lt;=3,RANK(H8,$H$3:$H$12),""))</f>
        <v/>
      </c>
      <c r="J8">
        <f>IF(A8="","",IF(COUNT(B8,E8)=0,"",IF(AND(OR(NOT(ISNUMBER(B8)),B8&gt;=GOAL),OR(NOT(ISNUMBER(E8)),E8&gt;=GOAL)),"챌린지 완주","")))</f>
        <v/>
      </c>
      <c r="L8">
        <f>IF(A8="","",COUNTIF(평가A!$B$3:$B$52,A8))</f>
        <v/>
      </c>
      <c r="M8">
        <f>IF(A8="","",COUNTIFS(평가B!$B$3:$B$52,A8,평가B!$N$3:$N$52,"&gt;=0"))</f>
        <v/>
      </c>
      <c r="N8">
        <f>IF(A8="","",COUNTIFS(평가C!$B$3:$B$52,A8,평가C!$O$3:$O$52,"&gt;=0"))</f>
        <v/>
      </c>
    </row>
    <row r="9">
      <c r="A9" s="3" t="n"/>
      <c r="B9">
        <f>IF(A9="","",IF(M9=0,"",ROUND(SUMIFS(평가B!$N$3:$N$52,평가B!$B$3:$B$52,A9)/M9,1)))</f>
        <v/>
      </c>
      <c r="C9">
        <f>IF(A9="","",IF(B9="","기록 없음",IF(B9&gt;=GOAL,"학습목표 달성","도전 중")))</f>
        <v/>
      </c>
      <c r="D9">
        <f>IF(A9="","",IF(B9="","",IF(B9&lt;GOAL,"",RANK(B9,$B$3:$B$12))))</f>
        <v/>
      </c>
      <c r="E9">
        <f>IF(A9="","",IF(N9=0,"",ROUND(SUMIFS(평가C!$O$3:$O$52,평가C!$B$3:$B$52,A9)/N9,1)))</f>
        <v/>
      </c>
      <c r="F9">
        <f>IF(A9="","",IF(E9="","기록 없음",IF(E9&gt;=GOAL,"학습목표 달성","도전 중")))</f>
        <v/>
      </c>
      <c r="G9">
        <f>IF(A9="","",IF(E9="","",IF(E9&lt;GOAL,"",RANK(E9,$E$3:$E$12))))</f>
        <v/>
      </c>
      <c r="H9">
        <f>IF(A9="","",IF(COUNT(B9,E9)=0,"",ROUND(AVERAGE(B9,E9),1)))</f>
        <v/>
      </c>
      <c r="I9">
        <f>IF(OR(A9="",H9=""),"",IF(RANK(H9,$H$3:$H$12)&lt;=3,RANK(H9,$H$3:$H$12),""))</f>
        <v/>
      </c>
      <c r="J9">
        <f>IF(A9="","",IF(COUNT(B9,E9)=0,"",IF(AND(OR(NOT(ISNUMBER(B9)),B9&gt;=GOAL),OR(NOT(ISNUMBER(E9)),E9&gt;=GOAL)),"챌린지 완주","")))</f>
        <v/>
      </c>
      <c r="L9">
        <f>IF(A9="","",COUNTIF(평가A!$B$3:$B$52,A9))</f>
        <v/>
      </c>
      <c r="M9">
        <f>IF(A9="","",COUNTIFS(평가B!$B$3:$B$52,A9,평가B!$N$3:$N$52,"&gt;=0"))</f>
        <v/>
      </c>
      <c r="N9">
        <f>IF(A9="","",COUNTIFS(평가C!$B$3:$B$52,A9,평가C!$O$3:$O$52,"&gt;=0"))</f>
        <v/>
      </c>
    </row>
    <row r="10">
      <c r="A10" s="3" t="n"/>
      <c r="B10">
        <f>IF(A10="","",IF(M10=0,"",ROUND(SUMIFS(평가B!$N$3:$N$52,평가B!$B$3:$B$52,A10)/M10,1)))</f>
        <v/>
      </c>
      <c r="C10">
        <f>IF(A10="","",IF(B10="","기록 없음",IF(B10&gt;=GOAL,"학습목표 달성","도전 중")))</f>
        <v/>
      </c>
      <c r="D10">
        <f>IF(A10="","",IF(B10="","",IF(B10&lt;GOAL,"",RANK(B10,$B$3:$B$12))))</f>
        <v/>
      </c>
      <c r="E10">
        <f>IF(A10="","",IF(N10=0,"",ROUND(SUMIFS(평가C!$O$3:$O$52,평가C!$B$3:$B$52,A10)/N10,1)))</f>
        <v/>
      </c>
      <c r="F10">
        <f>IF(A10="","",IF(E10="","기록 없음",IF(E10&gt;=GOAL,"학습목표 달성","도전 중")))</f>
        <v/>
      </c>
      <c r="G10">
        <f>IF(A10="","",IF(E10="","",IF(E10&lt;GOAL,"",RANK(E10,$E$3:$E$12))))</f>
        <v/>
      </c>
      <c r="H10">
        <f>IF(A10="","",IF(COUNT(B10,E10)=0,"",ROUND(AVERAGE(B10,E10),1)))</f>
        <v/>
      </c>
      <c r="I10">
        <f>IF(OR(A10="",H10=""),"",IF(RANK(H10,$H$3:$H$12)&lt;=3,RANK(H10,$H$3:$H$12),""))</f>
        <v/>
      </c>
      <c r="J10">
        <f>IF(A10="","",IF(COUNT(B10,E10)=0,"",IF(AND(OR(NOT(ISNUMBER(B10)),B10&gt;=GOAL),OR(NOT(ISNUMBER(E10)),E10&gt;=GOAL)),"챌린지 완주","")))</f>
        <v/>
      </c>
      <c r="L10">
        <f>IF(A10="","",COUNTIF(평가A!$B$3:$B$52,A10))</f>
        <v/>
      </c>
      <c r="M10">
        <f>IF(A10="","",COUNTIFS(평가B!$B$3:$B$52,A10,평가B!$N$3:$N$52,"&gt;=0"))</f>
        <v/>
      </c>
      <c r="N10">
        <f>IF(A10="","",COUNTIFS(평가C!$B$3:$B$52,A10,평가C!$O$3:$O$52,"&gt;=0"))</f>
        <v/>
      </c>
    </row>
    <row r="11">
      <c r="A11" s="3" t="n"/>
      <c r="B11">
        <f>IF(A11="","",IF(M11=0,"",ROUND(SUMIFS(평가B!$N$3:$N$52,평가B!$B$3:$B$52,A11)/M11,1)))</f>
        <v/>
      </c>
      <c r="C11">
        <f>IF(A11="","",IF(B11="","기록 없음",IF(B11&gt;=GOAL,"학습목표 달성","도전 중")))</f>
        <v/>
      </c>
      <c r="D11">
        <f>IF(A11="","",IF(B11="","",IF(B11&lt;GOAL,"",RANK(B11,$B$3:$B$12))))</f>
        <v/>
      </c>
      <c r="E11">
        <f>IF(A11="","",IF(N11=0,"",ROUND(SUMIFS(평가C!$O$3:$O$52,평가C!$B$3:$B$52,A11)/N11,1)))</f>
        <v/>
      </c>
      <c r="F11">
        <f>IF(A11="","",IF(E11="","기록 없음",IF(E11&gt;=GOAL,"학습목표 달성","도전 중")))</f>
        <v/>
      </c>
      <c r="G11">
        <f>IF(A11="","",IF(E11="","",IF(E11&lt;GOAL,"",RANK(E11,$E$3:$E$12))))</f>
        <v/>
      </c>
      <c r="H11">
        <f>IF(A11="","",IF(COUNT(B11,E11)=0,"",ROUND(AVERAGE(B11,E11),1)))</f>
        <v/>
      </c>
      <c r="I11">
        <f>IF(OR(A11="",H11=""),"",IF(RANK(H11,$H$3:$H$12)&lt;=3,RANK(H11,$H$3:$H$12),""))</f>
        <v/>
      </c>
      <c r="J11">
        <f>IF(A11="","",IF(COUNT(B11,E11)=0,"",IF(AND(OR(NOT(ISNUMBER(B11)),B11&gt;=GOAL),OR(NOT(ISNUMBER(E11)),E11&gt;=GOAL)),"챌린지 완주","")))</f>
        <v/>
      </c>
      <c r="L11">
        <f>IF(A11="","",COUNTIF(평가A!$B$3:$B$52,A11))</f>
        <v/>
      </c>
      <c r="M11">
        <f>IF(A11="","",COUNTIFS(평가B!$B$3:$B$52,A11,평가B!$N$3:$N$52,"&gt;=0"))</f>
        <v/>
      </c>
      <c r="N11">
        <f>IF(A11="","",COUNTIFS(평가C!$B$3:$B$52,A11,평가C!$O$3:$O$52,"&gt;=0"))</f>
        <v/>
      </c>
    </row>
    <row r="12">
      <c r="A12" s="3" t="n"/>
      <c r="B12">
        <f>IF(A12="","",IF(M12=0,"",ROUND(SUMIFS(평가B!$N$3:$N$52,평가B!$B$3:$B$52,A12)/M12,1)))</f>
        <v/>
      </c>
      <c r="C12">
        <f>IF(A12="","",IF(B12="","기록 없음",IF(B12&gt;=GOAL,"학습목표 달성","도전 중")))</f>
        <v/>
      </c>
      <c r="D12">
        <f>IF(A12="","",IF(B12="","",IF(B12&lt;GOAL,"",RANK(B12,$B$3:$B$12))))</f>
        <v/>
      </c>
      <c r="E12">
        <f>IF(A12="","",IF(N12=0,"",ROUND(SUMIFS(평가C!$O$3:$O$52,평가C!$B$3:$B$52,A12)/N12,1)))</f>
        <v/>
      </c>
      <c r="F12">
        <f>IF(A12="","",IF(E12="","기록 없음",IF(E12&gt;=GOAL,"학습목표 달성","도전 중")))</f>
        <v/>
      </c>
      <c r="G12">
        <f>IF(A12="","",IF(E12="","",IF(E12&lt;GOAL,"",RANK(E12,$E$3:$E$12))))</f>
        <v/>
      </c>
      <c r="H12">
        <f>IF(A12="","",IF(COUNT(B12,E12)=0,"",ROUND(AVERAGE(B12,E12),1)))</f>
        <v/>
      </c>
      <c r="I12">
        <f>IF(OR(A12="",H12=""),"",IF(RANK(H12,$H$3:$H$12)&lt;=3,RANK(H12,$H$3:$H$12),""))</f>
        <v/>
      </c>
      <c r="J12">
        <f>IF(A12="","",IF(COUNT(B12,E12)=0,"",IF(AND(OR(NOT(ISNUMBER(B12)),B12&gt;=GOAL),OR(NOT(ISNUMBER(E12)),E12&gt;=GOAL)),"챌린지 완주","")))</f>
        <v/>
      </c>
      <c r="L12">
        <f>IF(A12="","",COUNTIF(평가A!$B$3:$B$52,A12))</f>
        <v/>
      </c>
      <c r="M12">
        <f>IF(A12="","",COUNTIFS(평가B!$B$3:$B$52,A12,평가B!$N$3:$N$52,"&gt;=0"))</f>
        <v/>
      </c>
      <c r="N12">
        <f>IF(A12="","",COUNTIFS(평가C!$B$3:$B$52,A12,평가C!$O$3:$O$52,"&gt;=0"))</f>
        <v/>
      </c>
    </row>
    <row r="15">
      <c r="A15" s="1" t="inlineStr">
        <is>
          <t>반 전체 요약 (익명 공개용 + 합격 기준 점검)</t>
        </is>
      </c>
    </row>
    <row r="16">
      <c r="A16" s="7" t="inlineStr">
        <is>
          <t>시트</t>
        </is>
      </c>
      <c r="B16" s="7" t="inlineStr">
        <is>
          <t>명단 인원</t>
        </is>
      </c>
      <c r="C16" s="7" t="inlineStr">
        <is>
          <t>출석 인원(직접 입력)</t>
        </is>
      </c>
      <c r="D16" s="7" t="inlineStr">
        <is>
          <t>응시 인원(비경쟁 포함)</t>
        </is>
      </c>
      <c r="E16" s="7" t="inlineStr">
        <is>
          <t>완료율(%)</t>
        </is>
      </c>
      <c r="F16" s="7" t="inlineStr">
        <is>
          <t>평균 정답률(%)</t>
        </is>
      </c>
      <c r="G16" s="7" t="inlineStr">
        <is>
          <t>중복 코드</t>
        </is>
      </c>
      <c r="H16" s="7" t="inlineStr">
        <is>
          <t>명단에 없는 코드</t>
        </is>
      </c>
      <c r="I16" s="7" t="inlineStr">
        <is>
          <t>출석했는데 기록 없음</t>
        </is>
      </c>
      <c r="J16" s="7" t="inlineStr">
        <is>
          <t>비경쟁 응시</t>
        </is>
      </c>
    </row>
    <row r="17">
      <c r="A17" t="inlineStr">
        <is>
          <t>진단</t>
        </is>
      </c>
      <c r="B17">
        <f>COUNTIF(참가자!$A$3:$A$52,"?*")</f>
        <v/>
      </c>
      <c r="C17" s="3" t="n"/>
      <c r="D17">
        <f>COUNTIF(진단!$E$3:$E$52,"*응시")</f>
        <v/>
      </c>
      <c r="E17">
        <f>IF(IF(C17="",B17,C17)=0,"",ROUND(D17/IF(C17="",B17,C17)*100,1))</f>
        <v/>
      </c>
      <c r="F17">
        <f>IF(D17=0,"",ROUND(AVERAGE(진단!$D$3:$D$52),1))</f>
        <v/>
      </c>
      <c r="G17">
        <f>COUNTIF(진단!$F$3:$F$52,"중복*")</f>
        <v/>
      </c>
      <c r="H17">
        <f>COUNTIF(진단!$Z$3:$Z$102,"명단*")</f>
        <v/>
      </c>
      <c r="I17">
        <f>IF(C17="","(출석 인원 입력 시)",MAX(0,C17-D17))</f>
        <v/>
      </c>
      <c r="J17">
        <f>COUNTIF(진단!$E$3:$E$52,"비경쟁*")</f>
        <v/>
      </c>
    </row>
    <row r="18">
      <c r="A18" t="inlineStr">
        <is>
          <t>평가A</t>
        </is>
      </c>
      <c r="B18">
        <f>COUNTIF(참가자!$A$3:$A$52,"?*")</f>
        <v/>
      </c>
      <c r="C18" s="3" t="n"/>
      <c r="D18">
        <f>COUNTIF(평가A!$E$3:$E$52,"*응시")</f>
        <v/>
      </c>
      <c r="E18">
        <f>IF(IF(C18="",B18,C18)=0,"",ROUND(D18/IF(C18="",B18,C18)*100,1))</f>
        <v/>
      </c>
      <c r="F18">
        <f>IF(D18=0,"",ROUND(AVERAGE(평가A!$D$3:$D$52),1))</f>
        <v/>
      </c>
      <c r="G18">
        <f>COUNTIF(평가A!$F$3:$F$52,"중복*")</f>
        <v/>
      </c>
      <c r="H18">
        <f>COUNTIF(평가A!$Z$3:$Z$102,"명단*")</f>
        <v/>
      </c>
      <c r="I18">
        <f>IF(C18="","(출석 인원 입력 시)",MAX(0,C18-D18))</f>
        <v/>
      </c>
      <c r="J18">
        <f>COUNTIF(평가A!$E$3:$E$52,"비경쟁*")</f>
        <v/>
      </c>
    </row>
    <row r="19">
      <c r="A19" t="inlineStr">
        <is>
          <t>평가B</t>
        </is>
      </c>
      <c r="B19">
        <f>COUNTIF(참가자!$A$3:$A$52,"?*")</f>
        <v/>
      </c>
      <c r="C19" s="3" t="n"/>
      <c r="D19">
        <f>COUNTIF(평가B!$G$3:$G$52,"*응시")</f>
        <v/>
      </c>
      <c r="E19">
        <f>IF(IF(C19="",B19,C19)=0,"",ROUND(D19/IF(C19="",B19,C19)*100,1))</f>
        <v/>
      </c>
      <c r="F19">
        <f>IF(D19=0,"",ROUND(AVERAGE(평가B!$F$3:$F$52),1))</f>
        <v/>
      </c>
      <c r="G19">
        <f>COUNTIF(평가B!$H$3:$H$52,"중복*")</f>
        <v/>
      </c>
      <c r="H19">
        <f>COUNTIF(평가B!$Z$3:$Z$102,"명단*")</f>
        <v/>
      </c>
      <c r="I19">
        <f>IF(C19="","(출석 인원 입력 시)",MAX(0,C19-D19))</f>
        <v/>
      </c>
      <c r="J19">
        <f>COUNTIF(평가B!$G$3:$G$52,"비경쟁*")</f>
        <v/>
      </c>
    </row>
    <row r="20">
      <c r="A20" t="inlineStr">
        <is>
          <t>평가C</t>
        </is>
      </c>
      <c r="B20">
        <f>COUNTIF(참가자!$A$3:$A$52,"?*")</f>
        <v/>
      </c>
      <c r="C20" s="3" t="n"/>
      <c r="D20">
        <f>COUNTIF(평가C!$H$3:$H$52,"*응시")</f>
        <v/>
      </c>
      <c r="E20">
        <f>IF(IF(C20="",B20,C20)=0,"",ROUND(D20/IF(C20="",B20,C20)*100,1))</f>
        <v/>
      </c>
      <c r="F20">
        <f>IF(D20=0,"",ROUND(AVERAGE(평가C!$G$3:$G$52),1))</f>
        <v/>
      </c>
      <c r="G20">
        <f>COUNTIF(평가C!$I$3:$I$52,"중복*")</f>
        <v/>
      </c>
      <c r="H20">
        <f>COUNTIF(평가C!$Z$3:$Z$102,"명단*")</f>
        <v/>
      </c>
      <c r="I20">
        <f>IF(C20="","(출석 인원 입력 시)",MAX(0,C20-D20))</f>
        <v/>
      </c>
      <c r="J20">
        <f>COUNTIF(평가C!$H$3:$H$52,"비경쟁*")</f>
        <v/>
      </c>
    </row>
    <row r="22">
      <c r="A22" s="1" t="inlineStr">
        <is>
          <t>기준점수 출처 인원 (숫자만 — 누구인지는 적지 않음)</t>
        </is>
      </c>
    </row>
    <row r="23">
      <c r="A23" t="inlineStr">
        <is>
          <t>기준 = 평가A</t>
        </is>
      </c>
      <c r="D23">
        <f>COUNTIF(평가A!$H$3:$H$52,"평가A")</f>
        <v/>
      </c>
    </row>
    <row r="24">
      <c r="A24" t="inlineStr">
        <is>
          <t>기준 = 첫 응시(평가B) → 평가B 판정 보류</t>
        </is>
      </c>
      <c r="D24">
        <f>COUNTIF(평가A!$H$3:$H$52,"첫 응시(평가B)")</f>
        <v/>
      </c>
    </row>
    <row r="25">
      <c r="A25" t="inlineStr">
        <is>
          <t>기준 = 첫 응시(평가C) → 평가C 판정 보류</t>
        </is>
      </c>
      <c r="D25">
        <f>COUNTIF(평가A!$H$3:$H$52,"첫 응시(평가C)")</f>
        <v/>
      </c>
    </row>
    <row r="26">
      <c r="A26" t="inlineStr">
        <is>
          <t>기준 없음(평가A·B·C 모두 없음)</t>
        </is>
      </c>
      <c r="D26">
        <f>COUNTIF(평가A!$H$3:$H$52,"기준 없음")</f>
        <v/>
      </c>
    </row>
    <row r="27">
      <c r="A27" t="inlineStr">
        <is>
          <t>'교수 확인' 표시(진단이 평가A보다 기준값 이상 높음)</t>
        </is>
      </c>
      <c r="D27">
        <f>COUNTIF(평가A!$L$3:$L$52,"교수 확인")</f>
        <v/>
      </c>
    </row>
    <row r="29">
      <c r="A29" s="1" t="inlineStr">
        <is>
          <t>개인 결과 명칭 인원 (반 전체 숫자만, 비경쟁 응시 포함)</t>
        </is>
      </c>
    </row>
    <row r="30">
      <c r="A30" s="7" t="inlineStr">
        <is>
          <t>회차</t>
        </is>
      </c>
      <c r="B30" s="7" t="inlineStr">
        <is>
          <t>숙달</t>
        </is>
      </c>
      <c r="C30" s="7" t="inlineStr">
        <is>
          <t>향상</t>
        </is>
      </c>
      <c r="D30" s="7" t="inlineStr">
        <is>
          <t>유지</t>
        </is>
      </c>
      <c r="E30" s="7" t="inlineStr">
        <is>
          <t>보완 필요</t>
        </is>
      </c>
      <c r="F30" s="7" t="inlineStr">
        <is>
          <t>판정 보류</t>
        </is>
      </c>
      <c r="G30" s="7" t="inlineStr">
        <is>
          <t>결석</t>
        </is>
      </c>
    </row>
    <row r="31">
      <c r="A31" t="inlineStr">
        <is>
          <t>평가B</t>
        </is>
      </c>
      <c r="B31">
        <f>COUNTIF(평가B!$M$3:$M$52,"숙달")</f>
        <v/>
      </c>
      <c r="C31">
        <f>COUNTIF(평가B!$M$3:$M$52,"향상")</f>
        <v/>
      </c>
      <c r="D31">
        <f>COUNTIF(평가B!$M$3:$M$52,"유지")</f>
        <v/>
      </c>
      <c r="E31">
        <f>COUNTIF(평가B!$M$3:$M$52,"보완 필요")</f>
        <v/>
      </c>
      <c r="F31">
        <f>COUNTIF(평가B!$M$3:$M$52,"보류")</f>
        <v/>
      </c>
      <c r="G31">
        <f>COUNTIF(평가B!$G$3:$G$52,"결석")</f>
        <v/>
      </c>
    </row>
    <row r="32">
      <c r="A32" t="inlineStr">
        <is>
          <t>평가C</t>
        </is>
      </c>
      <c r="B32">
        <f>COUNTIF(평가C!$N$3:$N$52,"숙달")</f>
        <v/>
      </c>
      <c r="C32">
        <f>COUNTIF(평가C!$N$3:$N$52,"향상")</f>
        <v/>
      </c>
      <c r="D32">
        <f>COUNTIF(평가C!$N$3:$N$52,"유지")</f>
        <v/>
      </c>
      <c r="E32">
        <f>COUNTIF(평가C!$N$3:$N$52,"보완 필요")</f>
        <v/>
      </c>
      <c r="F32">
        <f>COUNTIF(평가C!$N$3:$N$52,"보류")</f>
        <v/>
      </c>
      <c r="G32">
        <f>COUNTIF(평가C!$H$3:$H$52,"결석")</f>
        <v/>
      </c>
    </row>
    <row r="34">
      <c r="A34" t="inlineStr">
        <is>
          <t>완료율 = 응시 인원 / 출석 인원(비어 있으면 명단 인원). 합격 기준: 완료율 90% 이상, 중복·명단 외 코드·출석했는데 기록 없음 모두 0건. 진단은 1회차 같은 날이라 완료율은 평가A 기준으로 봅니다. 이 숫자들은 탐색적 파일럿의 참여 촉진 지표이며, 학습 성장을 엄밀하게 잰 값이 아닙니다.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14" customWidth="1" min="1" max="1"/>
    <col width="90" customWidth="1" min="2" max="2"/>
    <col width="10" customWidth="1" min="3" max="3"/>
  </cols>
  <sheetData>
    <row r="1">
      <c r="A1" s="1" t="inlineStr">
        <is>
          <t>[2026-11-02] 결재2 ChatGPT 교차검토 반영: 결과 명칭(숙달·향상/유지/보완 필요), 팀 15점 '학습목표 달성', 기준점수 = 평가A 고정(진단 보정·반 평균 대입 삭제)</t>
        </is>
      </c>
    </row>
    <row r="2">
      <c r="A2" t="inlineStr">
        <is>
          <t>값이 다시 바뀌면 아래 노란 칸만 고치면 모든 시트가 자동으로 바뀝니다. 시범 기간 중에는 바꾸지 않습니다. 이 결과는 탐색적 파일럿의 '참여 촉진 지표'입니다(엄밀한 성장 측정 아님).</t>
        </is>
      </c>
    </row>
    <row r="3">
      <c r="A3" t="inlineStr">
        <is>
          <t>[검증 기록 2026-11-02] 같은 규칙을 파이썬으로 따로 계산해 LibreOffice 재계산 값과 대조: 확정값 + 노란 칸 변경 2가지 = 3가지 경우 × 601개 항목 모두 일치(총 1,803개), 오류 셀 0개. 자세한 내용: 05_성장팀/2026-11-01_팀챌린지_설문과합격기준.md 5절</t>
        </is>
      </c>
    </row>
    <row r="4">
      <c r="A4" s="1" t="inlineStr">
        <is>
          <t>기준값 (노란 칸만 수정)</t>
        </is>
      </c>
    </row>
    <row r="5">
      <c r="A5" s="2" t="inlineStr">
        <is>
          <t>이름표</t>
        </is>
      </c>
      <c r="B5" s="2" t="inlineStr">
        <is>
          <t>설명</t>
        </is>
      </c>
      <c r="C5" s="2" t="inlineStr">
        <is>
          <t>값</t>
        </is>
      </c>
    </row>
    <row r="6">
      <c r="A6" t="inlineStr">
        <is>
          <t>HIGH_CUT</t>
        </is>
      </c>
      <c r="B6" s="9" t="inlineStr">
        <is>
          <t>숙달 기준(%) — 이번 정답률이 이 값 이상이면 기준과 상관없이 최고점, 결과 명칭 '숙달' (8문항 중 7개 = 87.5%)</t>
        </is>
      </c>
      <c r="C6" s="3" t="n">
        <v>80</v>
      </c>
    </row>
    <row r="7">
      <c r="A7" t="inlineStr">
        <is>
          <t>STEP1</t>
        </is>
      </c>
      <c r="B7" s="9" t="inlineStr">
        <is>
          <t>0점 경계(%p) — 기준 대비 변화가 이 값 이상이면 '유지', 미만이면 '보완 필요' (−20%p: 2문제 이상 덜 맞히면 0점, 정확히 −20%p는 유지)</t>
        </is>
      </c>
      <c r="C7" s="3" t="n">
        <v>-20</v>
      </c>
    </row>
    <row r="8">
      <c r="A8" t="inlineStr">
        <is>
          <t>STEP2</t>
        </is>
      </c>
      <c r="B8" s="9" t="inlineStr">
        <is>
          <t>20점 경계(%p) — 기준 대비 변화가 이 값 이상이면 최고점, 결과 명칭 '향상' (+20%p: 2문제 이상 더 맞히면)</t>
        </is>
      </c>
      <c r="C8" s="3" t="n">
        <v>20</v>
      </c>
    </row>
    <row r="9">
      <c r="A9" t="inlineStr">
        <is>
          <t>PTS_LOW</t>
        </is>
      </c>
      <c r="B9" s="9" t="inlineStr">
        <is>
          <t>'보완 필요'일 때 향상점수</t>
        </is>
      </c>
      <c r="C9" s="3" t="n">
        <v>0</v>
      </c>
    </row>
    <row r="10">
      <c r="A10" t="inlineStr">
        <is>
          <t>PTS_MID</t>
        </is>
      </c>
      <c r="B10" s="9" t="inlineStr">
        <is>
          <t>'유지'일 때 향상점수</t>
        </is>
      </c>
      <c r="C10" s="3" t="n">
        <v>10</v>
      </c>
    </row>
    <row r="11">
      <c r="A11" t="inlineStr">
        <is>
          <t>PTS_HIGH</t>
        </is>
      </c>
      <c r="B11" s="9" t="inlineStr">
        <is>
          <t>'숙달' 또는 '향상'일 때 향상점수</t>
        </is>
      </c>
      <c r="C11" s="3" t="n">
        <v>20</v>
      </c>
    </row>
    <row r="12">
      <c r="A12" t="inlineStr">
        <is>
          <t>GOAL</t>
        </is>
      </c>
      <c r="B12" s="9" t="inlineStr">
        <is>
          <t>팀 점수가 이 값 이상이면 '학습목표 달성', 미만이면 '도전 중' (회차 순위는 달성 팀만)</t>
        </is>
      </c>
      <c r="C12" s="3" t="n">
        <v>15</v>
      </c>
    </row>
    <row r="13">
      <c r="A13" t="inlineStr">
        <is>
          <t>DIAG_GAP</t>
        </is>
      </c>
      <c r="B13" s="9" t="inlineStr">
        <is>
          <t>교수 확인 기준(%p, 임시값) — 진단 정답률 − 평가A 정답률이 이 값 이상이면(진단이 더 높을 때만) 평가A 시트에 '교수 확인' 표시만 함(점수는 그대로)</t>
        </is>
      </c>
      <c r="C13" s="3" t="n">
        <v>30</v>
      </c>
    </row>
    <row r="14">
      <c r="A14" t="inlineStr">
        <is>
          <t>DIAG_ITEMS</t>
        </is>
      </c>
      <c r="B14" s="9" t="inlineStr">
        <is>
          <t>진단 문항 수 — '팀 편성 참고' 합산 정답률 계산용</t>
        </is>
      </c>
      <c r="C14" s="3" t="n">
        <v>12</v>
      </c>
    </row>
    <row r="15">
      <c r="A15" t="inlineStr">
        <is>
          <t>EVAL_ITEMS</t>
        </is>
      </c>
      <c r="B15" s="9" t="inlineStr">
        <is>
          <t>평가 A·B·C 문항 수 — '팀 편성 참고' 계산, 정답률만 붙여넣었을 때 맞힌 수 환산용</t>
        </is>
      </c>
      <c r="C15" s="3" t="n">
        <v>8</v>
      </c>
    </row>
    <row r="18">
      <c r="A18" s="4" t="inlineStr">
        <is>
          <t>한눈에 보는 규칙 (현재 노란 칸 값 기준)</t>
        </is>
      </c>
    </row>
    <row r="19">
      <c r="A19" t="inlineStr">
        <is>
          <t>1. 1회차 = 진단(12문항, 팀 편성·수준 파악) + 평가A(8문항, 기준점수). 2회차 = 평가B, 3회차 = 평가C (각 8문항, 1문항 = 12.5%p). 팀 챌린지는 2·3회차.</t>
        </is>
      </c>
    </row>
    <row r="20">
      <c r="A20" t="inlineStr">
        <is>
          <t>2. 기준점수 = 평가A 정답률로 고정해 평가B·C에 똑같이 씁니다. 진단은 기준점수에 쓰지 않습니다(진단 평균 보정 없음).</t>
        </is>
      </c>
    </row>
    <row r="21">
      <c r="A21" t="inlineStr">
        <is>
          <t xml:space="preserve">   평가A가 없으면(1회차 결석·일찍 나감·새 참가자) 첫 응시(평가B, 그것도 없으면 평가C)가 기준점수가 되고, 그 회차는 '판정 보류'(점수 비움, 팀 평균에서 제외). 다음 회차부터 판정합니다.</t>
        </is>
      </c>
    </row>
    <row r="22">
      <c r="A22" t="inlineStr">
        <is>
          <t xml:space="preserve">   진단이 평가A보다 교수 확인 기준(기본 30%p, 임시값) 이상 높으면 '교수 확인' 표시만 합니다(일부러 평가A를 낮게 봤을 가능성 참고용). 점수는 바꾸지 않습니다.</t>
        </is>
      </c>
    </row>
    <row r="23">
      <c r="A23" t="inlineStr">
        <is>
          <t>3. 개인 결과 (위에서부터 먼저 맞는 것 하나): 이번 정답률 80% 이상(8개 중 7개) → 20점 '숙달' / 기준 +20%p 이상 → 20점 '향상' / 기준 −20%p 이상 → 10점 '유지' / 그보다 낮음 → 0점 '보완 필요'</t>
        </is>
      </c>
    </row>
    <row r="24">
      <c r="A24" t="inlineStr">
        <is>
          <t xml:space="preserve">   한 문제 차이(±12.5%p)는 위아래 모두 '유지'. 경계값은 포함: 정확히 80% → 숙달, 정확히 +20%p → 향상, 정확히 −20%p → 유지(10점).</t>
        </is>
      </c>
    </row>
    <row r="25">
      <c r="A25" t="inlineStr">
        <is>
          <t>4. 팀 점수 = 그 회차 '응시'하고 판정된 팀원의 향상점수 평균(소수 첫째 자리 반올림). 결석·비경쟁·명단에 없는 코드·판정 보류는 빠집니다. 0명이면 '기록 없음'.</t>
        </is>
      </c>
    </row>
    <row r="26">
      <c r="A26" t="inlineStr">
        <is>
          <t>5. 팀 점수 15점 이상 '학습목표 달성', 미만 '도전 중'. 회차 순위는 달성 팀만, 같은 점수는 같은 순위. 종합 순위는 기록 있는 회차 평균으로 상위 3위까지만.</t>
        </is>
      </c>
    </row>
    <row r="27">
      <c r="A27" t="inlineStr">
        <is>
          <t>6. 챌린지 완주 = 2·3회차 모두 학습목표 달성. 한 회차가 '기록 없음'이면 남은 1회만으로 판정.</t>
        </is>
      </c>
    </row>
    <row r="28">
      <c r="A28" t="inlineStr">
        <is>
          <t>7. 정답률은 소수 첫째 자리에서 반올림해 저장하고, 이후 계산은 그 값으로 합니다(예: 7/12 = 58.3%). 원점수(맞힌 수) A·B·C와 변화(개)를 함께 보여 줍니다.</t>
        </is>
      </c>
    </row>
    <row r="29">
      <c r="A29" t="inlineStr">
        <is>
          <t>8. 팀 편성 참고: 평가A 시트 M열 = 진단 + 평가A 20문항 합산 정답률. 높은 순으로 줄 세워 지그재그로 팀을 짭니다.</t>
        </is>
      </c>
    </row>
    <row r="30">
      <c r="A30" t="inlineStr">
        <is>
          <t>9. 해석 주의: 4지선다라 찍기 운이 큽니다(모두 찍어도 평가B에서 20점이 나올 확률 약 19%, 가정에 따른 계산). 한 번의 20점을 '실력이 늘었다'로 말하지 않습니다.</t>
        </is>
      </c>
    </row>
    <row r="32">
      <c r="A32" s="4" t="inlineStr">
        <is>
          <t>사용 순서</t>
        </is>
      </c>
    </row>
    <row r="33">
      <c r="A33" t="inlineStr">
        <is>
          <t>1단계 — [참가자] 시트: 노란 칸에 6자리 참가자 코드와 팀을 적습니다. 실명·학번·연락처는 절대 적지 마세요.</t>
        </is>
      </c>
    </row>
    <row r="34">
      <c r="A34" t="inlineStr">
        <is>
          <t>2단계 — 각 평가 시트의 오른쪽 노란 '붙여넣기 영역'(R~U열, 3행부터)에 결과를 붙여넣습니다. 왼쪽 초록 칸과 회색 칸은 자동 계산이니 손대지 마세요.</t>
        </is>
      </c>
    </row>
    <row r="35">
      <c r="A35" t="inlineStr">
        <is>
          <t xml:space="preserve">   1회차: 진단 12문항 → [진단], 평가A 8문항 → [평가A]. 2회차 → [평가B], 3회차 → [평가C]. (연습 문항 결과는 넣지 않습니다.)</t>
        </is>
      </c>
    </row>
    <row r="36">
      <c r="A36" t="inlineStr">
        <is>
          <t>3단계 — [팀 점수] 시트: 팀 이름(노란 칸)을 확인하고, 반 전체 요약에 그날 출석 인원을 적습니다. 화면에는 왼쪽 '공개용' 표와 반 전체 요약만 띄웁니다. 오른쪽 분홍 '교수용' 칸은 띄우지 마세요.</t>
        </is>
      </c>
    </row>
    <row r="38">
      <c r="A38" s="4" t="inlineStr">
        <is>
          <t>붙여넣기 방법 (Socrative)</t>
        </is>
      </c>
    </row>
    <row r="39">
      <c r="A39" t="inlineStr">
        <is>
          <t>R열 = 참가자 코드 / S열 = 맞힌 문항 수 / T열 = 전체 문항 수 / U열 = 정답률(%) — S·T가 있으면 U는 비워 두고, 정답률만 있으면 S·T를 비우고 U에만 붙여넣습니다(U에 값이 있으면 U를 우선 사용, 맞힌 수는 정답률 × 문항 수로 환산해 소수가 나올 수 있음).</t>
        </is>
      </c>
    </row>
    <row r="40">
      <c r="A40" t="inlineStr">
        <is>
          <t>Socrative: 학생 '이름' 칸에 참가자 코드를 입력하게 안내 → 끝난 뒤 보고서의 이름 열과 점수 열만 복사해 붙여넣기. (무료 요금제 내보내기 형식은 미확인)</t>
        </is>
      </c>
    </row>
    <row r="41">
      <c r="A41" t="inlineStr">
        <is>
          <t>(참고) 웹앱 v0.3에는 결과 저장·CSV가 없습니다. v0.4를 만들면 CSV 열 순서를 '참가자코드, 맞힌 수, 문항 수'로 맞춰 R열에 붙여넣습니다.</t>
        </is>
      </c>
    </row>
    <row r="42">
      <c r="A42" t="inlineStr">
        <is>
          <t>붙여넣은 표에 실명이나 학번 열이 섞여 있으면 붙여넣기 전에 그 열을 지우세요.</t>
        </is>
      </c>
    </row>
    <row r="44">
      <c r="A44" s="4" t="inlineStr">
        <is>
          <t>비경쟁·예외 처리</t>
        </is>
      </c>
    </row>
    <row r="45">
      <c r="A45" t="inlineStr">
        <is>
          <t>코드 뒤 '-N'을 붙인 응시(예: K7M2QX-N)는 '비경쟁 응시'. 점수·명칭은 계산하지만 팀 평균·순위에는 넣지 않습니다. 평가 시작 3분 뒤 도착자는 R열 코드 뒤에 '-N'을 직접 붙여 주세요.</t>
        </is>
      </c>
    </row>
    <row r="46">
      <c r="A46" t="inlineStr">
        <is>
          <t>명단에 없는 코드(오타)는 계산에 들어가지 않습니다('명단에 없는 코드' 표시, 기록 점검에서 1건). '중복! 확인' = 같은 코드가 두 번 → 위에 있는 줄이 쓰입니다(먼저 끝까지 제출한 것이 위에 오게).</t>
        </is>
      </c>
    </row>
    <row r="47">
      <c r="A47" t="inlineStr">
        <is>
          <t>팀 출석이 1명뿐인 회차(다른 팀 임시 합류)는 자동 처리가 없습니다. 교수님 판단으로 메모해 두세요.</t>
        </is>
      </c>
    </row>
    <row r="49">
      <c r="A49" s="4" t="inlineStr">
        <is>
          <t>개인정보·공개 원칙</t>
        </is>
      </c>
    </row>
    <row r="50">
      <c r="A50" t="inlineStr">
        <is>
          <t>개인별 정답률·향상점수·결과 명칭(진단~평가C 시트)은 교수님만 봅니다. 팀 순위는 활동이 끝난 뒤에만 공개하고, 팀 평균을 몇 명으로 나눴는지는 보여 주지 않습니다.</t>
        </is>
      </c>
    </row>
    <row r="51">
      <c r="A51" t="inlineStr">
        <is>
          <t>이 파일의 12명 데이터는 모두 가짜 예시입니다. 실제 사용 전 참가자·붙여넣기 영역의 예시 값을 지우세요. 학기 종료 후 파일을 삭제합니다.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2026-11-01T13:06:55Z</dcterms:created>
  <dcterms:modified xmlns:dcterms="http://purl.org/dc/terms/" xmlns:xsi="http://www.w3.org/2001/XMLSchema-instance" xsi:type="dcterms:W3CDTF">2026-11-01T13:06:55Z</dcterms:modified>
</cp:coreProperties>
</file>