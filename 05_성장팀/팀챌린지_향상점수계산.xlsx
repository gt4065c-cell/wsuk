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6"/>
  </bookViews>
  <sheets>
    <sheet name="참가자" sheetId="1" state="visible" r:id="rId3"/>
    <sheet name="진단" sheetId="2" state="visible" r:id="rId4"/>
    <sheet name="평가A" sheetId="3" state="visible" r:id="rId5"/>
    <sheet name="평가B" sheetId="4" state="visible" r:id="rId6"/>
    <sheet name="평가C" sheetId="5" state="visible" r:id="rId7"/>
    <sheet name="팀 점수" sheetId="6" state="visible" r:id="rId8"/>
    <sheet name="사용법" sheetId="7" state="visible" r:id="rId9"/>
  </sheets>
  <definedNames>
    <definedName function="false" hidden="false" name="DIAG_GAP" vbProcedure="false">사용법!$C$15</definedName>
    <definedName function="false" hidden="false" name="DIAG_ITEMS" vbProcedure="false">사용법!$C$16</definedName>
    <definedName function="false" hidden="false" name="EVAL_ITEMS" vbProcedure="false">사용법!$C$17</definedName>
    <definedName function="false" hidden="false" name="GOAL1" vbProcedure="false">사용법!$C$12</definedName>
    <definedName function="false" hidden="false" name="GOAL2" vbProcedure="false">사용법!$C$13</definedName>
    <definedName function="false" hidden="false" name="HIGH_CUT" vbProcedure="false">사용법!$C$6</definedName>
    <definedName function="false" hidden="false" name="PTS_HIGH" vbProcedure="false">사용법!$C$11</definedName>
    <definedName function="false" hidden="false" name="PTS_LOW" vbProcedure="false">사용법!$C$9</definedName>
    <definedName function="false" hidden="false" name="PTS_MID" vbProcedure="false">사용법!$C$10</definedName>
    <definedName function="false" hidden="false" name="STEP1" vbProcedure="false">사용법!$C$7</definedName>
    <definedName function="false" hidden="false" name="STEP2" vbProcedure="false">사용법!$C$8</definedName>
    <definedName function="false" hidden="false" name="USE_DIAG_CHECK" vbProcedure="false">사용법!$C$14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<sst xmlns="http://schemas.openxmlformats.org/spreadsheetml/2006/main" count="248" uniqueCount="143">
  <si>
    <r>
      <rPr>
        <b val="true"/>
        <sz val="11"/>
        <color rgb="FFC00000"/>
        <rFont val="WenQuanYi Zen Hei"/>
        <family val="2"/>
      </rPr>
      <t xml:space="preserve">참가자 명단 — 실명</t>
    </r>
    <r>
      <rPr>
        <b val="true"/>
        <sz val="11"/>
        <color rgb="FFC00000"/>
        <rFont val="Cambria"/>
        <family val="0"/>
        <charset val="1"/>
      </rPr>
      <t xml:space="preserve">·</t>
    </r>
    <r>
      <rPr>
        <b val="true"/>
        <sz val="11"/>
        <color rgb="FFC00000"/>
        <rFont val="WenQuanYi Zen Hei"/>
        <family val="2"/>
      </rPr>
      <t xml:space="preserve">학번</t>
    </r>
    <r>
      <rPr>
        <b val="true"/>
        <sz val="11"/>
        <color rgb="FFC00000"/>
        <rFont val="Cambria"/>
        <family val="0"/>
        <charset val="1"/>
      </rPr>
      <t xml:space="preserve">·</t>
    </r>
    <r>
      <rPr>
        <b val="true"/>
        <sz val="11"/>
        <color rgb="FFC00000"/>
        <rFont val="WenQuanYi Zen Hei"/>
        <family val="2"/>
      </rPr>
      <t xml:space="preserve">연락처 금지</t>
    </r>
    <r>
      <rPr>
        <b val="true"/>
        <sz val="11"/>
        <color rgb="FFC00000"/>
        <rFont val="Cambria"/>
        <family val="0"/>
        <charset val="1"/>
      </rPr>
      <t xml:space="preserve">. </t>
    </r>
    <r>
      <rPr>
        <b val="true"/>
        <sz val="11"/>
        <color rgb="FFC00000"/>
        <rFont val="WenQuanYi Zen Hei"/>
        <family val="2"/>
      </rPr>
      <t xml:space="preserve">무작위 참가자 코드만</t>
    </r>
    <r>
      <rPr>
        <b val="true"/>
        <sz val="11"/>
        <color rgb="FFC00000"/>
        <rFont val="Cambria"/>
        <family val="0"/>
        <charset val="1"/>
      </rPr>
      <t xml:space="preserve">. (</t>
    </r>
    <r>
      <rPr>
        <b val="true"/>
        <sz val="11"/>
        <color rgb="FFC00000"/>
        <rFont val="WenQuanYi Zen Hei"/>
        <family val="2"/>
      </rPr>
      <t xml:space="preserve">예시 </t>
    </r>
    <r>
      <rPr>
        <b val="true"/>
        <sz val="11"/>
        <color rgb="FFC00000"/>
        <rFont val="Cambria"/>
        <family val="0"/>
        <charset val="1"/>
      </rPr>
      <t xml:space="preserve">12</t>
    </r>
    <r>
      <rPr>
        <b val="true"/>
        <sz val="11"/>
        <color rgb="FFC00000"/>
        <rFont val="WenQuanYi Zen Hei"/>
        <family val="2"/>
      </rPr>
      <t xml:space="preserve">명은 가짜 데이터</t>
    </r>
    <r>
      <rPr>
        <b val="true"/>
        <sz val="11"/>
        <color rgb="FFC00000"/>
        <rFont val="Cambria"/>
        <family val="0"/>
        <charset val="1"/>
      </rPr>
      <t xml:space="preserve">)</t>
    </r>
  </si>
  <si>
    <t xml:space="preserve">참가자 코드</t>
  </si>
  <si>
    <t xml:space="preserve">팀</t>
  </si>
  <si>
    <r>
      <rPr>
        <b val="true"/>
        <sz val="11"/>
        <rFont val="WenQuanYi Zen Hei"/>
        <family val="2"/>
      </rPr>
      <t xml:space="preserve">메모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선택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개인정보 금지</t>
    </r>
    <r>
      <rPr>
        <b val="true"/>
        <sz val="11"/>
        <rFont val="Cambria"/>
        <family val="0"/>
        <charset val="1"/>
      </rPr>
      <t xml:space="preserve">)</t>
    </r>
  </si>
  <si>
    <t xml:space="preserve">K7QM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</si>
  <si>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팀</t>
    </r>
  </si>
  <si>
    <t xml:space="preserve">R4XT</t>
  </si>
  <si>
    <t xml:space="preserve">H9WC</t>
  </si>
  <si>
    <t xml:space="preserve">B3NV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</si>
  <si>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팀</t>
    </r>
  </si>
  <si>
    <t xml:space="preserve">Z8LD</t>
  </si>
  <si>
    <t xml:space="preserve">M2PF</t>
  </si>
  <si>
    <t xml:space="preserve">T6YH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</si>
  <si>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팀</t>
    </r>
  </si>
  <si>
    <t xml:space="preserve">C5JR</t>
  </si>
  <si>
    <t xml:space="preserve">W3KE</t>
  </si>
  <si>
    <t xml:space="preserve">F8UA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</si>
  <si>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WenQuanYi Zen Hei"/>
        <family val="2"/>
      </rPr>
      <t xml:space="preserve">팀</t>
    </r>
  </si>
  <si>
    <t xml:space="preserve">N4GS</t>
  </si>
  <si>
    <t xml:space="preserve">D7VB</t>
  </si>
  <si>
    <r>
      <rPr>
        <b val="true"/>
        <sz val="11"/>
        <rFont val="WenQuanYi Zen Hei"/>
        <family val="2"/>
      </rPr>
      <t xml:space="preserve">진단 </t>
    </r>
    <r>
      <rPr>
        <b val="true"/>
        <sz val="11"/>
        <rFont val="Cambria"/>
        <family val="0"/>
        <charset val="1"/>
      </rPr>
      <t xml:space="preserve">(1</t>
    </r>
    <r>
      <rPr>
        <b val="true"/>
        <sz val="11"/>
        <rFont val="WenQuanYi Zen Hei"/>
        <family val="2"/>
      </rPr>
      <t xml:space="preserve">회차</t>
    </r>
    <r>
      <rPr>
        <b val="true"/>
        <sz val="11"/>
        <rFont val="Cambria"/>
        <family val="0"/>
        <charset val="1"/>
      </rPr>
      <t xml:space="preserve">, 12</t>
    </r>
    <r>
      <rPr>
        <b val="true"/>
        <sz val="11"/>
        <rFont val="WenQuanYi Zen Hei"/>
        <family val="2"/>
      </rPr>
      <t xml:space="preserve">문항</t>
    </r>
    <r>
      <rPr>
        <b val="true"/>
        <sz val="11"/>
        <rFont val="Cambria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팀 편성 참고 </t>
    </r>
    <r>
      <rPr>
        <b val="true"/>
        <sz val="11"/>
        <rFont val="Cambria"/>
        <family val="0"/>
        <charset val="1"/>
      </rPr>
      <t xml:space="preserve">+ </t>
    </r>
    <r>
      <rPr>
        <b val="true"/>
        <sz val="11"/>
        <rFont val="WenQuanYi Zen Hei"/>
        <family val="2"/>
      </rPr>
      <t xml:space="preserve">일부러 못 보기 점검</t>
    </r>
    <r>
      <rPr>
        <b val="true"/>
        <sz val="11"/>
        <rFont val="Cambria"/>
        <family val="0"/>
        <charset val="1"/>
      </rPr>
      <t xml:space="preserve">. </t>
    </r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WenQuanYi Zen Hei"/>
        <family val="2"/>
      </rPr>
      <t xml:space="preserve">가 없을 때만 기준점수로 대체</t>
    </r>
  </si>
  <si>
    <r>
      <rPr>
        <b val="true"/>
        <sz val="11"/>
        <color rgb="FFC00000"/>
        <rFont val="WenQuanYi Zen Hei"/>
        <family val="2"/>
      </rPr>
      <t xml:space="preserve">붙여넣기 영역 </t>
    </r>
    <r>
      <rPr>
        <b val="true"/>
        <sz val="11"/>
        <color rgb="FFC00000"/>
        <rFont val="Cambria"/>
        <family val="0"/>
        <charset val="1"/>
      </rPr>
      <t xml:space="preserve">(</t>
    </r>
    <r>
      <rPr>
        <b val="true"/>
        <sz val="11"/>
        <color rgb="FFC00000"/>
        <rFont val="WenQuanYi Zen Hei"/>
        <family val="2"/>
      </rPr>
      <t xml:space="preserve">노란 칸</t>
    </r>
    <r>
      <rPr>
        <b val="true"/>
        <sz val="11"/>
        <color rgb="FFC00000"/>
        <rFont val="Cambria"/>
        <family val="0"/>
        <charset val="1"/>
      </rPr>
      <t xml:space="preserve">, 3</t>
    </r>
    <r>
      <rPr>
        <b val="true"/>
        <sz val="11"/>
        <color rgb="FFC00000"/>
        <rFont val="WenQuanYi Zen Hei"/>
        <family val="2"/>
      </rPr>
      <t xml:space="preserve">행부터</t>
    </r>
    <r>
      <rPr>
        <b val="true"/>
        <sz val="11"/>
        <color rgb="FFC00000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</si>
  <si>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정답률</t>
    </r>
    <r>
      <rPr>
        <b val="true"/>
        <sz val="11"/>
        <rFont val="Cambria"/>
        <family val="0"/>
        <charset val="1"/>
      </rPr>
      <t xml:space="preserve">(%)</t>
    </r>
  </si>
  <si>
    <t xml:space="preserve">상태</t>
  </si>
  <si>
    <t xml:space="preserve">중복 점검</t>
  </si>
  <si>
    <t xml:space="preserve">맞힌 수</t>
  </si>
  <si>
    <t xml:space="preserve">문항 수</t>
  </si>
  <si>
    <r>
      <rPr>
        <b val="true"/>
        <sz val="11"/>
        <rFont val="WenQuanYi Zen Hei"/>
        <family val="2"/>
      </rPr>
      <t xml:space="preserve">정리된 코드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</si>
  <si>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계산 정답률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</si>
  <si>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비경쟁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</si>
  <si>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명단 점검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자동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</si>
  <si>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A (1</t>
    </r>
    <r>
      <rPr>
        <b val="true"/>
        <sz val="11"/>
        <rFont val="WenQuanYi Zen Hei"/>
        <family val="2"/>
      </rPr>
      <t xml:space="preserve">회차 공통 평가</t>
    </r>
    <r>
      <rPr>
        <b val="true"/>
        <sz val="11"/>
        <rFont val="Cambria"/>
        <family val="0"/>
        <charset val="1"/>
      </rPr>
      <t xml:space="preserve">, 8</t>
    </r>
    <r>
      <rPr>
        <b val="true"/>
        <sz val="11"/>
        <rFont val="WenQuanYi Zen Hei"/>
        <family val="2"/>
      </rPr>
      <t xml:space="preserve">문항</t>
    </r>
    <r>
      <rPr>
        <b val="true"/>
        <sz val="11"/>
        <rFont val="Cambria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각자의 기준점수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B·C </t>
    </r>
    <r>
      <rPr>
        <b val="true"/>
        <sz val="11"/>
        <rFont val="WenQuanYi Zen Hei"/>
        <family val="2"/>
      </rPr>
      <t xml:space="preserve">모두에 고정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</si>
  <si>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기준점수</t>
    </r>
    <r>
      <rPr>
        <b val="true"/>
        <sz val="11"/>
        <rFont val="Cambria"/>
        <family val="0"/>
        <charset val="1"/>
      </rPr>
      <t xml:space="preserve">(%)</t>
    </r>
  </si>
  <si>
    <t xml:space="preserve">기준 출처</t>
  </si>
  <si>
    <r>
      <rPr>
        <b val="true"/>
        <sz val="11"/>
        <rFont val="WenQuanYi Zen Hei"/>
        <family val="2"/>
      </rPr>
      <t xml:space="preserve">팀 편성 참고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진단</t>
    </r>
    <r>
      <rPr>
        <b val="true"/>
        <sz val="11"/>
        <rFont val="Cambria"/>
        <family val="0"/>
        <charset val="1"/>
      </rPr>
      <t xml:space="preserve">+</t>
    </r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A %)</t>
    </r>
  </si>
  <si>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B (2</t>
    </r>
    <r>
      <rPr>
        <b val="true"/>
        <sz val="11"/>
        <rFont val="WenQuanYi Zen Hei"/>
        <family val="2"/>
      </rPr>
      <t xml:space="preserve">회차 공통 점검</t>
    </r>
    <r>
      <rPr>
        <b val="true"/>
        <sz val="11"/>
        <rFont val="Cambria"/>
        <family val="0"/>
        <charset val="1"/>
      </rPr>
      <t xml:space="preserve">, 8</t>
    </r>
    <r>
      <rPr>
        <b val="true"/>
        <sz val="11"/>
        <rFont val="WenQuanYi Zen Hei"/>
        <family val="2"/>
      </rPr>
      <t xml:space="preserve">문항</t>
    </r>
    <r>
      <rPr>
        <b val="true"/>
        <sz val="11"/>
        <rFont val="Cambria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기준점수 대비 향상점수</t>
    </r>
  </si>
  <si>
    <r>
      <rPr>
        <b val="true"/>
        <sz val="11"/>
        <rFont val="WenQuanYi Zen Hei"/>
        <family val="2"/>
      </rPr>
      <t xml:space="preserve">변화</t>
    </r>
    <r>
      <rPr>
        <b val="true"/>
        <sz val="11"/>
        <rFont val="Cambria"/>
        <family val="0"/>
        <charset val="1"/>
      </rPr>
      <t xml:space="preserve">(%p)</t>
    </r>
  </si>
  <si>
    <t xml:space="preserve">향상점수</t>
  </si>
  <si>
    <t xml:space="preserve">팀 반영 점수</t>
  </si>
  <si>
    <t xml:space="preserve">판정 이유</t>
  </si>
  <si>
    <t xml:space="preserve"> k7qm </t>
  </si>
  <si>
    <t xml:space="preserve">W3KE-N</t>
  </si>
  <si>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C (3</t>
    </r>
    <r>
      <rPr>
        <b val="true"/>
        <sz val="11"/>
        <rFont val="WenQuanYi Zen Hei"/>
        <family val="2"/>
      </rPr>
      <t xml:space="preserve">회차 공통 점검</t>
    </r>
    <r>
      <rPr>
        <b val="true"/>
        <sz val="11"/>
        <rFont val="Cambria"/>
        <family val="0"/>
        <charset val="1"/>
      </rPr>
      <t xml:space="preserve">, 8</t>
    </r>
    <r>
      <rPr>
        <b val="true"/>
        <sz val="11"/>
        <rFont val="WenQuanYi Zen Hei"/>
        <family val="2"/>
      </rPr>
      <t xml:space="preserve">문항</t>
    </r>
    <r>
      <rPr>
        <b val="true"/>
        <sz val="11"/>
        <rFont val="Cambria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기준점수 대비 향상점수</t>
    </r>
  </si>
  <si>
    <t xml:space="preserve">f8ua-n</t>
  </si>
  <si>
    <t xml:space="preserve">D7V8</t>
  </si>
  <si>
    <r>
      <rPr>
        <b val="true"/>
        <sz val="11"/>
        <rFont val="WenQuanYi Zen Hei"/>
        <family val="2"/>
      </rPr>
      <t xml:space="preserve">공개용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활동이 끝난 뒤에만</t>
    </r>
    <r>
      <rPr>
        <b val="true"/>
        <sz val="11"/>
        <rFont val="Cambria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팀 점수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응시한 팀원의 향상점수 평균</t>
    </r>
    <r>
      <rPr>
        <b val="true"/>
        <sz val="11"/>
        <rFont val="Cambria"/>
        <family val="0"/>
        <charset val="1"/>
      </rPr>
      <t xml:space="preserve">. </t>
    </r>
    <r>
      <rPr>
        <b val="true"/>
        <sz val="11"/>
        <rFont val="WenQuanYi Zen Hei"/>
        <family val="2"/>
      </rPr>
      <t xml:space="preserve">결석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비경쟁 제외</t>
    </r>
    <r>
      <rPr>
        <b val="true"/>
        <sz val="11"/>
        <rFont val="Cambria"/>
        <family val="0"/>
        <charset val="1"/>
      </rPr>
      <t xml:space="preserve">.</t>
    </r>
  </si>
  <si>
    <t xml:space="preserve">교수용 — 화면에 띄우지 마세요</t>
  </si>
  <si>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회차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B) </t>
    </r>
    <r>
      <rPr>
        <b val="true"/>
        <sz val="11"/>
        <rFont val="WenQuanYi Zen Hei"/>
        <family val="2"/>
      </rPr>
      <t xml:space="preserve">팀 점수</t>
    </r>
  </si>
  <si>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회차 인정</t>
    </r>
  </si>
  <si>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회차 순위</t>
    </r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</si>
  <si>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회차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C) </t>
    </r>
    <r>
      <rPr>
        <b val="true"/>
        <sz val="11"/>
        <rFont val="WenQuanYi Zen Hei"/>
        <family val="2"/>
      </rPr>
      <t xml:space="preserve">팀 점수</t>
    </r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</si>
  <si>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회차 인정</t>
    </r>
  </si>
  <si>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회차 순위</t>
    </r>
  </si>
  <si>
    <t xml:space="preserve">종합 평균</t>
  </si>
  <si>
    <r>
      <rPr>
        <b val="true"/>
        <sz val="11"/>
        <rFont val="WenQuanYi Zen Hei"/>
        <family val="2"/>
      </rPr>
      <t xml:space="preserve">종합 순위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상위 </t>
    </r>
    <r>
      <rPr>
        <b val="true"/>
        <sz val="11"/>
        <rFont val="Cambria"/>
        <family val="0"/>
        <charset val="1"/>
      </rPr>
      <t xml:space="preserve">3)</t>
    </r>
  </si>
  <si>
    <t xml:space="preserve">챌린지 완주</t>
  </si>
  <si>
    <t xml:space="preserve">팀원 수</t>
  </si>
  <si>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WenQuanYi Zen Hei"/>
        <family val="2"/>
      </rPr>
      <t xml:space="preserve">반영 인원</t>
    </r>
  </si>
  <si>
    <r>
      <rPr>
        <b val="true"/>
        <sz val="11"/>
        <rFont val="WenQuanYi Zen Hei"/>
        <family val="2"/>
      </rPr>
      <t xml:space="preserve">평가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WenQuanYi Zen Hei"/>
        <family val="2"/>
      </rPr>
      <t xml:space="preserve">반영 인원</t>
    </r>
  </si>
  <si>
    <r>
      <rPr>
        <b val="true"/>
        <sz val="13"/>
        <rFont val="WenQuanYi Zen Hei"/>
        <family val="2"/>
      </rPr>
      <t xml:space="preserve">반 전체 요약 </t>
    </r>
    <r>
      <rPr>
        <b val="true"/>
        <sz val="13"/>
        <rFont val="Cambria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익명 공개용 </t>
    </r>
    <r>
      <rPr>
        <b val="true"/>
        <sz val="13"/>
        <rFont val="Cambria"/>
        <family val="0"/>
        <charset val="1"/>
      </rPr>
      <t xml:space="preserve">+ </t>
    </r>
    <r>
      <rPr>
        <b val="true"/>
        <sz val="13"/>
        <rFont val="WenQuanYi Zen Hei"/>
        <family val="2"/>
      </rPr>
      <t xml:space="preserve">합격 기준 점검</t>
    </r>
    <r>
      <rPr>
        <b val="true"/>
        <sz val="13"/>
        <rFont val="Cambria"/>
        <family val="0"/>
        <charset val="1"/>
      </rPr>
      <t xml:space="preserve">)</t>
    </r>
  </si>
  <si>
    <t xml:space="preserve">시트</t>
  </si>
  <si>
    <t xml:space="preserve">명단 인원</t>
  </si>
  <si>
    <r>
      <rPr>
        <b val="true"/>
        <sz val="11"/>
        <rFont val="WenQuanYi Zen Hei"/>
        <family val="2"/>
      </rPr>
      <t xml:space="preserve">출석 인원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직접 입력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</si>
  <si>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응시 인원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비경쟁 포함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</si>
  <si>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완료율</t>
    </r>
    <r>
      <rPr>
        <b val="true"/>
        <sz val="11"/>
        <rFont val="Cambria"/>
        <family val="0"/>
        <charset val="1"/>
      </rPr>
      <t xml:space="preserve">(%)</t>
    </r>
  </si>
  <si>
    <r>
      <rPr>
        <b val="true"/>
        <sz val="11"/>
        <rFont val="WenQuanYi Zen Hei"/>
        <family val="2"/>
      </rPr>
      <t xml:space="preserve">평균 정답률</t>
    </r>
    <r>
      <rPr>
        <b val="true"/>
        <sz val="11"/>
        <rFont val="Cambria"/>
        <family val="0"/>
        <charset val="1"/>
      </rPr>
      <t xml:space="preserve">(%)</t>
    </r>
  </si>
  <si>
    <t xml:space="preserve">중복 코드</t>
  </si>
  <si>
    <t xml:space="preserve">명단에 없는 코드</t>
  </si>
  <si>
    <t xml:space="preserve">출석했는데 기록 없음</t>
  </si>
  <si>
    <t xml:space="preserve">비경쟁 응시</t>
  </si>
  <si>
    <t xml:space="preserve">진단</t>
  </si>
  <si>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</si>
  <si>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</si>
  <si>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</si>
  <si>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WenQuanYi Zen Hei"/>
        <family val="2"/>
      </rPr>
      <t xml:space="preserve">기준점수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진단 보정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적용 인원</t>
    </r>
  </si>
  <si>
    <r>
      <rPr>
        <sz val="11"/>
        <color theme="1"/>
        <rFont val="WenQuanYi Zen Hei"/>
        <family val="2"/>
      </rPr>
      <t xml:space="preserve">기준점수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진단 대체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적용 인원</t>
    </r>
  </si>
  <si>
    <r>
      <rPr>
        <sz val="11"/>
        <color theme="1"/>
        <rFont val="WenQuanYi Zen Hei"/>
        <family val="2"/>
      </rPr>
      <t xml:space="preserve">기준점수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응시자 평균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적용 인원</t>
    </r>
  </si>
  <si>
    <r>
      <rPr>
        <sz val="11"/>
        <color theme="1"/>
        <rFont val="WenQuanYi Zen Hei"/>
        <family val="2"/>
      </rPr>
      <t xml:space="preserve">완료율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응시 인원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출석 인원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비어 있으면 명단 인원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합격 기준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완료율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WenQuanYi Zen Hei"/>
        <family val="2"/>
      </rPr>
      <t xml:space="preserve">이상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중복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명단 외 코드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출석했는데 기록 없음 모두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보정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대체 인원은 숫자만 보고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누구인지는 적지 않음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진단은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회차 같은 날이라 완료율은 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기준으로 봅니다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</si>
  <si>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C00000"/>
        <rFont val="Cambria"/>
        <family val="0"/>
        <charset val="1"/>
      </rPr>
      <t xml:space="preserve">[</t>
    </r>
    <r>
      <rPr>
        <b val="true"/>
        <sz val="11"/>
        <color rgb="FFC00000"/>
        <rFont val="WenQuanYi Zen Hei"/>
        <family val="2"/>
      </rPr>
      <t xml:space="preserve">주의</t>
    </r>
    <r>
      <rPr>
        <b val="true"/>
        <sz val="11"/>
        <color rgb="FFC00000"/>
        <rFont val="Cambria"/>
        <family val="0"/>
        <charset val="1"/>
      </rPr>
      <t xml:space="preserve">] </t>
    </r>
    <r>
      <rPr>
        <b val="true"/>
        <sz val="11"/>
        <color rgb="FFC00000"/>
        <rFont val="WenQuanYi Zen Hei"/>
        <family val="2"/>
      </rPr>
      <t xml:space="preserve">규칙 수치는 </t>
    </r>
    <r>
      <rPr>
        <b val="true"/>
        <sz val="11"/>
        <color rgb="FFC00000"/>
        <rFont val="Cambria"/>
        <family val="0"/>
        <charset val="1"/>
      </rPr>
      <t xml:space="preserve">03_</t>
    </r>
    <r>
      <rPr>
        <b val="true"/>
        <sz val="11"/>
        <color rgb="FFC00000"/>
        <rFont val="WenQuanYi Zen Hei"/>
        <family val="2"/>
      </rPr>
      <t xml:space="preserve">교육기획팀</t>
    </r>
    <r>
      <rPr>
        <b val="true"/>
        <sz val="11"/>
        <color rgb="FFC00000"/>
        <rFont val="Cambria"/>
        <family val="0"/>
        <charset val="1"/>
      </rPr>
      <t xml:space="preserve">/2026-11-01_</t>
    </r>
    <r>
      <rPr>
        <b val="true"/>
        <sz val="11"/>
        <color rgb="FFC00000"/>
        <rFont val="WenQuanYi Zen Hei"/>
        <family val="2"/>
      </rPr>
      <t xml:space="preserve">팀챌린지</t>
    </r>
    <r>
      <rPr>
        <b val="true"/>
        <sz val="11"/>
        <color rgb="FFC00000"/>
        <rFont val="Cambria"/>
        <family val="0"/>
        <charset val="1"/>
      </rPr>
      <t xml:space="preserve">_</t>
    </r>
    <r>
      <rPr>
        <b val="true"/>
        <sz val="11"/>
        <color rgb="FFC00000"/>
        <rFont val="WenQuanYi Zen Hei"/>
        <family val="2"/>
      </rPr>
      <t xml:space="preserve">운영설계</t>
    </r>
    <r>
      <rPr>
        <b val="true"/>
        <sz val="11"/>
        <color rgb="FFC00000"/>
        <rFont val="Cambria"/>
        <family val="0"/>
        <charset val="1"/>
      </rPr>
      <t xml:space="preserve">.md </t>
    </r>
    <r>
      <rPr>
        <b val="true"/>
        <sz val="11"/>
        <color rgb="FFC00000"/>
        <rFont val="WenQuanYi Zen Hei"/>
        <family val="2"/>
      </rPr>
      <t xml:space="preserve">확정 후 조정</t>
    </r>
  </si>
  <si>
    <r>
      <rPr>
        <sz val="11"/>
        <color theme="1"/>
        <rFont val="Calibri"/>
        <family val="2"/>
        <charset val="1"/>
      </rPr>
      <t xml:space="preserve">2026-11-01 </t>
    </r>
    <r>
      <rPr>
        <sz val="11"/>
        <color theme="1"/>
        <rFont val="WenQuanYi Zen Hei"/>
        <family val="2"/>
      </rPr>
      <t xml:space="preserve">운영설계서 </t>
    </r>
    <r>
      <rPr>
        <sz val="11"/>
        <color theme="1"/>
        <rFont val="Calibri"/>
        <family val="2"/>
        <charset val="1"/>
      </rPr>
      <t xml:space="preserve">4-11</t>
    </r>
    <r>
      <rPr>
        <sz val="11"/>
        <color theme="1"/>
        <rFont val="WenQuanYi Zen Hei"/>
        <family val="2"/>
      </rPr>
      <t xml:space="preserve">절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WenQuanYi Zen Hei"/>
        <family val="2"/>
      </rPr>
      <t xml:space="preserve">문항 기준 최종 확정값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을 반영했습니다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값이 다시 바뀌면 아래 노란 칸만 고치면 모든 시트가 자동으로 바뀝니다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시범 기간 중에는 바꾸지 않습니다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운영설계서 </t>
    </r>
    <r>
      <rPr>
        <sz val="11"/>
        <color theme="1"/>
        <rFont val="Calibri"/>
        <family val="2"/>
        <charset val="1"/>
      </rPr>
      <t xml:space="preserve">4-10).</t>
    </r>
  </si>
  <si>
    <r>
      <rPr>
        <b val="true"/>
        <sz val="13"/>
        <rFont val="WenQuanYi Zen Hei"/>
        <family val="2"/>
      </rPr>
      <t xml:space="preserve">기준값 </t>
    </r>
    <r>
      <rPr>
        <b val="true"/>
        <sz val="13"/>
        <rFont val="Cambria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노란 칸만 수정</t>
    </r>
    <r>
      <rPr>
        <b val="true"/>
        <sz val="13"/>
        <rFont val="Cambria"/>
        <family val="0"/>
        <charset val="1"/>
      </rPr>
      <t xml:space="preserve">)</t>
    </r>
  </si>
  <si>
    <t xml:space="preserve">이름표</t>
  </si>
  <si>
    <t xml:space="preserve">설명</t>
  </si>
  <si>
    <t xml:space="preserve">값</t>
  </si>
  <si>
    <t xml:space="preserve">HIGH_CUT</t>
  </si>
  <si>
    <r>
      <rPr>
        <sz val="11"/>
        <color theme="1"/>
        <rFont val="WenQuanYi Zen Hei"/>
        <family val="2"/>
      </rPr>
      <t xml:space="preserve">높은 점수 보정</t>
    </r>
    <r>
      <rPr>
        <sz val="11"/>
        <color theme="1"/>
        <rFont val="Calibri"/>
        <family val="2"/>
        <charset val="1"/>
      </rPr>
      <t xml:space="preserve">(%) — </t>
    </r>
    <r>
      <rPr>
        <sz val="11"/>
        <color theme="1"/>
        <rFont val="WenQuanYi Zen Hei"/>
        <family val="2"/>
      </rPr>
      <t xml:space="preserve">이번 평가 정답률이 이 값 이상이면 기준점수와 상관없이 최고점 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WenQuanYi Zen Hei"/>
        <family val="2"/>
      </rPr>
      <t xml:space="preserve">문항 중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= 87.5%)</t>
    </r>
  </si>
  <si>
    <t xml:space="preserve">STEP1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</si>
  <si>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점 경계</t>
    </r>
    <r>
      <rPr>
        <sz val="11"/>
        <color theme="1"/>
        <rFont val="Calibri"/>
        <family val="2"/>
        <charset val="1"/>
      </rPr>
      <t xml:space="preserve">(%p) — </t>
    </r>
    <r>
      <rPr>
        <sz val="11"/>
        <color theme="1"/>
        <rFont val="WenQuanYi Zen Hei"/>
        <family val="2"/>
      </rPr>
      <t xml:space="preserve">기준점수 대비 변화가 이 값 이상이면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유지</t>
    </r>
    <r>
      <rPr>
        <sz val="11"/>
        <color theme="1"/>
        <rFont val="Calibri"/>
        <family val="2"/>
        <charset val="1"/>
      </rPr>
      <t xml:space="preserve">', </t>
    </r>
    <r>
      <rPr>
        <sz val="11"/>
        <color theme="1"/>
        <rFont val="WenQuanYi Zen Hei"/>
        <family val="2"/>
      </rPr>
      <t xml:space="preserve">미만이면 최저점 </t>
    </r>
    <r>
      <rPr>
        <sz val="11"/>
        <color theme="1"/>
        <rFont val="Calibri"/>
        <family val="2"/>
        <charset val="1"/>
      </rPr>
      <t xml:space="preserve">(−20%p: 2</t>
    </r>
    <r>
      <rPr>
        <sz val="11"/>
        <color theme="1"/>
        <rFont val="WenQuanYi Zen Hei"/>
        <family val="2"/>
      </rPr>
      <t xml:space="preserve">문제 이상 덜 맞히면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)</t>
    </r>
  </si>
  <si>
    <t xml:space="preserve">STEP2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</si>
  <si>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점 경계</t>
    </r>
    <r>
      <rPr>
        <sz val="11"/>
        <color theme="1"/>
        <rFont val="Calibri"/>
        <family val="2"/>
        <charset val="1"/>
      </rPr>
      <t xml:space="preserve">(%p) — </t>
    </r>
    <r>
      <rPr>
        <sz val="11"/>
        <color theme="1"/>
        <rFont val="WenQuanYi Zen Hei"/>
        <family val="2"/>
      </rPr>
      <t xml:space="preserve">기준점수 대비 변화가 이 값 이상이면 최고점 </t>
    </r>
    <r>
      <rPr>
        <sz val="11"/>
        <color theme="1"/>
        <rFont val="Calibri"/>
        <family val="2"/>
        <charset val="1"/>
      </rPr>
      <t xml:space="preserve">(+20%p: 2</t>
    </r>
    <r>
      <rPr>
        <sz val="11"/>
        <color theme="1"/>
        <rFont val="WenQuanYi Zen Hei"/>
        <family val="2"/>
      </rPr>
      <t xml:space="preserve">문제 이상 더 맞히면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)</t>
    </r>
  </si>
  <si>
    <t xml:space="preserve">PTS_LOW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</si>
  <si>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점 경계 미만일 때 향상점수</t>
    </r>
  </si>
  <si>
    <t xml:space="preserve">PTS_MID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</si>
  <si>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유지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구간</t>
    </r>
    <r>
      <rPr>
        <sz val="11"/>
        <color theme="1"/>
        <rFont val="Calibri"/>
        <family val="2"/>
        <charset val="1"/>
      </rPr>
      <t xml:space="preserve">(0</t>
    </r>
    <r>
      <rPr>
        <sz val="11"/>
        <color theme="1"/>
        <rFont val="WenQuanYi Zen Hei"/>
        <family val="2"/>
      </rPr>
      <t xml:space="preserve">점 경계 이상 </t>
    </r>
    <r>
      <rPr>
        <sz val="11"/>
        <color theme="1"/>
        <rFont val="Calibri"/>
        <family val="2"/>
        <charset val="1"/>
      </rPr>
      <t xml:space="preserve">~ 20</t>
    </r>
    <r>
      <rPr>
        <sz val="11"/>
        <color theme="1"/>
        <rFont val="WenQuanYi Zen Hei"/>
        <family val="2"/>
      </rPr>
      <t xml:space="preserve">점 경계 미만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WenQuanYi Zen Hei"/>
        <family val="2"/>
      </rPr>
      <t xml:space="preserve">향상점수</t>
    </r>
  </si>
  <si>
    <t xml:space="preserve">PTS_HIGH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</si>
  <si>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점 경계 이상 또는 높은 점수 보정일 때 향상점수</t>
    </r>
  </si>
  <si>
    <t xml:space="preserve">GOAL1</t>
  </si>
  <si>
    <r>
      <rPr>
        <sz val="11"/>
        <color theme="1"/>
        <rFont val="WenQuanYi Zen Hei"/>
        <family val="2"/>
      </rPr>
      <t xml:space="preserve">팀 점수가 이 값 이상이면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성장 목표 달성</t>
    </r>
    <r>
      <rPr>
        <sz val="11"/>
        <color theme="1"/>
        <rFont val="Calibri"/>
        <family val="2"/>
        <charset val="1"/>
      </rPr>
      <t xml:space="preserve">' (</t>
    </r>
    <r>
      <rPr>
        <sz val="11"/>
        <color theme="1"/>
        <rFont val="WenQuanYi Zen Hei"/>
        <family val="2"/>
      </rPr>
      <t xml:space="preserve">회차 순위는 달성 팀만 표시</t>
    </r>
    <r>
      <rPr>
        <sz val="11"/>
        <color theme="1"/>
        <rFont val="Calibri"/>
        <family val="2"/>
        <charset val="1"/>
      </rPr>
      <t xml:space="preserve">)</t>
    </r>
  </si>
  <si>
    <t xml:space="preserve">GOAL2</t>
  </si>
  <si>
    <r>
      <rPr>
        <sz val="11"/>
        <color theme="1"/>
        <rFont val="WenQuanYi Zen Hei"/>
        <family val="2"/>
      </rPr>
      <t xml:space="preserve">팀 점수가 이 값 이상이면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성장 우수</t>
    </r>
    <r>
      <rPr>
        <sz val="11"/>
        <color theme="1"/>
        <rFont val="Calibri"/>
        <family val="2"/>
        <charset val="1"/>
      </rPr>
      <t xml:space="preserve">'</t>
    </r>
  </si>
  <si>
    <t xml:space="preserve">USE_DIAG_CHECK</t>
  </si>
  <si>
    <r>
      <rPr>
        <sz val="11"/>
        <color theme="1"/>
        <rFont val="WenQuanYi Zen Hei"/>
        <family val="2"/>
      </rPr>
      <t xml:space="preserve">일부러 못 보기 보정 사용</t>
    </r>
    <r>
      <rPr>
        <sz val="11"/>
        <color theme="1"/>
        <rFont val="Calibri"/>
        <family val="2"/>
        <charset val="1"/>
      </rPr>
      <t xml:space="preserve">? (1=</t>
    </r>
    <r>
      <rPr>
        <sz val="11"/>
        <color theme="1"/>
        <rFont val="WenQuanYi Zen Hei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, 0=</t>
    </r>
    <r>
      <rPr>
        <sz val="11"/>
        <color theme="1"/>
        <rFont val="WenQuanYi Zen Hei"/>
        <family val="2"/>
      </rPr>
      <t xml:space="preserve">아니오</t>
    </r>
    <r>
      <rPr>
        <sz val="11"/>
        <color theme="1"/>
        <rFont val="Calibri"/>
        <family val="2"/>
        <charset val="1"/>
      </rPr>
      <t xml:space="preserve">) — </t>
    </r>
    <r>
      <rPr>
        <sz val="11"/>
        <color theme="1"/>
        <rFont val="WenQuanYi Zen Hei"/>
        <family val="2"/>
      </rPr>
      <t xml:space="preserve">진단이 평가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보다 많이 높으면 기준점수를 두 값의 평균으로</t>
    </r>
  </si>
  <si>
    <t xml:space="preserve">DIAG_GAP</t>
  </si>
  <si>
    <r>
      <rPr>
        <sz val="11"/>
        <color theme="1"/>
        <rFont val="WenQuanYi Zen Hei"/>
        <family val="2"/>
      </rPr>
      <t xml:space="preserve">보정 기준</t>
    </r>
    <r>
      <rPr>
        <sz val="11"/>
        <color theme="1"/>
        <rFont val="Calibri"/>
        <family val="2"/>
        <charset val="1"/>
      </rPr>
      <t xml:space="preserve">(%p) — </t>
    </r>
    <r>
      <rPr>
        <sz val="11"/>
        <color theme="1"/>
        <rFont val="WenQuanYi Zen Hei"/>
        <family val="2"/>
      </rPr>
      <t xml:space="preserve">진단 정답률 − 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정답률이 이 값 이상이면 기준점수 </t>
    </r>
    <r>
      <rPr>
        <sz val="11"/>
        <color theme="1"/>
        <rFont val="Calibri"/>
        <family val="2"/>
        <charset val="1"/>
      </rPr>
      <t xml:space="preserve">= (</t>
    </r>
    <r>
      <rPr>
        <sz val="11"/>
        <color theme="1"/>
        <rFont val="WenQuanYi Zen Hei"/>
        <family val="2"/>
      </rPr>
      <t xml:space="preserve">진단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A) ÷ 2</t>
    </r>
  </si>
  <si>
    <t xml:space="preserve">DIAG_ITEMS</t>
  </si>
  <si>
    <r>
      <rPr>
        <sz val="11"/>
        <color theme="1"/>
        <rFont val="WenQuanYi Zen Hei"/>
        <family val="2"/>
      </rPr>
      <t xml:space="preserve">진단 문항 수 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팀 편성 참고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합산 정답률 계산용</t>
    </r>
  </si>
  <si>
    <t xml:space="preserve">EVAL_ITEMS</t>
  </si>
  <si>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문항 수 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팀 편성 참고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합산 정답률 계산용</t>
    </r>
  </si>
  <si>
    <r>
      <rPr>
        <b val="true"/>
        <sz val="13"/>
        <rFont val="WenQuanYi Zen Hei"/>
        <family val="2"/>
      </rPr>
      <t xml:space="preserve">한눈에 보는 규칙 </t>
    </r>
    <r>
      <rPr>
        <b val="true"/>
        <sz val="13"/>
        <rFont val="Cambria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운영설계서 </t>
    </r>
    <r>
      <rPr>
        <b val="true"/>
        <sz val="13"/>
        <rFont val="Cambria"/>
        <family val="0"/>
        <charset val="1"/>
      </rPr>
      <t xml:space="preserve">4-1·4-2·4-7·4-9, </t>
    </r>
    <r>
      <rPr>
        <b val="true"/>
        <sz val="13"/>
        <rFont val="WenQuanYi Zen Hei"/>
        <family val="2"/>
      </rPr>
      <t xml:space="preserve">현재 노란 칸 값 기준</t>
    </r>
    <r>
      <rPr>
        <b val="true"/>
        <sz val="13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</si>
  <si>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1. 1</t>
    </r>
    <r>
      <rPr>
        <sz val="11"/>
        <color theme="1"/>
        <rFont val="WenQuanYi Zen Hei"/>
        <family val="2"/>
      </rPr>
      <t xml:space="preserve">회차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진단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WenQuanYi Zen Hei"/>
        <family val="2"/>
      </rPr>
      <t xml:space="preserve">문항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팀 편성 참고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A(8</t>
    </r>
    <r>
      <rPr>
        <sz val="11"/>
        <color theme="1"/>
        <rFont val="WenQuanYi Zen Hei"/>
        <family val="2"/>
      </rPr>
      <t xml:space="preserve">문항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기준점수</t>
    </r>
    <r>
      <rPr>
        <sz val="11"/>
        <color theme="1"/>
        <rFont val="Calibri"/>
        <family val="2"/>
        <charset val="1"/>
      </rPr>
      <t xml:space="preserve">). 2</t>
    </r>
    <r>
      <rPr>
        <sz val="11"/>
        <color theme="1"/>
        <rFont val="WenQuanYi Zen Hei"/>
        <family val="2"/>
      </rPr>
      <t xml:space="preserve">회차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B, 3</t>
    </r>
    <r>
      <rPr>
        <sz val="11"/>
        <color theme="1"/>
        <rFont val="WenQuanYi Zen Hei"/>
        <family val="2"/>
      </rPr>
      <t xml:space="preserve">회차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C (</t>
    </r>
    <r>
      <rPr>
        <sz val="11"/>
        <color theme="1"/>
        <rFont val="WenQuanYi Zen Hei"/>
        <family val="2"/>
      </rPr>
      <t xml:space="preserve">각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WenQuanYi Zen Hei"/>
        <family val="2"/>
      </rPr>
      <t xml:space="preserve">문항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WenQuanYi Zen Hei"/>
        <family val="2"/>
      </rPr>
      <t xml:space="preserve">문항 </t>
    </r>
    <r>
      <rPr>
        <sz val="11"/>
        <color theme="1"/>
        <rFont val="Calibri"/>
        <family val="2"/>
        <charset val="1"/>
      </rPr>
      <t xml:space="preserve">= 12.5%p). </t>
    </r>
    <r>
      <rPr>
        <sz val="11"/>
        <color theme="1"/>
        <rFont val="WenQuanYi Zen Hei"/>
        <family val="2"/>
      </rPr>
      <t xml:space="preserve">팀 챌린지는 </t>
    </r>
    <r>
      <rPr>
        <sz val="11"/>
        <color theme="1"/>
        <rFont val="Calibri"/>
        <family val="2"/>
        <charset val="1"/>
      </rPr>
      <t xml:space="preserve">2·3</t>
    </r>
    <r>
      <rPr>
        <sz val="11"/>
        <color theme="1"/>
        <rFont val="WenQuanYi Zen Hei"/>
        <family val="2"/>
      </rPr>
      <t xml:space="preserve">회차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</si>
  <si>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WenQuanYi Zen Hei"/>
        <family val="2"/>
      </rPr>
      <t xml:space="preserve">기준점수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정답률 하나로 고정해 평가</t>
    </r>
    <r>
      <rPr>
        <sz val="11"/>
        <color theme="1"/>
        <rFont val="Calibri"/>
        <family val="2"/>
        <charset val="1"/>
      </rPr>
      <t xml:space="preserve">B·C</t>
    </r>
    <r>
      <rPr>
        <sz val="11"/>
        <color theme="1"/>
        <rFont val="WenQuanYi Zen Hei"/>
        <family val="2"/>
      </rPr>
      <t xml:space="preserve">에 똑같이 씁니다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회차마다 바꾸지 않음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</si>
  <si>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WenQuanYi Zen Hei"/>
        <family val="2"/>
      </rPr>
      <t xml:space="preserve">   예외 ① 진단 정답률이 평가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보다 </t>
    </r>
    <r>
      <rPr>
        <sz val="11"/>
        <color theme="1"/>
        <rFont val="Calibri"/>
        <family val="2"/>
        <charset val="1"/>
      </rPr>
      <t xml:space="preserve">25%p </t>
    </r>
    <r>
      <rPr>
        <sz val="11"/>
        <color theme="1"/>
        <rFont val="WenQuanYi Zen Hei"/>
        <family val="2"/>
      </rPr>
      <t xml:space="preserve">이상 높으면 기준점수 </t>
    </r>
    <r>
      <rPr>
        <sz val="11"/>
        <color theme="1"/>
        <rFont val="Calibri"/>
        <family val="2"/>
        <charset val="1"/>
      </rPr>
      <t xml:space="preserve">= (</t>
    </r>
    <r>
      <rPr>
        <sz val="11"/>
        <color theme="1"/>
        <rFont val="WenQuanYi Zen Hei"/>
        <family val="2"/>
      </rPr>
      <t xml:space="preserve">진단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A) ÷ 2  (</t>
    </r>
    <r>
      <rPr>
        <sz val="11"/>
        <color theme="1"/>
        <rFont val="WenQuanYi Zen Hei"/>
        <family val="2"/>
      </rPr>
      <t xml:space="preserve">일부러 못 보기 보정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</si>
  <si>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   예외 ② 평가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가 없고 진단만 있으면 진단 정답률</t>
    </r>
  </si>
  <si>
    <r>
      <rPr>
        <sz val="11"/>
        <color theme="1"/>
        <rFont val="WenQuanYi Zen Hei"/>
        <family val="2"/>
      </rPr>
      <t xml:space="preserve">   예외 ③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회차 결석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진단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모두 없음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WenQuanYi Zen Hei"/>
        <family val="2"/>
      </rPr>
      <t xml:space="preserve">코드 분실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새 참가자 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회차 응시자 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평균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</si>
  <si>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WenQuanYi Zen Hei"/>
        <family val="2"/>
      </rPr>
      <t xml:space="preserve">향상점수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위에서부터 먼저 맞는 것 하나</t>
    </r>
    <r>
      <rPr>
        <sz val="11"/>
        <color theme="1"/>
        <rFont val="Calibri"/>
        <family val="2"/>
        <charset val="1"/>
      </rPr>
      <t xml:space="preserve">): </t>
    </r>
    <r>
      <rPr>
        <sz val="11"/>
        <color theme="1"/>
        <rFont val="WenQuanYi Zen Hei"/>
        <family val="2"/>
      </rPr>
      <t xml:space="preserve">이번 정답률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WenQuanYi Zen Hei"/>
        <family val="2"/>
      </rPr>
      <t xml:space="preserve">이상</t>
    </r>
    <r>
      <rPr>
        <sz val="11"/>
        <color theme="1"/>
        <rFont val="Calibri"/>
        <family val="2"/>
        <charset val="1"/>
      </rPr>
      <t xml:space="preserve">(8</t>
    </r>
    <r>
      <rPr>
        <sz val="11"/>
        <color theme="1"/>
        <rFont val="WenQuanYi Zen Hei"/>
        <family val="2"/>
      </rPr>
      <t xml:space="preserve">개 중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개</t>
    </r>
    <r>
      <rPr>
        <sz val="11"/>
        <color theme="1"/>
        <rFont val="Calibri"/>
        <family val="2"/>
        <charset val="1"/>
      </rPr>
      <t xml:space="preserve">) → 20</t>
    </r>
    <r>
      <rPr>
        <sz val="11"/>
        <color theme="1"/>
        <rFont val="WenQuanYi Zen Hei"/>
        <family val="2"/>
      </rPr>
      <t xml:space="preserve">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기준 </t>
    </r>
    <r>
      <rPr>
        <sz val="11"/>
        <color theme="1"/>
        <rFont val="Calibri"/>
        <family val="2"/>
        <charset val="1"/>
      </rPr>
      <t xml:space="preserve">+20%p </t>
    </r>
    <r>
      <rPr>
        <sz val="11"/>
        <color theme="1"/>
        <rFont val="WenQuanYi Zen Hei"/>
        <family val="2"/>
      </rPr>
      <t xml:space="preserve">이상 →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WenQuanYi Zen Hei"/>
        <family val="2"/>
      </rPr>
      <t xml:space="preserve">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기준 −</t>
    </r>
    <r>
      <rPr>
        <sz val="11"/>
        <color theme="1"/>
        <rFont val="Calibri"/>
        <family val="2"/>
        <charset val="1"/>
      </rPr>
      <t xml:space="preserve">20%p </t>
    </r>
    <r>
      <rPr>
        <sz val="11"/>
        <color theme="1"/>
        <rFont val="WenQuanYi Zen Hei"/>
        <family val="2"/>
      </rPr>
      <t xml:space="preserve">이상 →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유지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WenQuanYi Zen Hei"/>
        <family val="2"/>
      </rPr>
      <t xml:space="preserve">그보다 낮음 →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점</t>
    </r>
  </si>
  <si>
    <r>
      <rPr>
        <sz val="11"/>
        <color theme="1"/>
        <rFont val="WenQuanYi Zen Hei"/>
        <family val="2"/>
      </rPr>
      <t xml:space="preserve">   한 문제 차이</t>
    </r>
    <r>
      <rPr>
        <sz val="11"/>
        <color theme="1"/>
        <rFont val="Calibri"/>
        <family val="2"/>
        <charset val="1"/>
      </rPr>
      <t xml:space="preserve">(±12.5%p)</t>
    </r>
    <r>
      <rPr>
        <sz val="11"/>
        <color theme="1"/>
        <rFont val="WenQuanYi Zen Hei"/>
        <family val="2"/>
      </rPr>
      <t xml:space="preserve">는 위아래 모두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유지</t>
    </r>
    <r>
      <rPr>
        <sz val="11"/>
        <color theme="1"/>
        <rFont val="Calibri"/>
        <family val="2"/>
        <charset val="1"/>
      </rPr>
      <t xml:space="preserve">' 10</t>
    </r>
    <r>
      <rPr>
        <sz val="11"/>
        <color theme="1"/>
        <rFont val="WenQuanYi Zen Hei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두 문제부터 바뀝니다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정확히 −</t>
    </r>
    <r>
      <rPr>
        <sz val="11"/>
        <color theme="1"/>
        <rFont val="Calibri"/>
        <family val="2"/>
        <charset val="1"/>
      </rPr>
      <t xml:space="preserve">20%p</t>
    </r>
    <r>
      <rPr>
        <sz val="11"/>
        <color theme="1"/>
        <rFont val="WenQuanYi Zen Hei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유지</t>
    </r>
    <r>
      <rPr>
        <sz val="11"/>
        <color theme="1"/>
        <rFont val="Calibri"/>
        <family val="2"/>
        <charset val="1"/>
      </rPr>
      <t xml:space="preserve">'(10</t>
    </r>
    <r>
      <rPr>
        <sz val="11"/>
        <color theme="1"/>
        <rFont val="WenQuanYi Zen Hei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입니다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</si>
  <si>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WenQuanYi Zen Hei"/>
        <family val="2"/>
      </rPr>
      <t xml:space="preserve">팀 점수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그 회차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응시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한 팀원의 향상점수 평균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소수 첫째 자리 반올림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결석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비경쟁 응시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명단에 없는 코드는 평균에서 빠집니다</t>
    </r>
    <r>
      <rPr>
        <sz val="11"/>
        <color theme="1"/>
        <rFont val="Calibri"/>
        <family val="2"/>
        <charset val="1"/>
      </rPr>
      <t xml:space="preserve">. 0</t>
    </r>
    <r>
      <rPr>
        <sz val="11"/>
        <color theme="1"/>
        <rFont val="WenQuanYi Zen Hei"/>
        <family val="2"/>
      </rPr>
      <t xml:space="preserve">명이면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기록 없음</t>
    </r>
    <r>
      <rPr>
        <sz val="11"/>
        <color theme="1"/>
        <rFont val="Calibri"/>
        <family val="2"/>
        <charset val="1"/>
      </rPr>
      <t xml:space="preserve">'.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</si>
  <si>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WenQuanYi Zen Hei"/>
        <family val="2"/>
      </rPr>
      <t xml:space="preserve">팀 점수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WenQuanYi Zen Hei"/>
        <family val="2"/>
      </rPr>
      <t xml:space="preserve">점 이상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성장 목표 달성</t>
    </r>
    <r>
      <rPr>
        <sz val="11"/>
        <color theme="1"/>
        <rFont val="Calibri"/>
        <family val="2"/>
        <charset val="1"/>
      </rPr>
      <t xml:space="preserve">', 15</t>
    </r>
    <r>
      <rPr>
        <sz val="11"/>
        <color theme="1"/>
        <rFont val="WenQuanYi Zen Hei"/>
        <family val="2"/>
      </rPr>
      <t xml:space="preserve">점 이상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성장 우수</t>
    </r>
    <r>
      <rPr>
        <sz val="11"/>
        <color theme="1"/>
        <rFont val="Calibri"/>
        <family val="2"/>
        <charset val="1"/>
      </rPr>
      <t xml:space="preserve">'. </t>
    </r>
    <r>
      <rPr>
        <sz val="11"/>
        <color theme="1"/>
        <rFont val="WenQuanYi Zen Hei"/>
        <family val="2"/>
      </rPr>
      <t xml:space="preserve">회차 순위는 목표 달성 팀만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같은 점수는 같은 순위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종합 순위는 기록 있는 회차 평균으로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위까지만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</si>
  <si>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WenQuanYi Zen Hei"/>
        <family val="2"/>
      </rPr>
      <t xml:space="preserve">챌린지 완주 </t>
    </r>
    <r>
      <rPr>
        <sz val="11"/>
        <color theme="1"/>
        <rFont val="Calibri"/>
        <family val="2"/>
        <charset val="1"/>
      </rPr>
      <t xml:space="preserve">= 2·3</t>
    </r>
    <r>
      <rPr>
        <sz val="11"/>
        <color theme="1"/>
        <rFont val="WenQuanYi Zen Hei"/>
        <family val="2"/>
      </rPr>
      <t xml:space="preserve">회차 모두 성장 목표 달성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한 회차가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기록 없음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이면 남은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회만으로 판정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</si>
  <si>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WenQuanYi Zen Hei"/>
        <family val="2"/>
      </rPr>
      <t xml:space="preserve">정답률은 소수 첫째 자리에서 반올림해 저장하고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이후 계산은 그 값으로 합니다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7/12 = 58.3%).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</si>
  <si>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WenQuanYi Zen Hei"/>
        <family val="2"/>
      </rPr>
      <t xml:space="preserve">팀 편성 참고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시트 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WenQuanYi Zen Hei"/>
        <family val="2"/>
      </rPr>
      <t xml:space="preserve">열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진단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20</t>
    </r>
    <r>
      <rPr>
        <sz val="11"/>
        <color theme="1"/>
        <rFont val="WenQuanYi Zen Hei"/>
        <family val="2"/>
      </rPr>
      <t xml:space="preserve">문항 합산 정답률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운영설계서 </t>
    </r>
    <r>
      <rPr>
        <sz val="11"/>
        <color theme="1"/>
        <rFont val="Calibri"/>
        <family val="2"/>
        <charset val="1"/>
      </rPr>
      <t xml:space="preserve">4-11 ⓖ). </t>
    </r>
    <r>
      <rPr>
        <sz val="11"/>
        <color theme="1"/>
        <rFont val="WenQuanYi Zen Hei"/>
        <family val="2"/>
      </rPr>
      <t xml:space="preserve">높은 순으로 줄 세워 지그재그로 팀을 짭니다</t>
    </r>
    <r>
      <rPr>
        <sz val="11"/>
        <color theme="1"/>
        <rFont val="Calibri"/>
        <family val="2"/>
        <charset val="1"/>
      </rPr>
      <t xml:space="preserve">.</t>
    </r>
  </si>
  <si>
    <t xml:space="preserve">사용 순서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</si>
  <si>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단계 —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참가자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시트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노란 칸에 참가자 코드와 팀을 적습니다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실명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학번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연락처는 절대 적지 마세요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</si>
  <si>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단계 — 각 평가 시트의 오른쪽 노란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붙여넣기 영역</t>
    </r>
    <r>
      <rPr>
        <sz val="11"/>
        <color theme="1"/>
        <rFont val="Calibri"/>
        <family val="2"/>
        <charset val="1"/>
      </rPr>
      <t xml:space="preserve">'(L~O</t>
    </r>
    <r>
      <rPr>
        <sz val="11"/>
        <color theme="1"/>
        <rFont val="WenQuanYi Zen Hei"/>
        <family val="2"/>
      </rPr>
      <t xml:space="preserve">열</t>
    </r>
    <r>
      <rPr>
        <sz val="11"/>
        <color theme="1"/>
        <rFont val="Calibri"/>
        <family val="2"/>
        <charset val="1"/>
      </rPr>
      <t xml:space="preserve">, 3</t>
    </r>
    <r>
      <rPr>
        <sz val="11"/>
        <color theme="1"/>
        <rFont val="WenQuanYi Zen Hei"/>
        <family val="2"/>
      </rPr>
      <t xml:space="preserve">행부터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에 결과를 붙여넣습니다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왼쪽 초록 칸과 회색 칸은 자동 계산이니 손대지 마세요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</si>
  <si>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 1</t>
    </r>
    <r>
      <rPr>
        <sz val="11"/>
        <color theme="1"/>
        <rFont val="WenQuanYi Zen Hei"/>
        <family val="2"/>
      </rPr>
      <t xml:space="preserve">회차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진단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문항 →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진단</t>
    </r>
    <r>
      <rPr>
        <sz val="11"/>
        <color theme="1"/>
        <rFont val="Calibri"/>
        <family val="2"/>
        <charset val="1"/>
      </rPr>
      <t xml:space="preserve">],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8</t>
    </r>
    <r>
      <rPr>
        <sz val="11"/>
        <color theme="1"/>
        <rFont val="WenQuanYi Zen Hei"/>
        <family val="2"/>
      </rPr>
      <t xml:space="preserve">문항 →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A]. 2</t>
    </r>
    <r>
      <rPr>
        <sz val="11"/>
        <color theme="1"/>
        <rFont val="WenQuanYi Zen Hei"/>
        <family val="2"/>
      </rPr>
      <t xml:space="preserve">회차 →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B], 3</t>
    </r>
    <r>
      <rPr>
        <sz val="11"/>
        <color theme="1"/>
        <rFont val="WenQuanYi Zen Hei"/>
        <family val="2"/>
      </rPr>
      <t xml:space="preserve">회차 →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C]. (1</t>
    </r>
    <r>
      <rPr>
        <sz val="11"/>
        <color theme="1"/>
        <rFont val="WenQuanYi Zen Hei"/>
        <family val="2"/>
      </rPr>
      <t xml:space="preserve">회차 연습 문항 결과는 넣지 않습니다</t>
    </r>
    <r>
      <rPr>
        <sz val="11"/>
        <color theme="1"/>
        <rFont val="Calibri"/>
        <family val="2"/>
        <charset val="1"/>
      </rPr>
      <t xml:space="preserve">.)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</si>
  <si>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단계 —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WenQuanYi Zen Hei"/>
        <family val="2"/>
      </rPr>
      <t xml:space="preserve">팀 점수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WenQuanYi Zen Hei"/>
        <family val="2"/>
      </rPr>
      <t xml:space="preserve">시트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팀 이름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노란 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을 확인하고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반 전체 요약에 그날 출석 인원을 적습니다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화면에는 왼쪽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공개용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표와 반 전체 요약만 띄웁니다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오른쪽 분홍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교수용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반영 인원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은 띄우지 마세요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</si>
  <si>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붙여넣기 방법 </t>
    </r>
    <r>
      <rPr>
        <b val="true"/>
        <sz val="13"/>
        <rFont val="Cambria"/>
        <family val="0"/>
        <charset val="1"/>
      </rPr>
      <t xml:space="preserve">(Socrative </t>
    </r>
    <r>
      <rPr>
        <b val="true"/>
        <sz val="13"/>
        <rFont val="WenQuanYi Zen Hei"/>
        <family val="2"/>
      </rPr>
      <t xml:space="preserve">또는 우리 웹앱 </t>
    </r>
    <r>
      <rPr>
        <b val="true"/>
        <sz val="13"/>
        <rFont val="Cambria"/>
        <family val="0"/>
        <charset val="1"/>
      </rPr>
      <t xml:space="preserve">CSV)</t>
    </r>
  </si>
  <si>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열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참가자 코드 </t>
    </r>
    <r>
      <rPr>
        <sz val="11"/>
        <color theme="1"/>
        <rFont val="Calibri"/>
        <family val="2"/>
        <charset val="1"/>
      </rPr>
      <t xml:space="preserve">/ M</t>
    </r>
    <r>
      <rPr>
        <sz val="11"/>
        <color theme="1"/>
        <rFont val="WenQuanYi Zen Hei"/>
        <family val="2"/>
      </rPr>
      <t xml:space="preserve">열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맞힌 문항 수 </t>
    </r>
    <r>
      <rPr>
        <sz val="11"/>
        <color theme="1"/>
        <rFont val="Calibri"/>
        <family val="2"/>
        <charset val="1"/>
      </rPr>
      <t xml:space="preserve">/ N</t>
    </r>
    <r>
      <rPr>
        <sz val="11"/>
        <color theme="1"/>
        <rFont val="WenQuanYi Zen Hei"/>
        <family val="2"/>
      </rPr>
      <t xml:space="preserve">열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전체 문항 수 </t>
    </r>
    <r>
      <rPr>
        <sz val="11"/>
        <color theme="1"/>
        <rFont val="Calibri"/>
        <family val="2"/>
        <charset val="1"/>
      </rPr>
      <t xml:space="preserve">/ O</t>
    </r>
    <r>
      <rPr>
        <sz val="11"/>
        <color theme="1"/>
        <rFont val="WenQuanYi Zen Hei"/>
        <family val="2"/>
      </rPr>
      <t xml:space="preserve">열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정답률</t>
    </r>
    <r>
      <rPr>
        <sz val="11"/>
        <color theme="1"/>
        <rFont val="Calibri"/>
        <family val="2"/>
        <charset val="1"/>
      </rPr>
      <t xml:space="preserve">(%) — M·N</t>
    </r>
    <r>
      <rPr>
        <sz val="11"/>
        <color theme="1"/>
        <rFont val="WenQuanYi Zen Hei"/>
        <family val="2"/>
      </rPr>
      <t xml:space="preserve">이 있으면 </t>
    </r>
    <r>
      <rPr>
        <sz val="11"/>
        <color theme="1"/>
        <rFont val="Calibri"/>
        <family val="2"/>
        <charset val="1"/>
      </rPr>
      <t xml:space="preserve">O</t>
    </r>
    <r>
      <rPr>
        <sz val="11"/>
        <color theme="1"/>
        <rFont val="WenQuanYi Zen Hei"/>
        <family val="2"/>
      </rPr>
      <t xml:space="preserve">는 비워 두고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정답률</t>
    </r>
    <r>
      <rPr>
        <sz val="11"/>
        <color theme="1"/>
        <rFont val="Calibri"/>
        <family val="2"/>
        <charset val="1"/>
      </rPr>
      <t xml:space="preserve">(%)</t>
    </r>
    <r>
      <rPr>
        <sz val="11"/>
        <color theme="1"/>
        <rFont val="WenQuanYi Zen Hei"/>
        <family val="2"/>
      </rPr>
      <t xml:space="preserve">만 있으면 </t>
    </r>
    <r>
      <rPr>
        <sz val="11"/>
        <color theme="1"/>
        <rFont val="Calibri"/>
        <family val="2"/>
        <charset val="1"/>
      </rPr>
      <t xml:space="preserve">M·N</t>
    </r>
    <r>
      <rPr>
        <sz val="11"/>
        <color theme="1"/>
        <rFont val="WenQuanYi Zen Hei"/>
        <family val="2"/>
      </rPr>
      <t xml:space="preserve">을 비우고 </t>
    </r>
    <r>
      <rPr>
        <sz val="11"/>
        <color theme="1"/>
        <rFont val="Calibri"/>
        <family val="2"/>
        <charset val="1"/>
      </rPr>
      <t xml:space="preserve">O</t>
    </r>
    <r>
      <rPr>
        <sz val="11"/>
        <color theme="1"/>
        <rFont val="WenQuanYi Zen Hei"/>
        <family val="2"/>
      </rPr>
      <t xml:space="preserve">에만 붙여넣습니다</t>
    </r>
    <r>
      <rPr>
        <sz val="11"/>
        <color theme="1"/>
        <rFont val="Calibri"/>
        <family val="2"/>
        <charset val="1"/>
      </rPr>
      <t xml:space="preserve">. (O</t>
    </r>
    <r>
      <rPr>
        <sz val="11"/>
        <color theme="1"/>
        <rFont val="WenQuanYi Zen Hei"/>
        <family val="2"/>
      </rPr>
      <t xml:space="preserve">에 값이 있으면 </t>
    </r>
    <r>
      <rPr>
        <sz val="11"/>
        <color theme="1"/>
        <rFont val="Calibri"/>
        <family val="2"/>
        <charset val="1"/>
      </rPr>
      <t xml:space="preserve">O</t>
    </r>
    <r>
      <rPr>
        <sz val="11"/>
        <color theme="1"/>
        <rFont val="WenQuanYi Zen Hei"/>
        <family val="2"/>
      </rPr>
      <t xml:space="preserve">를 우선 사용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</si>
  <si>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Socrative: </t>
    </r>
    <r>
      <rPr>
        <sz val="11"/>
        <color theme="1"/>
        <rFont val="WenQuanYi Zen Hei"/>
        <family val="2"/>
      </rPr>
      <t xml:space="preserve">학생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이름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칸에 참가자 코드를 입력하게 안내 → 끝난 뒤 보고서를 받아 이름 열과 점수 열만 복사해 붙여넣기</t>
    </r>
    <r>
      <rPr>
        <sz val="11"/>
        <color theme="1"/>
        <rFont val="Calibri"/>
        <family val="2"/>
        <charset val="1"/>
      </rPr>
      <t xml:space="preserve">. (Socrative </t>
    </r>
    <r>
      <rPr>
        <sz val="11"/>
        <color theme="1"/>
        <rFont val="WenQuanYi Zen Hei"/>
        <family val="2"/>
      </rPr>
      <t xml:space="preserve">무료 요금제의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WenQuanYi Zen Hei"/>
        <family val="2"/>
      </rPr>
      <t xml:space="preserve">내보내기 가능 여부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열 이름은 미확인 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주차에 확인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</si>
  <si>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WenQuanYi Zen Hei"/>
        <family val="2"/>
      </rPr>
      <t xml:space="preserve">우리 웹앱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트랙 </t>
    </r>
    <r>
      <rPr>
        <sz val="11"/>
        <color theme="1"/>
        <rFont val="Calibri"/>
        <family val="2"/>
        <charset val="1"/>
      </rPr>
      <t xml:space="preserve">B): </t>
    </r>
    <r>
      <rPr>
        <sz val="11"/>
        <color theme="1"/>
        <rFont val="WenQuanYi Zen Hei"/>
        <family val="2"/>
      </rPr>
      <t xml:space="preserve">내보내기 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WenQuanYi Zen Hei"/>
        <family val="2"/>
      </rPr>
      <t xml:space="preserve">열 순서를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참가자코드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맞힌 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문항 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로 맞추면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열에 그대로 붙여넣을 수 있습니다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</si>
  <si>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CSV</t>
    </r>
    <r>
      <rPr>
        <sz val="11"/>
        <color theme="1"/>
        <rFont val="WenQuanYi Zen Hei"/>
        <family val="2"/>
      </rPr>
      <t xml:space="preserve">는 엑셀로 연 뒤 제목 줄을 빼고 데이터만 복사 → </t>
    </r>
    <r>
      <rPr>
        <sz val="11"/>
        <color theme="1"/>
        <rFont val="Calibri"/>
        <family val="2"/>
        <charset val="1"/>
      </rPr>
      <t xml:space="preserve">L3 </t>
    </r>
    <r>
      <rPr>
        <sz val="11"/>
        <color theme="1"/>
        <rFont val="WenQuanYi Zen Hei"/>
        <family val="2"/>
      </rPr>
      <t xml:space="preserve">칸 선택 →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값만 붙여넣기</t>
    </r>
    <r>
      <rPr>
        <sz val="11"/>
        <color theme="1"/>
        <rFont val="Calibri"/>
        <family val="2"/>
        <charset val="1"/>
      </rPr>
      <t xml:space="preserve">'. </t>
    </r>
    <r>
      <rPr>
        <sz val="11"/>
        <color theme="1"/>
        <rFont val="WenQuanYi Zen Hei"/>
        <family val="2"/>
      </rPr>
      <t xml:space="preserve">코드 앞뒤 빈칸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대소문자는 자동으로 정리됩니다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</si>
  <si>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붙여넣은 표에 실명이나 학번 열이 섞여 있으면 붙여넣기 전에 그 열을 지우세요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</si>
  <si>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비경쟁 참여 </t>
    </r>
    <r>
      <rPr>
        <b val="true"/>
        <sz val="13"/>
        <rFont val="Cambria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운영설계서 </t>
    </r>
    <r>
      <rPr>
        <b val="true"/>
        <sz val="13"/>
        <rFont val="Cambria"/>
        <family val="0"/>
        <charset val="1"/>
      </rPr>
      <t xml:space="preserve">4-8, 3-2)</t>
    </r>
  </si>
  <si>
    <r>
      <rPr>
        <sz val="11"/>
        <color theme="1"/>
        <rFont val="WenQuanYi Zen Hei"/>
        <family val="2"/>
      </rPr>
      <t xml:space="preserve">이름 칸에 코드 뒤 </t>
    </r>
    <r>
      <rPr>
        <sz val="11"/>
        <color theme="1"/>
        <rFont val="Calibri"/>
        <family val="2"/>
        <charset val="1"/>
      </rPr>
      <t xml:space="preserve">'-N'</t>
    </r>
    <r>
      <rPr>
        <sz val="11"/>
        <color theme="1"/>
        <rFont val="WenQuanYi Zen Hei"/>
        <family val="2"/>
      </rPr>
      <t xml:space="preserve">을 붙인 응시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K7M2-N)</t>
    </r>
    <r>
      <rPr>
        <sz val="11"/>
        <color theme="1"/>
        <rFont val="WenQuanYi Zen Hei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비경쟁 응시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로 자동 처리됩니다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정답률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향상점수는 계산하지만 팀 평균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팀 순위에는 넣지 않습니다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회차마다 바뀔 수 있습니다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</si>
  <si>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점검 시작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분 뒤에 도착한 사람도 비경쟁 응시입니다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붙여넣은 뒤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WenQuanYi Zen Hei"/>
        <family val="2"/>
      </rPr>
      <t xml:space="preserve">열 그 코드 뒤에 </t>
    </r>
    <r>
      <rPr>
        <sz val="11"/>
        <color theme="1"/>
        <rFont val="Calibri"/>
        <family val="2"/>
        <charset val="1"/>
      </rPr>
      <t xml:space="preserve">'-N'</t>
    </r>
    <r>
      <rPr>
        <sz val="11"/>
        <color theme="1"/>
        <rFont val="WenQuanYi Zen Hei"/>
        <family val="2"/>
      </rPr>
      <t xml:space="preserve">을 직접 붙여 주세요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</si>
  <si>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명단에 없는 코드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오타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는 계산에 들어가지 않습니다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WenQuanYi Zen Hei"/>
        <family val="2"/>
      </rPr>
      <t xml:space="preserve">명단에 없는 코드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WenQuanYi Zen Hei"/>
        <family val="2"/>
      </rPr>
      <t xml:space="preserve">표시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운영설계서대로 그 회차는 비경쟁 응시로 보고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다음 회차 시작 때 코드 확인을 안내합니다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</si>
  <si>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팀 출석이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명뿐인 회차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다른 팀에 임시 합류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는 자동 처리가 없습니다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그 회차 시트만 따로 손보지 말고 교수님 판단으로 메모해 두세요</t>
    </r>
    <r>
      <rPr>
        <sz val="11"/>
        <color theme="1"/>
        <rFont val="Calibri"/>
        <family val="2"/>
        <charset val="1"/>
      </rPr>
      <t xml:space="preserve">.</t>
    </r>
  </si>
  <si>
    <t xml:space="preserve">자동 점검 표시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</si>
  <si>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중복</t>
    </r>
    <r>
      <rPr>
        <sz val="11"/>
        <color theme="1"/>
        <rFont val="Calibri"/>
        <family val="2"/>
        <charset val="1"/>
      </rPr>
      <t xml:space="preserve">! </t>
    </r>
    <r>
      <rPr>
        <sz val="11"/>
        <color theme="1"/>
        <rFont val="WenQuanYi Zen Hei"/>
        <family val="2"/>
      </rPr>
      <t xml:space="preserve">확인</t>
    </r>
    <r>
      <rPr>
        <sz val="11"/>
        <color theme="1"/>
        <rFont val="Calibri"/>
        <family val="2"/>
        <charset val="1"/>
      </rPr>
      <t xml:space="preserve">' = </t>
    </r>
    <r>
      <rPr>
        <sz val="11"/>
        <color theme="1"/>
        <rFont val="WenQuanYi Zen Hei"/>
        <family val="2"/>
      </rPr>
      <t xml:space="preserve">같은 코드가 두 번 붙여넣어짐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먼저 나온 줄이 계산에 쓰임 — 먼저 끝까지 제출한 것이 위에 오게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WenQuanYi Zen Hei"/>
        <family val="2"/>
      </rPr>
      <t xml:space="preserve">반 전체 요약의 중복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명단 외 코드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출석했는데 기록 없음이 모두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건이어야 합격 기준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누락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중복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WenQuanYi Zen Hei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을 만족합니다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</si>
  <si>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시트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WenQuanYi Zen Hei"/>
        <family val="2"/>
      </rPr>
      <t xml:space="preserve">기준 출처</t>
    </r>
    <r>
      <rPr>
        <sz val="11"/>
        <color theme="1"/>
        <rFont val="Calibri"/>
        <family val="2"/>
        <charset val="1"/>
      </rPr>
      <t xml:space="preserve">': 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A / </t>
    </r>
    <r>
      <rPr>
        <sz val="11"/>
        <color theme="1"/>
        <rFont val="WenQuanYi Zen Hei"/>
        <family val="2"/>
      </rPr>
      <t xml:space="preserve">진단 보정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진단 대체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WenQuanYi Zen Hei"/>
        <family val="2"/>
      </rPr>
      <t xml:space="preserve">응시자 평균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각 인원은 반 전체 요약 아래에 숫자로만 나옵니다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누구인지는 보고하지 않음</t>
    </r>
    <r>
      <rPr>
        <sz val="11"/>
        <color theme="1"/>
        <rFont val="Calibri"/>
        <family val="2"/>
        <charset val="1"/>
      </rPr>
      <t xml:space="preserve">).</t>
    </r>
  </si>
  <si>
    <r>
      <rPr>
        <b val="true"/>
        <sz val="13"/>
        <rFont val="WenQuanYi Zen Hei"/>
        <family val="2"/>
      </rPr>
      <t xml:space="preserve">개인정보</t>
    </r>
    <r>
      <rPr>
        <b val="true"/>
        <sz val="13"/>
        <rFont val="Cambria"/>
        <family val="0"/>
        <charset val="1"/>
      </rPr>
      <t xml:space="preserve">·</t>
    </r>
    <r>
      <rPr>
        <b val="true"/>
        <sz val="13"/>
        <rFont val="WenQuanYi Zen Hei"/>
        <family val="2"/>
      </rPr>
      <t xml:space="preserve">공개 원칙</t>
    </r>
  </si>
  <si>
    <r>
      <rPr>
        <sz val="11"/>
        <color theme="1"/>
        <rFont val="WenQuanYi Zen Hei"/>
        <family val="2"/>
      </rPr>
      <t xml:space="preserve">개인별 정답률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향상점수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진단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평가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WenQuanYi Zen Hei"/>
        <family val="2"/>
      </rPr>
      <t xml:space="preserve">시트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WenQuanYi Zen Hei"/>
        <family val="2"/>
      </rPr>
      <t xml:space="preserve">는 교수님만 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팀 순위는 활동이 끝난 뒤에만 공개하고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팀 평균을 몇 명으로 나눴는지는 보여 주지 않습니다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비경쟁 신청자를 짐작하지 못하게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</si>
  <si>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WenQuanYi Zen Hei"/>
        <family val="2"/>
      </rPr>
      <t xml:space="preserve">이 파일에 들어 있는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WenQuanYi Zen Hei"/>
        <family val="2"/>
      </rPr>
      <t xml:space="preserve">명의 데이터는 모두 가짜 예시입니다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실제 사용 전 참가자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붙여넣기 영역의 예시 값을 지우세요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WenQuanYi Zen Hei"/>
        <family val="2"/>
      </rPr>
      <t xml:space="preserve">학기 종료 후 파일을 삭제합니다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</si>
</sst>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WenQuanYi Zen Hei"/>
      <family val="2"/>
    </font>
    <font>
      <b val="true"/>
      <sz val="11"/>
      <color rgb="FFC00000"/>
      <name val="Cambria"/>
      <family val="0"/>
      <charset val="1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theme="1"/>
      <name val="WenQuanYi Zen Hei"/>
      <family val="2"/>
    </font>
    <font>
      <b val="true"/>
      <sz val="13"/>
      <name val="WenQuanYi Zen Hei"/>
      <family val="2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  <c r="C3" s="3"/>
    </row>
    <row r="4" customFormat="false" ht="15" hidden="false" customHeight="false" outlineLevel="0" collapsed="false">
      <c r="A4" s="3" t="s">
        <v>6</v>
      </c>
      <c r="B4" s="3" t="s">
        <v>5</v>
      </c>
      <c r="C4" s="3"/>
    </row>
    <row r="5" customFormat="false" ht="15" hidden="false" customHeight="false" outlineLevel="0" collapsed="false">
      <c r="A5" s="3" t="s">
        <v>7</v>
      </c>
      <c r="B5" s="3" t="s">
        <v>5</v>
      </c>
      <c r="C5" s="3"/>
    </row>
    <row r="6" customFormat="false" ht="15" hidden="false" customHeight="false" outlineLevel="0" collapsed="false">
      <c r="A6" s="3" t="s">
        <v>8</v>
      </c>
      <c r="B6" s="3" t="s">
        <v>9</v>
      </c>
      <c r="C6" s="3"/>
    </row>
    <row r="7" customFormat="false" ht="15" hidden="false" customHeight="false" outlineLevel="0" collapsed="false">
      <c r="A7" s="3" t="s">
        <v>10</v>
      </c>
      <c r="B7" s="3" t="s">
        <v>9</v>
      </c>
      <c r="C7" s="3"/>
    </row>
    <row r="8" customFormat="false" ht="15" hidden="false" customHeight="false" outlineLevel="0" collapsed="false">
      <c r="A8" s="3" t="s">
        <v>11</v>
      </c>
      <c r="B8" s="3" t="s">
        <v>9</v>
      </c>
      <c r="C8" s="3"/>
    </row>
    <row r="9" customFormat="false" ht="15" hidden="false" customHeight="false" outlineLevel="0" collapsed="false">
      <c r="A9" s="3" t="s">
        <v>12</v>
      </c>
      <c r="B9" s="3" t="s">
        <v>13</v>
      </c>
      <c r="C9" s="3"/>
    </row>
    <row r="10" customFormat="false" ht="15" hidden="false" customHeight="false" outlineLevel="0" collapsed="false">
      <c r="A10" s="3" t="s">
        <v>14</v>
      </c>
      <c r="B10" s="3" t="s">
        <v>13</v>
      </c>
      <c r="C10" s="3"/>
    </row>
    <row r="11" customFormat="false" ht="15" hidden="false" customHeight="false" outlineLevel="0" collapsed="false">
      <c r="A11" s="3" t="s">
        <v>15</v>
      </c>
      <c r="B11" s="3" t="s">
        <v>13</v>
      </c>
      <c r="C11" s="3"/>
    </row>
    <row r="12" customFormat="false" ht="15" hidden="false" customHeight="false" outlineLevel="0" collapsed="false">
      <c r="A12" s="3" t="s">
        <v>16</v>
      </c>
      <c r="B12" s="3" t="s">
        <v>17</v>
      </c>
      <c r="C12" s="3"/>
    </row>
    <row r="13" customFormat="false" ht="15" hidden="false" customHeight="false" outlineLevel="0" collapsed="false">
      <c r="A13" s="3" t="s">
        <v>18</v>
      </c>
      <c r="B13" s="3" t="s">
        <v>17</v>
      </c>
      <c r="C13" s="3"/>
    </row>
    <row r="14" customFormat="false" ht="15" hidden="false" customHeight="false" outlineLevel="0" collapsed="false">
      <c r="A14" s="3" t="s">
        <v>19</v>
      </c>
      <c r="B14" s="3" t="s">
        <v>17</v>
      </c>
      <c r="C14" s="3"/>
    </row>
    <row r="15" customFormat="false" ht="15" hidden="false" customHeight="false" outlineLevel="0" collapsed="false">
      <c r="A15" s="3"/>
      <c r="B15" s="3"/>
      <c r="C15" s="3"/>
    </row>
    <row r="16" customFormat="false" ht="15" hidden="false" customHeight="false" outlineLevel="0" collapsed="false">
      <c r="A16" s="3"/>
      <c r="B16" s="3"/>
      <c r="C16" s="3"/>
    </row>
    <row r="17" customFormat="false" ht="15" hidden="false" customHeight="false" outlineLevel="0" collapsed="false">
      <c r="A17" s="3"/>
      <c r="B17" s="3"/>
      <c r="C17" s="3"/>
    </row>
    <row r="18" customFormat="false" ht="15" hidden="false" customHeight="false" outlineLevel="0" collapsed="false">
      <c r="A18" s="3"/>
      <c r="B18" s="3"/>
      <c r="C18" s="3"/>
    </row>
    <row r="19" customFormat="false" ht="15" hidden="false" customHeight="false" outlineLevel="0" collapsed="false">
      <c r="A19" s="3"/>
      <c r="B19" s="3"/>
      <c r="C19" s="3"/>
    </row>
    <row r="20" customFormat="false" ht="15" hidden="false" customHeight="false" outlineLevel="0" collapsed="false">
      <c r="A20" s="3"/>
      <c r="B20" s="3"/>
      <c r="C20" s="3"/>
    </row>
    <row r="21" customFormat="false" ht="15" hidden="false" customHeight="false" outlineLevel="0" collapsed="false">
      <c r="A21" s="3"/>
      <c r="B21" s="3"/>
      <c r="C21" s="3"/>
    </row>
    <row r="22" customFormat="false" ht="15" hidden="false" customHeight="false" outlineLevel="0" collapsed="false">
      <c r="A22" s="3"/>
      <c r="B22" s="3"/>
      <c r="C22" s="3"/>
    </row>
    <row r="23" customFormat="false" ht="15" hidden="false" customHeight="false" outlineLevel="0" collapsed="false">
      <c r="A23" s="3"/>
      <c r="B23" s="3"/>
      <c r="C23" s="3"/>
    </row>
    <row r="24" customFormat="false" ht="15" hidden="false" customHeight="false" outlineLevel="0" collapsed="false">
      <c r="A24" s="3"/>
      <c r="B24" s="3"/>
      <c r="C24" s="3"/>
    </row>
    <row r="25" customFormat="false" ht="15" hidden="false" customHeight="false" outlineLevel="0" collapsed="false">
      <c r="A25" s="3"/>
      <c r="B25" s="3"/>
      <c r="C25" s="3"/>
    </row>
    <row r="26" customFormat="false" ht="15" hidden="false" customHeight="false" outlineLevel="0" collapsed="false">
      <c r="A26" s="3"/>
      <c r="B26" s="3"/>
      <c r="C26" s="3"/>
    </row>
    <row r="27" customFormat="false" ht="15" hidden="false" customHeight="false" outlineLevel="0" collapsed="false">
      <c r="A27" s="3"/>
      <c r="B27" s="3"/>
      <c r="C27" s="3"/>
    </row>
    <row r="28" customFormat="false" ht="15" hidden="false" customHeight="false" outlineLevel="0" collapsed="false">
      <c r="A28" s="3"/>
      <c r="B28" s="3"/>
      <c r="C28" s="3"/>
    </row>
    <row r="29" customFormat="false" ht="15" hidden="false" customHeight="false" outlineLevel="0" collapsed="false">
      <c r="A29" s="3"/>
      <c r="B29" s="3"/>
      <c r="C29" s="3"/>
    </row>
    <row r="30" customFormat="false" ht="15" hidden="false" customHeight="false" outlineLevel="0" collapsed="false">
      <c r="A30" s="3"/>
      <c r="B30" s="3"/>
      <c r="C30" s="3"/>
    </row>
    <row r="31" customFormat="false" ht="15" hidden="false" customHeight="false" outlineLevel="0" collapsed="false">
      <c r="A31" s="3"/>
      <c r="B31" s="3"/>
      <c r="C31" s="3"/>
    </row>
    <row r="32" customFormat="false" ht="15" hidden="false" customHeight="false" outlineLevel="0" collapsed="false">
      <c r="A32" s="3"/>
      <c r="B32" s="3"/>
      <c r="C32" s="3"/>
    </row>
    <row r="33" customFormat="false" ht="15" hidden="false" customHeight="false" outlineLevel="0" collapsed="false">
      <c r="A33" s="3"/>
      <c r="B33" s="3"/>
      <c r="C33" s="3"/>
    </row>
    <row r="34" customFormat="false" ht="15" hidden="false" customHeight="false" outlineLevel="0" collapsed="false">
      <c r="A34" s="3"/>
      <c r="B34" s="3"/>
      <c r="C34" s="3"/>
    </row>
    <row r="35" customFormat="false" ht="15" hidden="false" customHeight="false" outlineLevel="0" collapsed="false">
      <c r="A35" s="3"/>
      <c r="B35" s="3"/>
      <c r="C35" s="3"/>
    </row>
    <row r="36" customFormat="false" ht="15" hidden="false" customHeight="false" outlineLevel="0" collapsed="false">
      <c r="A36" s="3"/>
      <c r="B36" s="3"/>
      <c r="C36" s="3"/>
    </row>
    <row r="37" customFormat="false" ht="15" hidden="false" customHeight="false" outlineLevel="0" collapsed="false">
      <c r="A37" s="3"/>
      <c r="B37" s="3"/>
      <c r="C37" s="3"/>
    </row>
    <row r="38" customFormat="false" ht="15" hidden="false" customHeight="false" outlineLevel="0" collapsed="false">
      <c r="A38" s="3"/>
      <c r="B38" s="3"/>
      <c r="C38" s="3"/>
    </row>
    <row r="39" customFormat="false" ht="15" hidden="false" customHeight="false" outlineLevel="0" collapsed="false">
      <c r="A39" s="3"/>
      <c r="B39" s="3"/>
      <c r="C39" s="3"/>
    </row>
    <row r="40" customFormat="false" ht="15" hidden="false" customHeight="false" outlineLevel="0" collapsed="false">
      <c r="A40" s="3"/>
      <c r="B40" s="3"/>
      <c r="C40" s="3"/>
    </row>
    <row r="41" customFormat="false" ht="15" hidden="false" customHeight="false" outlineLevel="0" collapsed="false">
      <c r="A41" s="3"/>
      <c r="B41" s="3"/>
      <c r="C41" s="3"/>
    </row>
    <row r="42" customFormat="false" ht="15" hidden="false" customHeight="false" outlineLevel="0" collapsed="false">
      <c r="A42" s="3"/>
      <c r="B42" s="3"/>
      <c r="C42" s="3"/>
    </row>
    <row r="43" customFormat="false" ht="15" hidden="false" customHeight="false" outlineLevel="0" collapsed="false">
      <c r="A43" s="3"/>
      <c r="B43" s="3"/>
      <c r="C43" s="3"/>
    </row>
    <row r="44" customFormat="false" ht="15" hidden="false" customHeight="false" outlineLevel="0" collapsed="false">
      <c r="A44" s="3"/>
      <c r="B44" s="3"/>
      <c r="C44" s="3"/>
    </row>
    <row r="45" customFormat="false" ht="15" hidden="false" customHeight="false" outlineLevel="0" collapsed="false">
      <c r="A45" s="3"/>
      <c r="B45" s="3"/>
      <c r="C45" s="3"/>
    </row>
    <row r="46" customFormat="false" ht="15" hidden="false" customHeight="false" outlineLevel="0" collapsed="false">
      <c r="A46" s="3"/>
      <c r="B46" s="3"/>
      <c r="C46" s="3"/>
    </row>
    <row r="47" customFormat="false" ht="15" hidden="false" customHeight="false" outlineLevel="0" collapsed="false">
      <c r="A47" s="3"/>
      <c r="B47" s="3"/>
      <c r="C47" s="3"/>
    </row>
    <row r="48" customFormat="false" ht="15" hidden="false" customHeight="false" outlineLevel="0" collapsed="false">
      <c r="A48" s="3"/>
      <c r="B48" s="3"/>
      <c r="C48" s="3"/>
    </row>
    <row r="49" customFormat="false" ht="15" hidden="false" customHeight="false" outlineLevel="0" collapsed="false">
      <c r="A49" s="3"/>
      <c r="B49" s="3"/>
      <c r="C49" s="3"/>
    </row>
    <row r="50" customFormat="false" ht="15" hidden="false" customHeight="false" outlineLevel="0" collapsed="false">
      <c r="A50" s="3"/>
      <c r="B50" s="3"/>
      <c r="C50" s="3"/>
    </row>
    <row r="51" customFormat="false" ht="15" hidden="false" customHeight="false" outlineLevel="0" collapsed="false">
      <c r="A51" s="3"/>
      <c r="B51" s="3"/>
      <c r="C51" s="3"/>
    </row>
    <row r="52" customFormat="false" ht="15" hidden="false" customHeight="false" outlineLevel="0" collapsed="false">
      <c r="A52" s="3"/>
      <c r="B52" s="3"/>
      <c r="C5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7" min="4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3"/>
    <col collapsed="false" customWidth="true" hidden="false" outlineLevel="0" max="12" min="12" style="0" width="12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4" t="s">
        <v>20</v>
      </c>
      <c r="L1" s="1" t="s">
        <v>21</v>
      </c>
    </row>
    <row r="2" customFormat="false" ht="28.35" hidden="false" customHeight="false" outlineLevel="0" collapsed="false">
      <c r="A2" s="5" t="s">
        <v>1</v>
      </c>
      <c r="B2" s="5" t="s">
        <v>2</v>
      </c>
      <c r="C2" s="5" t="s">
        <v>22</v>
      </c>
      <c r="D2" s="5" t="s">
        <v>23</v>
      </c>
      <c r="E2" s="5" t="s">
        <v>24</v>
      </c>
      <c r="L2" s="6" t="s">
        <v>1</v>
      </c>
      <c r="M2" s="6" t="s">
        <v>25</v>
      </c>
      <c r="N2" s="6" t="s">
        <v>26</v>
      </c>
      <c r="O2" s="6" t="s">
        <v>22</v>
      </c>
      <c r="Q2" s="2" t="s">
        <v>27</v>
      </c>
      <c r="R2" s="2" t="s">
        <v>28</v>
      </c>
      <c r="S2" s="2" t="s">
        <v>29</v>
      </c>
      <c r="T2" s="2" t="s">
        <v>30</v>
      </c>
    </row>
    <row r="3" customFormat="false" ht="15" hidden="false" customHeight="false" outlineLevel="0" collapsed="false">
      <c r="A3" s="7" t="str">
        <f aca="false">IF(참가자!A3="","",UPPER(TRIM(참가자!A3)))</f>
        <v>K7QM</v>
      </c>
      <c r="B3" s="7" t="str">
        <f aca="false">IF(A3="","",IF(참가자!B3="","(팀 없음)",TRIM(참가자!B3)))</f>
        <v>1팀</v>
      </c>
      <c r="C3" s="7" t="n">
        <f aca="false">IF(A3="","",IFERROR(INDEX($R$3:$R$102,MATCH(A3,$Q$3:$Q$102,0)),""))</f>
        <v>50</v>
      </c>
      <c r="D3" s="7" t="str">
        <f aca="false">IF(A3="","",IF(C3="","결석",IF(IFERROR(INDEX($S$3:$S$102,MATCH(A3,$Q$3:$Q$102,0)),"")="비경쟁","비경쟁 응시","응시")))</f>
        <v>응시</v>
      </c>
      <c r="E3" s="7" t="str">
        <f aca="false">IF(A3="","",IF(COUNTIF($Q$3:$Q$102,A3)&gt;1,"중복! 확인",""))</f>
        <v/>
      </c>
      <c r="L3" s="8" t="s">
        <v>4</v>
      </c>
      <c r="M3" s="8" t="n">
        <v>6</v>
      </c>
      <c r="N3" s="8" t="n">
        <v>12</v>
      </c>
      <c r="O3" s="8"/>
      <c r="Q3" s="0" t="str">
        <f aca="false">IF(UPPER(TRIM(L3&amp;""))="","",IF(RIGHT(UPPER(TRIM(L3&amp;"")),2)="-N",TRIM(LEFT(UPPER(TRIM(L3&amp;"")),LEN(UPPER(TRIM(L3&amp;"")))-2)),UPPER(TRIM(L3&amp;""))))</f>
        <v>K7QM</v>
      </c>
      <c r="R3" s="9" t="n">
        <f aca="false">IF(Q3="","",IF(ISNUMBER(O3),ROUND(O3,1),IF(AND(ISNUMBER(M3),ISNUMBER(N3)),IF(N3&gt;0,ROUND(M3/N3*100,1),""),"")))</f>
        <v>50</v>
      </c>
      <c r="S3" s="0" t="str">
        <f aca="false">IF(Q3="","",IF(RIGHT(UPPER(TRIM(L3&amp;"")),2)="-N","비경쟁",""))</f>
        <v/>
      </c>
      <c r="T3" s="0" t="str">
        <f aca="false">IF(Q3="","",IF(COUNTIF(참가자!$A$3:$A$52,Q3)=0,"명단에 없는 코드",""))</f>
        <v/>
      </c>
    </row>
    <row r="4" customFormat="false" ht="15" hidden="false" customHeight="false" outlineLevel="0" collapsed="false">
      <c r="A4" s="7" t="str">
        <f aca="false">IF(참가자!A4="","",UPPER(TRIM(참가자!A4)))</f>
        <v>R4XT</v>
      </c>
      <c r="B4" s="7" t="str">
        <f aca="false">IF(A4="","",IF(참가자!B4="","(팀 없음)",TRIM(참가자!B4)))</f>
        <v>1팀</v>
      </c>
      <c r="C4" s="7" t="n">
        <f aca="false">IF(A4="","",IFERROR(INDEX($R$3:$R$102,MATCH(A4,$Q$3:$Q$102,0)),""))</f>
        <v>83.3</v>
      </c>
      <c r="D4" s="7" t="str">
        <f aca="false">IF(A4="","",IF(C4="","결석",IF(IFERROR(INDEX($S$3:$S$102,MATCH(A4,$Q$3:$Q$102,0)),"")="비경쟁","비경쟁 응시","응시")))</f>
        <v>응시</v>
      </c>
      <c r="E4" s="7" t="str">
        <f aca="false">IF(A4="","",IF(COUNTIF($Q$3:$Q$102,A4)&gt;1,"중복! 확인",""))</f>
        <v/>
      </c>
      <c r="L4" s="8" t="s">
        <v>6</v>
      </c>
      <c r="M4" s="8" t="n">
        <v>10</v>
      </c>
      <c r="N4" s="8" t="n">
        <v>12</v>
      </c>
      <c r="O4" s="8"/>
      <c r="Q4" s="0" t="str">
        <f aca="false">IF(UPPER(TRIM(L4&amp;""))="","",IF(RIGHT(UPPER(TRIM(L4&amp;"")),2)="-N",TRIM(LEFT(UPPER(TRIM(L4&amp;"")),LEN(UPPER(TRIM(L4&amp;"")))-2)),UPPER(TRIM(L4&amp;""))))</f>
        <v>R4XT</v>
      </c>
      <c r="R4" s="9" t="n">
        <f aca="false">IF(Q4="","",IF(ISNUMBER(O4),ROUND(O4,1),IF(AND(ISNUMBER(M4),ISNUMBER(N4)),IF(N4&gt;0,ROUND(M4/N4*100,1),""),"")))</f>
        <v>83.3</v>
      </c>
      <c r="S4" s="0" t="str">
        <f aca="false">IF(Q4="","",IF(RIGHT(UPPER(TRIM(L4&amp;"")),2)="-N","비경쟁",""))</f>
        <v/>
      </c>
      <c r="T4" s="0" t="str">
        <f aca="false">IF(Q4="","",IF(COUNTIF(참가자!$A$3:$A$52,Q4)=0,"명단에 없는 코드",""))</f>
        <v/>
      </c>
    </row>
    <row r="5" customFormat="false" ht="15" hidden="false" customHeight="false" outlineLevel="0" collapsed="false">
      <c r="A5" s="7" t="str">
        <f aca="false">IF(참가자!A5="","",UPPER(TRIM(참가자!A5)))</f>
        <v>H9WC</v>
      </c>
      <c r="B5" s="7" t="str">
        <f aca="false">IF(A5="","",IF(참가자!B5="","(팀 없음)",TRIM(참가자!B5)))</f>
        <v>1팀</v>
      </c>
      <c r="C5" s="7" t="n">
        <f aca="false">IF(A5="","",IFERROR(INDEX($R$3:$R$102,MATCH(A5,$Q$3:$Q$102,0)),""))</f>
        <v>41.7</v>
      </c>
      <c r="D5" s="7" t="str">
        <f aca="false">IF(A5="","",IF(C5="","결석",IF(IFERROR(INDEX($S$3:$S$102,MATCH(A5,$Q$3:$Q$102,0)),"")="비경쟁","비경쟁 응시","응시")))</f>
        <v>응시</v>
      </c>
      <c r="E5" s="7" t="str">
        <f aca="false">IF(A5="","",IF(COUNTIF($Q$3:$Q$102,A5)&gt;1,"중복! 확인",""))</f>
        <v/>
      </c>
      <c r="L5" s="8" t="s">
        <v>7</v>
      </c>
      <c r="M5" s="8" t="n">
        <v>5</v>
      </c>
      <c r="N5" s="8" t="n">
        <v>12</v>
      </c>
      <c r="O5" s="8"/>
      <c r="Q5" s="0" t="str">
        <f aca="false">IF(UPPER(TRIM(L5&amp;""))="","",IF(RIGHT(UPPER(TRIM(L5&amp;"")),2)="-N",TRIM(LEFT(UPPER(TRIM(L5&amp;"")),LEN(UPPER(TRIM(L5&amp;"")))-2)),UPPER(TRIM(L5&amp;""))))</f>
        <v>H9WC</v>
      </c>
      <c r="R5" s="9" t="n">
        <f aca="false">IF(Q5="","",IF(ISNUMBER(O5),ROUND(O5,1),IF(AND(ISNUMBER(M5),ISNUMBER(N5)),IF(N5&gt;0,ROUND(M5/N5*100,1),""),"")))</f>
        <v>41.7</v>
      </c>
      <c r="S5" s="0" t="str">
        <f aca="false">IF(Q5="","",IF(RIGHT(UPPER(TRIM(L5&amp;"")),2)="-N","비경쟁",""))</f>
        <v/>
      </c>
      <c r="T5" s="0" t="str">
        <f aca="false">IF(Q5="","",IF(COUNTIF(참가자!$A$3:$A$52,Q5)=0,"명단에 없는 코드",""))</f>
        <v/>
      </c>
    </row>
    <row r="6" customFormat="false" ht="15" hidden="false" customHeight="false" outlineLevel="0" collapsed="false">
      <c r="A6" s="7" t="str">
        <f aca="false">IF(참가자!A6="","",UPPER(TRIM(참가자!A6)))</f>
        <v>B3NV</v>
      </c>
      <c r="B6" s="7" t="str">
        <f aca="false">IF(A6="","",IF(참가자!B6="","(팀 없음)",TRIM(참가자!B6)))</f>
        <v>2팀</v>
      </c>
      <c r="C6" s="7" t="n">
        <f aca="false">IF(A6="","",IFERROR(INDEX($R$3:$R$102,MATCH(A6,$Q$3:$Q$102,0)),""))</f>
        <v>75</v>
      </c>
      <c r="D6" s="7" t="str">
        <f aca="false">IF(A6="","",IF(C6="","결석",IF(IFERROR(INDEX($S$3:$S$102,MATCH(A6,$Q$3:$Q$102,0)),"")="비경쟁","비경쟁 응시","응시")))</f>
        <v>응시</v>
      </c>
      <c r="E6" s="7" t="str">
        <f aca="false">IF(A6="","",IF(COUNTIF($Q$3:$Q$102,A6)&gt;1,"중복! 확인",""))</f>
        <v>중복! 확인</v>
      </c>
      <c r="L6" s="8" t="s">
        <v>8</v>
      </c>
      <c r="M6" s="8" t="n">
        <v>9</v>
      </c>
      <c r="N6" s="8" t="n">
        <v>12</v>
      </c>
      <c r="O6" s="8"/>
      <c r="Q6" s="0" t="str">
        <f aca="false">IF(UPPER(TRIM(L6&amp;""))="","",IF(RIGHT(UPPER(TRIM(L6&amp;"")),2)="-N",TRIM(LEFT(UPPER(TRIM(L6&amp;"")),LEN(UPPER(TRIM(L6&amp;"")))-2)),UPPER(TRIM(L6&amp;""))))</f>
        <v>B3NV</v>
      </c>
      <c r="R6" s="9" t="n">
        <f aca="false">IF(Q6="","",IF(ISNUMBER(O6),ROUND(O6,1),IF(AND(ISNUMBER(M6),ISNUMBER(N6)),IF(N6&gt;0,ROUND(M6/N6*100,1),""),"")))</f>
        <v>75</v>
      </c>
      <c r="S6" s="0" t="str">
        <f aca="false">IF(Q6="","",IF(RIGHT(UPPER(TRIM(L6&amp;"")),2)="-N","비경쟁",""))</f>
        <v/>
      </c>
      <c r="T6" s="0" t="str">
        <f aca="false">IF(Q6="","",IF(COUNTIF(참가자!$A$3:$A$52,Q6)=0,"명단에 없는 코드",""))</f>
        <v/>
      </c>
    </row>
    <row r="7" customFormat="false" ht="15" hidden="false" customHeight="false" outlineLevel="0" collapsed="false">
      <c r="A7" s="7" t="str">
        <f aca="false">IF(참가자!A7="","",UPPER(TRIM(참가자!A7)))</f>
        <v>Z8LD</v>
      </c>
      <c r="B7" s="7" t="str">
        <f aca="false">IF(A7="","",IF(참가자!B7="","(팀 없음)",TRIM(참가자!B7)))</f>
        <v>2팀</v>
      </c>
      <c r="C7" s="7" t="n">
        <f aca="false">IF(A7="","",IFERROR(INDEX($R$3:$R$102,MATCH(A7,$Q$3:$Q$102,0)),""))</f>
        <v>58.3</v>
      </c>
      <c r="D7" s="7" t="str">
        <f aca="false">IF(A7="","",IF(C7="","결석",IF(IFERROR(INDEX($S$3:$S$102,MATCH(A7,$Q$3:$Q$102,0)),"")="비경쟁","비경쟁 응시","응시")))</f>
        <v>응시</v>
      </c>
      <c r="E7" s="7" t="str">
        <f aca="false">IF(A7="","",IF(COUNTIF($Q$3:$Q$102,A7)&gt;1,"중복! 확인",""))</f>
        <v/>
      </c>
      <c r="L7" s="8" t="s">
        <v>10</v>
      </c>
      <c r="M7" s="8" t="n">
        <v>7</v>
      </c>
      <c r="N7" s="8" t="n">
        <v>12</v>
      </c>
      <c r="O7" s="8"/>
      <c r="Q7" s="0" t="str">
        <f aca="false">IF(UPPER(TRIM(L7&amp;""))="","",IF(RIGHT(UPPER(TRIM(L7&amp;"")),2)="-N",TRIM(LEFT(UPPER(TRIM(L7&amp;"")),LEN(UPPER(TRIM(L7&amp;"")))-2)),UPPER(TRIM(L7&amp;""))))</f>
        <v>Z8LD</v>
      </c>
      <c r="R7" s="9" t="n">
        <f aca="false">IF(Q7="","",IF(ISNUMBER(O7),ROUND(O7,1),IF(AND(ISNUMBER(M7),ISNUMBER(N7)),IF(N7&gt;0,ROUND(M7/N7*100,1),""),"")))</f>
        <v>58.3</v>
      </c>
      <c r="S7" s="0" t="str">
        <f aca="false">IF(Q7="","",IF(RIGHT(UPPER(TRIM(L7&amp;"")),2)="-N","비경쟁",""))</f>
        <v/>
      </c>
      <c r="T7" s="0" t="str">
        <f aca="false">IF(Q7="","",IF(COUNTIF(참가자!$A$3:$A$52,Q7)=0,"명단에 없는 코드",""))</f>
        <v/>
      </c>
    </row>
    <row r="8" customFormat="false" ht="15" hidden="false" customHeight="false" outlineLevel="0" collapsed="false">
      <c r="A8" s="7" t="str">
        <f aca="false">IF(참가자!A8="","",UPPER(TRIM(참가자!A8)))</f>
        <v>M2PF</v>
      </c>
      <c r="B8" s="7" t="str">
        <f aca="false">IF(A8="","",IF(참가자!B8="","(팀 없음)",TRIM(참가자!B8)))</f>
        <v>2팀</v>
      </c>
      <c r="C8" s="7" t="n">
        <f aca="false">IF(A8="","",IFERROR(INDEX($R$3:$R$102,MATCH(A8,$Q$3:$Q$102,0)),""))</f>
        <v>66.7</v>
      </c>
      <c r="D8" s="7" t="str">
        <f aca="false">IF(A8="","",IF(C8="","결석",IF(IFERROR(INDEX($S$3:$S$102,MATCH(A8,$Q$3:$Q$102,0)),"")="비경쟁","비경쟁 응시","응시")))</f>
        <v>응시</v>
      </c>
      <c r="E8" s="7" t="str">
        <f aca="false">IF(A8="","",IF(COUNTIF($Q$3:$Q$102,A8)&gt;1,"중복! 확인",""))</f>
        <v/>
      </c>
      <c r="L8" s="8" t="s">
        <v>11</v>
      </c>
      <c r="M8" s="8" t="n">
        <v>8</v>
      </c>
      <c r="N8" s="8" t="n">
        <v>12</v>
      </c>
      <c r="O8" s="8"/>
      <c r="Q8" s="0" t="str">
        <f aca="false">IF(UPPER(TRIM(L8&amp;""))="","",IF(RIGHT(UPPER(TRIM(L8&amp;"")),2)="-N",TRIM(LEFT(UPPER(TRIM(L8&amp;"")),LEN(UPPER(TRIM(L8&amp;"")))-2)),UPPER(TRIM(L8&amp;""))))</f>
        <v>M2PF</v>
      </c>
      <c r="R8" s="9" t="n">
        <f aca="false">IF(Q8="","",IF(ISNUMBER(O8),ROUND(O8,1),IF(AND(ISNUMBER(M8),ISNUMBER(N8)),IF(N8&gt;0,ROUND(M8/N8*100,1),""),"")))</f>
        <v>66.7</v>
      </c>
      <c r="S8" s="0" t="str">
        <f aca="false">IF(Q8="","",IF(RIGHT(UPPER(TRIM(L8&amp;"")),2)="-N","비경쟁",""))</f>
        <v/>
      </c>
      <c r="T8" s="0" t="str">
        <f aca="false">IF(Q8="","",IF(COUNTIF(참가자!$A$3:$A$52,Q8)=0,"명단에 없는 코드",""))</f>
        <v/>
      </c>
    </row>
    <row r="9" customFormat="false" ht="15" hidden="false" customHeight="false" outlineLevel="0" collapsed="false">
      <c r="A9" s="7" t="str">
        <f aca="false">IF(참가자!A9="","",UPPER(TRIM(참가자!A9)))</f>
        <v>T6YH</v>
      </c>
      <c r="B9" s="7" t="str">
        <f aca="false">IF(A9="","",IF(참가자!B9="","(팀 없음)",TRIM(참가자!B9)))</f>
        <v>3팀</v>
      </c>
      <c r="C9" s="7" t="n">
        <f aca="false">IF(A9="","",IFERROR(INDEX($R$3:$R$102,MATCH(A9,$Q$3:$Q$102,0)),""))</f>
        <v>66.7</v>
      </c>
      <c r="D9" s="7" t="str">
        <f aca="false">IF(A9="","",IF(C9="","결석",IF(IFERROR(INDEX($S$3:$S$102,MATCH(A9,$Q$3:$Q$102,0)),"")="비경쟁","비경쟁 응시","응시")))</f>
        <v>응시</v>
      </c>
      <c r="E9" s="7" t="str">
        <f aca="false">IF(A9="","",IF(COUNTIF($Q$3:$Q$102,A9)&gt;1,"중복! 확인",""))</f>
        <v/>
      </c>
      <c r="L9" s="8" t="s">
        <v>12</v>
      </c>
      <c r="M9" s="8" t="n">
        <v>8</v>
      </c>
      <c r="N9" s="8" t="n">
        <v>12</v>
      </c>
      <c r="O9" s="8"/>
      <c r="Q9" s="0" t="str">
        <f aca="false">IF(UPPER(TRIM(L9&amp;""))="","",IF(RIGHT(UPPER(TRIM(L9&amp;"")),2)="-N",TRIM(LEFT(UPPER(TRIM(L9&amp;"")),LEN(UPPER(TRIM(L9&amp;"")))-2)),UPPER(TRIM(L9&amp;""))))</f>
        <v>T6YH</v>
      </c>
      <c r="R9" s="9" t="n">
        <f aca="false">IF(Q9="","",IF(ISNUMBER(O9),ROUND(O9,1),IF(AND(ISNUMBER(M9),ISNUMBER(N9)),IF(N9&gt;0,ROUND(M9/N9*100,1),""),"")))</f>
        <v>66.7</v>
      </c>
      <c r="S9" s="0" t="str">
        <f aca="false">IF(Q9="","",IF(RIGHT(UPPER(TRIM(L9&amp;"")),2)="-N","비경쟁",""))</f>
        <v/>
      </c>
      <c r="T9" s="0" t="str">
        <f aca="false">IF(Q9="","",IF(COUNTIF(참가자!$A$3:$A$52,Q9)=0,"명단에 없는 코드",""))</f>
        <v/>
      </c>
    </row>
    <row r="10" customFormat="false" ht="15" hidden="false" customHeight="false" outlineLevel="0" collapsed="false">
      <c r="A10" s="7" t="str">
        <f aca="false">IF(참가자!A10="","",UPPER(TRIM(참가자!A10)))</f>
        <v>C5JR</v>
      </c>
      <c r="B10" s="7" t="str">
        <f aca="false">IF(A10="","",IF(참가자!B10="","(팀 없음)",TRIM(참가자!B10)))</f>
        <v>3팀</v>
      </c>
      <c r="C10" s="7" t="n">
        <f aca="false">IF(A10="","",IFERROR(INDEX($R$3:$R$102,MATCH(A10,$Q$3:$Q$102,0)),""))</f>
        <v>91.7</v>
      </c>
      <c r="D10" s="7" t="str">
        <f aca="false">IF(A10="","",IF(C10="","결석",IF(IFERROR(INDEX($S$3:$S$102,MATCH(A10,$Q$3:$Q$102,0)),"")="비경쟁","비경쟁 응시","응시")))</f>
        <v>응시</v>
      </c>
      <c r="E10" s="7" t="str">
        <f aca="false">IF(A10="","",IF(COUNTIF($Q$3:$Q$102,A10)&gt;1,"중복! 확인",""))</f>
        <v/>
      </c>
      <c r="L10" s="8" t="s">
        <v>14</v>
      </c>
      <c r="M10" s="8" t="n">
        <v>11</v>
      </c>
      <c r="N10" s="8" t="n">
        <v>12</v>
      </c>
      <c r="O10" s="8"/>
      <c r="Q10" s="0" t="str">
        <f aca="false">IF(UPPER(TRIM(L10&amp;""))="","",IF(RIGHT(UPPER(TRIM(L10&amp;"")),2)="-N",TRIM(LEFT(UPPER(TRIM(L10&amp;"")),LEN(UPPER(TRIM(L10&amp;"")))-2)),UPPER(TRIM(L10&amp;""))))</f>
        <v>C5JR</v>
      </c>
      <c r="R10" s="9" t="n">
        <f aca="false">IF(Q10="","",IF(ISNUMBER(O10),ROUND(O10,1),IF(AND(ISNUMBER(M10),ISNUMBER(N10)),IF(N10&gt;0,ROUND(M10/N10*100,1),""),"")))</f>
        <v>91.7</v>
      </c>
      <c r="S10" s="0" t="str">
        <f aca="false">IF(Q10="","",IF(RIGHT(UPPER(TRIM(L10&amp;"")),2)="-N","비경쟁",""))</f>
        <v/>
      </c>
      <c r="T10" s="0" t="str">
        <f aca="false">IF(Q10="","",IF(COUNTIF(참가자!$A$3:$A$52,Q10)=0,"명단에 없는 코드",""))</f>
        <v/>
      </c>
    </row>
    <row r="11" customFormat="false" ht="15" hidden="false" customHeight="false" outlineLevel="0" collapsed="false">
      <c r="A11" s="7" t="str">
        <f aca="false">IF(참가자!A11="","",UPPER(TRIM(참가자!A11)))</f>
        <v>W3KE</v>
      </c>
      <c r="B11" s="7" t="str">
        <f aca="false">IF(A11="","",IF(참가자!B11="","(팀 없음)",TRIM(참가자!B11)))</f>
        <v>3팀</v>
      </c>
      <c r="C11" s="7" t="n">
        <f aca="false">IF(A11="","",IFERROR(INDEX($R$3:$R$102,MATCH(A11,$Q$3:$Q$102,0)),""))</f>
        <v>50</v>
      </c>
      <c r="D11" s="7" t="str">
        <f aca="false">IF(A11="","",IF(C11="","결석",IF(IFERROR(INDEX($S$3:$S$102,MATCH(A11,$Q$3:$Q$102,0)),"")="비경쟁","비경쟁 응시","응시")))</f>
        <v>응시</v>
      </c>
      <c r="E11" s="7" t="str">
        <f aca="false">IF(A11="","",IF(COUNTIF($Q$3:$Q$102,A11)&gt;1,"중복! 확인",""))</f>
        <v/>
      </c>
      <c r="L11" s="8" t="s">
        <v>15</v>
      </c>
      <c r="M11" s="8" t="n">
        <v>6</v>
      </c>
      <c r="N11" s="8" t="n">
        <v>12</v>
      </c>
      <c r="O11" s="8"/>
      <c r="Q11" s="0" t="str">
        <f aca="false">IF(UPPER(TRIM(L11&amp;""))="","",IF(RIGHT(UPPER(TRIM(L11&amp;"")),2)="-N",TRIM(LEFT(UPPER(TRIM(L11&amp;"")),LEN(UPPER(TRIM(L11&amp;"")))-2)),UPPER(TRIM(L11&amp;""))))</f>
        <v>W3KE</v>
      </c>
      <c r="R11" s="9" t="n">
        <f aca="false">IF(Q11="","",IF(ISNUMBER(O11),ROUND(O11,1),IF(AND(ISNUMBER(M11),ISNUMBER(N11)),IF(N11&gt;0,ROUND(M11/N11*100,1),""),"")))</f>
        <v>50</v>
      </c>
      <c r="S11" s="0" t="str">
        <f aca="false">IF(Q11="","",IF(RIGHT(UPPER(TRIM(L11&amp;"")),2)="-N","비경쟁",""))</f>
        <v/>
      </c>
      <c r="T11" s="0" t="str">
        <f aca="false">IF(Q11="","",IF(COUNTIF(참가자!$A$3:$A$52,Q11)=0,"명단에 없는 코드",""))</f>
        <v/>
      </c>
    </row>
    <row r="12" customFormat="false" ht="15" hidden="false" customHeight="false" outlineLevel="0" collapsed="false">
      <c r="A12" s="7" t="str">
        <f aca="false">IF(참가자!A12="","",UPPER(TRIM(참가자!A12)))</f>
        <v>F8UA</v>
      </c>
      <c r="B12" s="7" t="str">
        <f aca="false">IF(A12="","",IF(참가자!B12="","(팀 없음)",TRIM(참가자!B12)))</f>
        <v>4팀</v>
      </c>
      <c r="C12" s="7" t="n">
        <f aca="false">IF(A12="","",IFERROR(INDEX($R$3:$R$102,MATCH(A12,$Q$3:$Q$102,0)),""))</f>
        <v>58.3</v>
      </c>
      <c r="D12" s="7" t="str">
        <f aca="false">IF(A12="","",IF(C12="","결석",IF(IFERROR(INDEX($S$3:$S$102,MATCH(A12,$Q$3:$Q$102,0)),"")="비경쟁","비경쟁 응시","응시")))</f>
        <v>응시</v>
      </c>
      <c r="E12" s="7" t="str">
        <f aca="false">IF(A12="","",IF(COUNTIF($Q$3:$Q$102,A12)&gt;1,"중복! 확인",""))</f>
        <v/>
      </c>
      <c r="L12" s="8" t="s">
        <v>16</v>
      </c>
      <c r="M12" s="8" t="n">
        <v>7</v>
      </c>
      <c r="N12" s="8" t="n">
        <v>12</v>
      </c>
      <c r="O12" s="8"/>
      <c r="Q12" s="0" t="str">
        <f aca="false">IF(UPPER(TRIM(L12&amp;""))="","",IF(RIGHT(UPPER(TRIM(L12&amp;"")),2)="-N",TRIM(LEFT(UPPER(TRIM(L12&amp;"")),LEN(UPPER(TRIM(L12&amp;"")))-2)),UPPER(TRIM(L12&amp;""))))</f>
        <v>F8UA</v>
      </c>
      <c r="R12" s="9" t="n">
        <f aca="false">IF(Q12="","",IF(ISNUMBER(O12),ROUND(O12,1),IF(AND(ISNUMBER(M12),ISNUMBER(N12)),IF(N12&gt;0,ROUND(M12/N12*100,1),""),"")))</f>
        <v>58.3</v>
      </c>
      <c r="S12" s="0" t="str">
        <f aca="false">IF(Q12="","",IF(RIGHT(UPPER(TRIM(L12&amp;"")),2)="-N","비경쟁",""))</f>
        <v/>
      </c>
      <c r="T12" s="0" t="str">
        <f aca="false">IF(Q12="","",IF(COUNTIF(참가자!$A$3:$A$52,Q12)=0,"명단에 없는 코드",""))</f>
        <v/>
      </c>
    </row>
    <row r="13" customFormat="false" ht="15" hidden="false" customHeight="false" outlineLevel="0" collapsed="false">
      <c r="A13" s="7" t="str">
        <f aca="false">IF(참가자!A13="","",UPPER(TRIM(참가자!A13)))</f>
        <v>N4GS</v>
      </c>
      <c r="B13" s="7" t="str">
        <f aca="false">IF(A13="","",IF(참가자!B13="","(팀 없음)",TRIM(참가자!B13)))</f>
        <v>4팀</v>
      </c>
      <c r="C13" s="7" t="str">
        <f aca="false">IF(A13="","",IFERROR(INDEX($R$3:$R$102,MATCH(A13,$Q$3:$Q$102,0)),""))</f>
        <v/>
      </c>
      <c r="D13" s="7" t="str">
        <f aca="false">IF(A13="","",IF(C13="","결석",IF(IFERROR(INDEX($S$3:$S$102,MATCH(A13,$Q$3:$Q$102,0)),"")="비경쟁","비경쟁 응시","응시")))</f>
        <v>결석</v>
      </c>
      <c r="E13" s="7" t="str">
        <f aca="false">IF(A13="","",IF(COUNTIF($Q$3:$Q$102,A13)&gt;1,"중복! 확인",""))</f>
        <v/>
      </c>
      <c r="L13" s="8" t="s">
        <v>19</v>
      </c>
      <c r="M13" s="8" t="n">
        <v>6</v>
      </c>
      <c r="N13" s="8" t="n">
        <v>12</v>
      </c>
      <c r="O13" s="8"/>
      <c r="Q13" s="0" t="str">
        <f aca="false">IF(UPPER(TRIM(L13&amp;""))="","",IF(RIGHT(UPPER(TRIM(L13&amp;"")),2)="-N",TRIM(LEFT(UPPER(TRIM(L13&amp;"")),LEN(UPPER(TRIM(L13&amp;"")))-2)),UPPER(TRIM(L13&amp;""))))</f>
        <v>D7VB</v>
      </c>
      <c r="R13" s="9" t="n">
        <f aca="false">IF(Q13="","",IF(ISNUMBER(O13),ROUND(O13,1),IF(AND(ISNUMBER(M13),ISNUMBER(N13)),IF(N13&gt;0,ROUND(M13/N13*100,1),""),"")))</f>
        <v>50</v>
      </c>
      <c r="S13" s="0" t="str">
        <f aca="false">IF(Q13="","",IF(RIGHT(UPPER(TRIM(L13&amp;"")),2)="-N","비경쟁",""))</f>
        <v/>
      </c>
      <c r="T13" s="0" t="str">
        <f aca="false">IF(Q13="","",IF(COUNTIF(참가자!$A$3:$A$52,Q13)=0,"명단에 없는 코드",""))</f>
        <v/>
      </c>
    </row>
    <row r="14" customFormat="false" ht="15" hidden="false" customHeight="false" outlineLevel="0" collapsed="false">
      <c r="A14" s="7" t="str">
        <f aca="false">IF(참가자!A14="","",UPPER(TRIM(참가자!A14)))</f>
        <v>D7VB</v>
      </c>
      <c r="B14" s="7" t="str">
        <f aca="false">IF(A14="","",IF(참가자!B14="","(팀 없음)",TRIM(참가자!B14)))</f>
        <v>4팀</v>
      </c>
      <c r="C14" s="7" t="n">
        <f aca="false">IF(A14="","",IFERROR(INDEX($R$3:$R$102,MATCH(A14,$Q$3:$Q$102,0)),""))</f>
        <v>50</v>
      </c>
      <c r="D14" s="7" t="str">
        <f aca="false">IF(A14="","",IF(C14="","결석",IF(IFERROR(INDEX($S$3:$S$102,MATCH(A14,$Q$3:$Q$102,0)),"")="비경쟁","비경쟁 응시","응시")))</f>
        <v>응시</v>
      </c>
      <c r="E14" s="7" t="str">
        <f aca="false">IF(A14="","",IF(COUNTIF($Q$3:$Q$102,A14)&gt;1,"중복! 확인",""))</f>
        <v/>
      </c>
      <c r="L14" s="8" t="s">
        <v>8</v>
      </c>
      <c r="M14" s="8" t="n">
        <v>3</v>
      </c>
      <c r="N14" s="8" t="n">
        <v>12</v>
      </c>
      <c r="O14" s="8"/>
      <c r="Q14" s="0" t="str">
        <f aca="false">IF(UPPER(TRIM(L14&amp;""))="","",IF(RIGHT(UPPER(TRIM(L14&amp;"")),2)="-N",TRIM(LEFT(UPPER(TRIM(L14&amp;"")),LEN(UPPER(TRIM(L14&amp;"")))-2)),UPPER(TRIM(L14&amp;""))))</f>
        <v>B3NV</v>
      </c>
      <c r="R14" s="9" t="n">
        <f aca="false">IF(Q14="","",IF(ISNUMBER(O14),ROUND(O14,1),IF(AND(ISNUMBER(M14),ISNUMBER(N14)),IF(N14&gt;0,ROUND(M14/N14*100,1),""),"")))</f>
        <v>25</v>
      </c>
      <c r="S14" s="0" t="str">
        <f aca="false">IF(Q14="","",IF(RIGHT(UPPER(TRIM(L14&amp;"")),2)="-N","비경쟁",""))</f>
        <v/>
      </c>
      <c r="T14" s="0" t="str">
        <f aca="false">IF(Q14="","",IF(COUNTIF(참가자!$A$3:$A$52,Q14)=0,"명단에 없는 코드",""))</f>
        <v/>
      </c>
    </row>
    <row r="15" customFormat="false" ht="15" hidden="false" customHeight="false" outlineLevel="0" collapsed="false">
      <c r="A15" s="7" t="str">
        <f aca="false">IF(참가자!A15="","",UPPER(TRIM(참가자!A15)))</f>
        <v/>
      </c>
      <c r="B15" s="7" t="str">
        <f aca="false">IF(A15="","",IF(참가자!B15="","(팀 없음)",TRIM(참가자!B15)))</f>
        <v/>
      </c>
      <c r="C15" s="7" t="str">
        <f aca="false">IF(A15="","",IFERROR(INDEX($R$3:$R$102,MATCH(A15,$Q$3:$Q$102,0)),""))</f>
        <v/>
      </c>
      <c r="D15" s="7" t="str">
        <f aca="false">IF(A15="","",IF(C15="","결석",IF(IFERROR(INDEX($S$3:$S$102,MATCH(A15,$Q$3:$Q$102,0)),"")="비경쟁","비경쟁 응시","응시")))</f>
        <v/>
      </c>
      <c r="E15" s="7" t="str">
        <f aca="false">IF(A15="","",IF(COUNTIF($Q$3:$Q$102,A15)&gt;1,"중복! 확인",""))</f>
        <v/>
      </c>
      <c r="L15" s="8"/>
      <c r="M15" s="8"/>
      <c r="N15" s="8"/>
      <c r="O15" s="8"/>
      <c r="Q15" s="0" t="str">
        <f aca="false">IF(UPPER(TRIM(L15&amp;""))="","",IF(RIGHT(UPPER(TRIM(L15&amp;"")),2)="-N",TRIM(LEFT(UPPER(TRIM(L15&amp;"")),LEN(UPPER(TRIM(L15&amp;"")))-2)),UPPER(TRIM(L15&amp;""))))</f>
        <v/>
      </c>
      <c r="R15" s="0" t="str">
        <f aca="false">IF(Q15="","",IF(ISNUMBER(O15),ROUND(O15,1),IF(AND(ISNUMBER(M15),ISNUMBER(N15)),IF(N15&gt;0,ROUND(M15/N15*100,1),""),"")))</f>
        <v/>
      </c>
      <c r="S15" s="0" t="str">
        <f aca="false">IF(Q15="","",IF(RIGHT(UPPER(TRIM(L15&amp;"")),2)="-N","비경쟁",""))</f>
        <v/>
      </c>
      <c r="T15" s="0" t="str">
        <f aca="false">IF(Q15="","",IF(COUNTIF(참가자!$A$3:$A$52,Q15)=0,"명단에 없는 코드",""))</f>
        <v/>
      </c>
    </row>
    <row r="16" customFormat="false" ht="15" hidden="false" customHeight="false" outlineLevel="0" collapsed="false">
      <c r="A16" s="7" t="str">
        <f aca="false">IF(참가자!A16="","",UPPER(TRIM(참가자!A16)))</f>
        <v/>
      </c>
      <c r="B16" s="7" t="str">
        <f aca="false">IF(A16="","",IF(참가자!B16="","(팀 없음)",TRIM(참가자!B16)))</f>
        <v/>
      </c>
      <c r="C16" s="7" t="str">
        <f aca="false">IF(A16="","",IFERROR(INDEX($R$3:$R$102,MATCH(A16,$Q$3:$Q$102,0)),""))</f>
        <v/>
      </c>
      <c r="D16" s="7" t="str">
        <f aca="false">IF(A16="","",IF(C16="","결석",IF(IFERROR(INDEX($S$3:$S$102,MATCH(A16,$Q$3:$Q$102,0)),"")="비경쟁","비경쟁 응시","응시")))</f>
        <v/>
      </c>
      <c r="E16" s="7" t="str">
        <f aca="false">IF(A16="","",IF(COUNTIF($Q$3:$Q$102,A16)&gt;1,"중복! 확인",""))</f>
        <v/>
      </c>
      <c r="L16" s="8"/>
      <c r="M16" s="8"/>
      <c r="N16" s="8"/>
      <c r="O16" s="8"/>
      <c r="Q16" s="0" t="str">
        <f aca="false">IF(UPPER(TRIM(L16&amp;""))="","",IF(RIGHT(UPPER(TRIM(L16&amp;"")),2)="-N",TRIM(LEFT(UPPER(TRIM(L16&amp;"")),LEN(UPPER(TRIM(L16&amp;"")))-2)),UPPER(TRIM(L16&amp;""))))</f>
        <v/>
      </c>
      <c r="R16" s="0" t="str">
        <f aca="false">IF(Q16="","",IF(ISNUMBER(O16),ROUND(O16,1),IF(AND(ISNUMBER(M16),ISNUMBER(N16)),IF(N16&gt;0,ROUND(M16/N16*100,1),""),"")))</f>
        <v/>
      </c>
      <c r="S16" s="0" t="str">
        <f aca="false">IF(Q16="","",IF(RIGHT(UPPER(TRIM(L16&amp;"")),2)="-N","비경쟁",""))</f>
        <v/>
      </c>
      <c r="T16" s="0" t="str">
        <f aca="false">IF(Q16="","",IF(COUNTIF(참가자!$A$3:$A$52,Q16)=0,"명단에 없는 코드",""))</f>
        <v/>
      </c>
    </row>
    <row r="17" customFormat="false" ht="15" hidden="false" customHeight="false" outlineLevel="0" collapsed="false">
      <c r="A17" s="7" t="str">
        <f aca="false">IF(참가자!A17="","",UPPER(TRIM(참가자!A17)))</f>
        <v/>
      </c>
      <c r="B17" s="7" t="str">
        <f aca="false">IF(A17="","",IF(참가자!B17="","(팀 없음)",TRIM(참가자!B17)))</f>
        <v/>
      </c>
      <c r="C17" s="7" t="str">
        <f aca="false">IF(A17="","",IFERROR(INDEX($R$3:$R$102,MATCH(A17,$Q$3:$Q$102,0)),""))</f>
        <v/>
      </c>
      <c r="D17" s="7" t="str">
        <f aca="false">IF(A17="","",IF(C17="","결석",IF(IFERROR(INDEX($S$3:$S$102,MATCH(A17,$Q$3:$Q$102,0)),"")="비경쟁","비경쟁 응시","응시")))</f>
        <v/>
      </c>
      <c r="E17" s="7" t="str">
        <f aca="false">IF(A17="","",IF(COUNTIF($Q$3:$Q$102,A17)&gt;1,"중복! 확인",""))</f>
        <v/>
      </c>
      <c r="L17" s="8"/>
      <c r="M17" s="8"/>
      <c r="N17" s="8"/>
      <c r="O17" s="8"/>
      <c r="Q17" s="0" t="str">
        <f aca="false">IF(UPPER(TRIM(L17&amp;""))="","",IF(RIGHT(UPPER(TRIM(L17&amp;"")),2)="-N",TRIM(LEFT(UPPER(TRIM(L17&amp;"")),LEN(UPPER(TRIM(L17&amp;"")))-2)),UPPER(TRIM(L17&amp;""))))</f>
        <v/>
      </c>
      <c r="R17" s="0" t="str">
        <f aca="false">IF(Q17="","",IF(ISNUMBER(O17),ROUND(O17,1),IF(AND(ISNUMBER(M17),ISNUMBER(N17)),IF(N17&gt;0,ROUND(M17/N17*100,1),""),"")))</f>
        <v/>
      </c>
      <c r="S17" s="0" t="str">
        <f aca="false">IF(Q17="","",IF(RIGHT(UPPER(TRIM(L17&amp;"")),2)="-N","비경쟁",""))</f>
        <v/>
      </c>
      <c r="T17" s="0" t="str">
        <f aca="false">IF(Q17="","",IF(COUNTIF(참가자!$A$3:$A$52,Q17)=0,"명단에 없는 코드",""))</f>
        <v/>
      </c>
    </row>
    <row r="18" customFormat="false" ht="15" hidden="false" customHeight="false" outlineLevel="0" collapsed="false">
      <c r="A18" s="7" t="str">
        <f aca="false">IF(참가자!A18="","",UPPER(TRIM(참가자!A18)))</f>
        <v/>
      </c>
      <c r="B18" s="7" t="str">
        <f aca="false">IF(A18="","",IF(참가자!B18="","(팀 없음)",TRIM(참가자!B18)))</f>
        <v/>
      </c>
      <c r="C18" s="7" t="str">
        <f aca="false">IF(A18="","",IFERROR(INDEX($R$3:$R$102,MATCH(A18,$Q$3:$Q$102,0)),""))</f>
        <v/>
      </c>
      <c r="D18" s="7" t="str">
        <f aca="false">IF(A18="","",IF(C18="","결석",IF(IFERROR(INDEX($S$3:$S$102,MATCH(A18,$Q$3:$Q$102,0)),"")="비경쟁","비경쟁 응시","응시")))</f>
        <v/>
      </c>
      <c r="E18" s="7" t="str">
        <f aca="false">IF(A18="","",IF(COUNTIF($Q$3:$Q$102,A18)&gt;1,"중복! 확인",""))</f>
        <v/>
      </c>
      <c r="L18" s="8"/>
      <c r="M18" s="8"/>
      <c r="N18" s="8"/>
      <c r="O18" s="8"/>
      <c r="Q18" s="0" t="str">
        <f aca="false">IF(UPPER(TRIM(L18&amp;""))="","",IF(RIGHT(UPPER(TRIM(L18&amp;"")),2)="-N",TRIM(LEFT(UPPER(TRIM(L18&amp;"")),LEN(UPPER(TRIM(L18&amp;"")))-2)),UPPER(TRIM(L18&amp;""))))</f>
        <v/>
      </c>
      <c r="R18" s="0" t="str">
        <f aca="false">IF(Q18="","",IF(ISNUMBER(O18),ROUND(O18,1),IF(AND(ISNUMBER(M18),ISNUMBER(N18)),IF(N18&gt;0,ROUND(M18/N18*100,1),""),"")))</f>
        <v/>
      </c>
      <c r="S18" s="0" t="str">
        <f aca="false">IF(Q18="","",IF(RIGHT(UPPER(TRIM(L18&amp;"")),2)="-N","비경쟁",""))</f>
        <v/>
      </c>
      <c r="T18" s="0" t="str">
        <f aca="false">IF(Q18="","",IF(COUNTIF(참가자!$A$3:$A$52,Q18)=0,"명단에 없는 코드",""))</f>
        <v/>
      </c>
    </row>
    <row r="19" customFormat="false" ht="15" hidden="false" customHeight="false" outlineLevel="0" collapsed="false">
      <c r="A19" s="7" t="str">
        <f aca="false">IF(참가자!A19="","",UPPER(TRIM(참가자!A19)))</f>
        <v/>
      </c>
      <c r="B19" s="7" t="str">
        <f aca="false">IF(A19="","",IF(참가자!B19="","(팀 없음)",TRIM(참가자!B19)))</f>
        <v/>
      </c>
      <c r="C19" s="7" t="str">
        <f aca="false">IF(A19="","",IFERROR(INDEX($R$3:$R$102,MATCH(A19,$Q$3:$Q$102,0)),""))</f>
        <v/>
      </c>
      <c r="D19" s="7" t="str">
        <f aca="false">IF(A19="","",IF(C19="","결석",IF(IFERROR(INDEX($S$3:$S$102,MATCH(A19,$Q$3:$Q$102,0)),"")="비경쟁","비경쟁 응시","응시")))</f>
        <v/>
      </c>
      <c r="E19" s="7" t="str">
        <f aca="false">IF(A19="","",IF(COUNTIF($Q$3:$Q$102,A19)&gt;1,"중복! 확인",""))</f>
        <v/>
      </c>
      <c r="L19" s="8"/>
      <c r="M19" s="8"/>
      <c r="N19" s="8"/>
      <c r="O19" s="8"/>
      <c r="Q19" s="0" t="str">
        <f aca="false">IF(UPPER(TRIM(L19&amp;""))="","",IF(RIGHT(UPPER(TRIM(L19&amp;"")),2)="-N",TRIM(LEFT(UPPER(TRIM(L19&amp;"")),LEN(UPPER(TRIM(L19&amp;"")))-2)),UPPER(TRIM(L19&amp;""))))</f>
        <v/>
      </c>
      <c r="R19" s="0" t="str">
        <f aca="false">IF(Q19="","",IF(ISNUMBER(O19),ROUND(O19,1),IF(AND(ISNUMBER(M19),ISNUMBER(N19)),IF(N19&gt;0,ROUND(M19/N19*100,1),""),"")))</f>
        <v/>
      </c>
      <c r="S19" s="0" t="str">
        <f aca="false">IF(Q19="","",IF(RIGHT(UPPER(TRIM(L19&amp;"")),2)="-N","비경쟁",""))</f>
        <v/>
      </c>
      <c r="T19" s="0" t="str">
        <f aca="false">IF(Q19="","",IF(COUNTIF(참가자!$A$3:$A$52,Q19)=0,"명단에 없는 코드",""))</f>
        <v/>
      </c>
    </row>
    <row r="20" customFormat="false" ht="15" hidden="false" customHeight="false" outlineLevel="0" collapsed="false">
      <c r="A20" s="7" t="str">
        <f aca="false">IF(참가자!A20="","",UPPER(TRIM(참가자!A20)))</f>
        <v/>
      </c>
      <c r="B20" s="7" t="str">
        <f aca="false">IF(A20="","",IF(참가자!B20="","(팀 없음)",TRIM(참가자!B20)))</f>
        <v/>
      </c>
      <c r="C20" s="7" t="str">
        <f aca="false">IF(A20="","",IFERROR(INDEX($R$3:$R$102,MATCH(A20,$Q$3:$Q$102,0)),""))</f>
        <v/>
      </c>
      <c r="D20" s="7" t="str">
        <f aca="false">IF(A20="","",IF(C20="","결석",IF(IFERROR(INDEX($S$3:$S$102,MATCH(A20,$Q$3:$Q$102,0)),"")="비경쟁","비경쟁 응시","응시")))</f>
        <v/>
      </c>
      <c r="E20" s="7" t="str">
        <f aca="false">IF(A20="","",IF(COUNTIF($Q$3:$Q$102,A20)&gt;1,"중복! 확인",""))</f>
        <v/>
      </c>
      <c r="L20" s="8"/>
      <c r="M20" s="8"/>
      <c r="N20" s="8"/>
      <c r="O20" s="8"/>
      <c r="Q20" s="0" t="str">
        <f aca="false">IF(UPPER(TRIM(L20&amp;""))="","",IF(RIGHT(UPPER(TRIM(L20&amp;"")),2)="-N",TRIM(LEFT(UPPER(TRIM(L20&amp;"")),LEN(UPPER(TRIM(L20&amp;"")))-2)),UPPER(TRIM(L20&amp;""))))</f>
        <v/>
      </c>
      <c r="R20" s="0" t="str">
        <f aca="false">IF(Q20="","",IF(ISNUMBER(O20),ROUND(O20,1),IF(AND(ISNUMBER(M20),ISNUMBER(N20)),IF(N20&gt;0,ROUND(M20/N20*100,1),""),"")))</f>
        <v/>
      </c>
      <c r="S20" s="0" t="str">
        <f aca="false">IF(Q20="","",IF(RIGHT(UPPER(TRIM(L20&amp;"")),2)="-N","비경쟁",""))</f>
        <v/>
      </c>
      <c r="T20" s="0" t="str">
        <f aca="false">IF(Q20="","",IF(COUNTIF(참가자!$A$3:$A$52,Q20)=0,"명단에 없는 코드",""))</f>
        <v/>
      </c>
    </row>
    <row r="21" customFormat="false" ht="15" hidden="false" customHeight="false" outlineLevel="0" collapsed="false">
      <c r="A21" s="7" t="str">
        <f aca="false">IF(참가자!A21="","",UPPER(TRIM(참가자!A21)))</f>
        <v/>
      </c>
      <c r="B21" s="7" t="str">
        <f aca="false">IF(A21="","",IF(참가자!B21="","(팀 없음)",TRIM(참가자!B21)))</f>
        <v/>
      </c>
      <c r="C21" s="7" t="str">
        <f aca="false">IF(A21="","",IFERROR(INDEX($R$3:$R$102,MATCH(A21,$Q$3:$Q$102,0)),""))</f>
        <v/>
      </c>
      <c r="D21" s="7" t="str">
        <f aca="false">IF(A21="","",IF(C21="","결석",IF(IFERROR(INDEX($S$3:$S$102,MATCH(A21,$Q$3:$Q$102,0)),"")="비경쟁","비경쟁 응시","응시")))</f>
        <v/>
      </c>
      <c r="E21" s="7" t="str">
        <f aca="false">IF(A21="","",IF(COUNTIF($Q$3:$Q$102,A21)&gt;1,"중복! 확인",""))</f>
        <v/>
      </c>
      <c r="L21" s="8"/>
      <c r="M21" s="8"/>
      <c r="N21" s="8"/>
      <c r="O21" s="8"/>
      <c r="Q21" s="0" t="str">
        <f aca="false">IF(UPPER(TRIM(L21&amp;""))="","",IF(RIGHT(UPPER(TRIM(L21&amp;"")),2)="-N",TRIM(LEFT(UPPER(TRIM(L21&amp;"")),LEN(UPPER(TRIM(L21&amp;"")))-2)),UPPER(TRIM(L21&amp;""))))</f>
        <v/>
      </c>
      <c r="R21" s="0" t="str">
        <f aca="false">IF(Q21="","",IF(ISNUMBER(O21),ROUND(O21,1),IF(AND(ISNUMBER(M21),ISNUMBER(N21)),IF(N21&gt;0,ROUND(M21/N21*100,1),""),"")))</f>
        <v/>
      </c>
      <c r="S21" s="0" t="str">
        <f aca="false">IF(Q21="","",IF(RIGHT(UPPER(TRIM(L21&amp;"")),2)="-N","비경쟁",""))</f>
        <v/>
      </c>
      <c r="T21" s="0" t="str">
        <f aca="false">IF(Q21="","",IF(COUNTIF(참가자!$A$3:$A$52,Q21)=0,"명단에 없는 코드",""))</f>
        <v/>
      </c>
    </row>
    <row r="22" customFormat="false" ht="15" hidden="false" customHeight="false" outlineLevel="0" collapsed="false">
      <c r="A22" s="7" t="str">
        <f aca="false">IF(참가자!A22="","",UPPER(TRIM(참가자!A22)))</f>
        <v/>
      </c>
      <c r="B22" s="7" t="str">
        <f aca="false">IF(A22="","",IF(참가자!B22="","(팀 없음)",TRIM(참가자!B22)))</f>
        <v/>
      </c>
      <c r="C22" s="7" t="str">
        <f aca="false">IF(A22="","",IFERROR(INDEX($R$3:$R$102,MATCH(A22,$Q$3:$Q$102,0)),""))</f>
        <v/>
      </c>
      <c r="D22" s="7" t="str">
        <f aca="false">IF(A22="","",IF(C22="","결석",IF(IFERROR(INDEX($S$3:$S$102,MATCH(A22,$Q$3:$Q$102,0)),"")="비경쟁","비경쟁 응시","응시")))</f>
        <v/>
      </c>
      <c r="E22" s="7" t="str">
        <f aca="false">IF(A22="","",IF(COUNTIF($Q$3:$Q$102,A22)&gt;1,"중복! 확인",""))</f>
        <v/>
      </c>
      <c r="L22" s="8"/>
      <c r="M22" s="8"/>
      <c r="N22" s="8"/>
      <c r="O22" s="8"/>
      <c r="Q22" s="0" t="str">
        <f aca="false">IF(UPPER(TRIM(L22&amp;""))="","",IF(RIGHT(UPPER(TRIM(L22&amp;"")),2)="-N",TRIM(LEFT(UPPER(TRIM(L22&amp;"")),LEN(UPPER(TRIM(L22&amp;"")))-2)),UPPER(TRIM(L22&amp;""))))</f>
        <v/>
      </c>
      <c r="R22" s="0" t="str">
        <f aca="false">IF(Q22="","",IF(ISNUMBER(O22),ROUND(O22,1),IF(AND(ISNUMBER(M22),ISNUMBER(N22)),IF(N22&gt;0,ROUND(M22/N22*100,1),""),"")))</f>
        <v/>
      </c>
      <c r="S22" s="0" t="str">
        <f aca="false">IF(Q22="","",IF(RIGHT(UPPER(TRIM(L22&amp;"")),2)="-N","비경쟁",""))</f>
        <v/>
      </c>
      <c r="T22" s="0" t="str">
        <f aca="false">IF(Q22="","",IF(COUNTIF(참가자!$A$3:$A$52,Q22)=0,"명단에 없는 코드",""))</f>
        <v/>
      </c>
    </row>
    <row r="23" customFormat="false" ht="15" hidden="false" customHeight="false" outlineLevel="0" collapsed="false">
      <c r="A23" s="7" t="str">
        <f aca="false">IF(참가자!A23="","",UPPER(TRIM(참가자!A23)))</f>
        <v/>
      </c>
      <c r="B23" s="7" t="str">
        <f aca="false">IF(A23="","",IF(참가자!B23="","(팀 없음)",TRIM(참가자!B23)))</f>
        <v/>
      </c>
      <c r="C23" s="7" t="str">
        <f aca="false">IF(A23="","",IFERROR(INDEX($R$3:$R$102,MATCH(A23,$Q$3:$Q$102,0)),""))</f>
        <v/>
      </c>
      <c r="D23" s="7" t="str">
        <f aca="false">IF(A23="","",IF(C23="","결석",IF(IFERROR(INDEX($S$3:$S$102,MATCH(A23,$Q$3:$Q$102,0)),"")="비경쟁","비경쟁 응시","응시")))</f>
        <v/>
      </c>
      <c r="E23" s="7" t="str">
        <f aca="false">IF(A23="","",IF(COUNTIF($Q$3:$Q$102,A23)&gt;1,"중복! 확인",""))</f>
        <v/>
      </c>
      <c r="L23" s="8"/>
      <c r="M23" s="8"/>
      <c r="N23" s="8"/>
      <c r="O23" s="8"/>
      <c r="Q23" s="0" t="str">
        <f aca="false">IF(UPPER(TRIM(L23&amp;""))="","",IF(RIGHT(UPPER(TRIM(L23&amp;"")),2)="-N",TRIM(LEFT(UPPER(TRIM(L23&amp;"")),LEN(UPPER(TRIM(L23&amp;"")))-2)),UPPER(TRIM(L23&amp;""))))</f>
        <v/>
      </c>
      <c r="R23" s="0" t="str">
        <f aca="false">IF(Q23="","",IF(ISNUMBER(O23),ROUND(O23,1),IF(AND(ISNUMBER(M23),ISNUMBER(N23)),IF(N23&gt;0,ROUND(M23/N23*100,1),""),"")))</f>
        <v/>
      </c>
      <c r="S23" s="0" t="str">
        <f aca="false">IF(Q23="","",IF(RIGHT(UPPER(TRIM(L23&amp;"")),2)="-N","비경쟁",""))</f>
        <v/>
      </c>
      <c r="T23" s="0" t="str">
        <f aca="false">IF(Q23="","",IF(COUNTIF(참가자!$A$3:$A$52,Q23)=0,"명단에 없는 코드",""))</f>
        <v/>
      </c>
    </row>
    <row r="24" customFormat="false" ht="15" hidden="false" customHeight="false" outlineLevel="0" collapsed="false">
      <c r="A24" s="7" t="str">
        <f aca="false">IF(참가자!A24="","",UPPER(TRIM(참가자!A24)))</f>
        <v/>
      </c>
      <c r="B24" s="7" t="str">
        <f aca="false">IF(A24="","",IF(참가자!B24="","(팀 없음)",TRIM(참가자!B24)))</f>
        <v/>
      </c>
      <c r="C24" s="7" t="str">
        <f aca="false">IF(A24="","",IFERROR(INDEX($R$3:$R$102,MATCH(A24,$Q$3:$Q$102,0)),""))</f>
        <v/>
      </c>
      <c r="D24" s="7" t="str">
        <f aca="false">IF(A24="","",IF(C24="","결석",IF(IFERROR(INDEX($S$3:$S$102,MATCH(A24,$Q$3:$Q$102,0)),"")="비경쟁","비경쟁 응시","응시")))</f>
        <v/>
      </c>
      <c r="E24" s="7" t="str">
        <f aca="false">IF(A24="","",IF(COUNTIF($Q$3:$Q$102,A24)&gt;1,"중복! 확인",""))</f>
        <v/>
      </c>
      <c r="L24" s="8"/>
      <c r="M24" s="8"/>
      <c r="N24" s="8"/>
      <c r="O24" s="8"/>
      <c r="Q24" s="0" t="str">
        <f aca="false">IF(UPPER(TRIM(L24&amp;""))="","",IF(RIGHT(UPPER(TRIM(L24&amp;"")),2)="-N",TRIM(LEFT(UPPER(TRIM(L24&amp;"")),LEN(UPPER(TRIM(L24&amp;"")))-2)),UPPER(TRIM(L24&amp;""))))</f>
        <v/>
      </c>
      <c r="R24" s="0" t="str">
        <f aca="false">IF(Q24="","",IF(ISNUMBER(O24),ROUND(O24,1),IF(AND(ISNUMBER(M24),ISNUMBER(N24)),IF(N24&gt;0,ROUND(M24/N24*100,1),""),"")))</f>
        <v/>
      </c>
      <c r="S24" s="0" t="str">
        <f aca="false">IF(Q24="","",IF(RIGHT(UPPER(TRIM(L24&amp;"")),2)="-N","비경쟁",""))</f>
        <v/>
      </c>
      <c r="T24" s="0" t="str">
        <f aca="false">IF(Q24="","",IF(COUNTIF(참가자!$A$3:$A$52,Q24)=0,"명단에 없는 코드",""))</f>
        <v/>
      </c>
    </row>
    <row r="25" customFormat="false" ht="15" hidden="false" customHeight="false" outlineLevel="0" collapsed="false">
      <c r="A25" s="7" t="str">
        <f aca="false">IF(참가자!A25="","",UPPER(TRIM(참가자!A25)))</f>
        <v/>
      </c>
      <c r="B25" s="7" t="str">
        <f aca="false">IF(A25="","",IF(참가자!B25="","(팀 없음)",TRIM(참가자!B25)))</f>
        <v/>
      </c>
      <c r="C25" s="7" t="str">
        <f aca="false">IF(A25="","",IFERROR(INDEX($R$3:$R$102,MATCH(A25,$Q$3:$Q$102,0)),""))</f>
        <v/>
      </c>
      <c r="D25" s="7" t="str">
        <f aca="false">IF(A25="","",IF(C25="","결석",IF(IFERROR(INDEX($S$3:$S$102,MATCH(A25,$Q$3:$Q$102,0)),"")="비경쟁","비경쟁 응시","응시")))</f>
        <v/>
      </c>
      <c r="E25" s="7" t="str">
        <f aca="false">IF(A25="","",IF(COUNTIF($Q$3:$Q$102,A25)&gt;1,"중복! 확인",""))</f>
        <v/>
      </c>
      <c r="L25" s="8"/>
      <c r="M25" s="8"/>
      <c r="N25" s="8"/>
      <c r="O25" s="8"/>
      <c r="Q25" s="0" t="str">
        <f aca="false">IF(UPPER(TRIM(L25&amp;""))="","",IF(RIGHT(UPPER(TRIM(L25&amp;"")),2)="-N",TRIM(LEFT(UPPER(TRIM(L25&amp;"")),LEN(UPPER(TRIM(L25&amp;"")))-2)),UPPER(TRIM(L25&amp;""))))</f>
        <v/>
      </c>
      <c r="R25" s="0" t="str">
        <f aca="false">IF(Q25="","",IF(ISNUMBER(O25),ROUND(O25,1),IF(AND(ISNUMBER(M25),ISNUMBER(N25)),IF(N25&gt;0,ROUND(M25/N25*100,1),""),"")))</f>
        <v/>
      </c>
      <c r="S25" s="0" t="str">
        <f aca="false">IF(Q25="","",IF(RIGHT(UPPER(TRIM(L25&amp;"")),2)="-N","비경쟁",""))</f>
        <v/>
      </c>
      <c r="T25" s="0" t="str">
        <f aca="false">IF(Q25="","",IF(COUNTIF(참가자!$A$3:$A$52,Q25)=0,"명단에 없는 코드",""))</f>
        <v/>
      </c>
    </row>
    <row r="26" customFormat="false" ht="15" hidden="false" customHeight="false" outlineLevel="0" collapsed="false">
      <c r="A26" s="7" t="str">
        <f aca="false">IF(참가자!A26="","",UPPER(TRIM(참가자!A26)))</f>
        <v/>
      </c>
      <c r="B26" s="7" t="str">
        <f aca="false">IF(A26="","",IF(참가자!B26="","(팀 없음)",TRIM(참가자!B26)))</f>
        <v/>
      </c>
      <c r="C26" s="7" t="str">
        <f aca="false">IF(A26="","",IFERROR(INDEX($R$3:$R$102,MATCH(A26,$Q$3:$Q$102,0)),""))</f>
        <v/>
      </c>
      <c r="D26" s="7" t="str">
        <f aca="false">IF(A26="","",IF(C26="","결석",IF(IFERROR(INDEX($S$3:$S$102,MATCH(A26,$Q$3:$Q$102,0)),"")="비경쟁","비경쟁 응시","응시")))</f>
        <v/>
      </c>
      <c r="E26" s="7" t="str">
        <f aca="false">IF(A26="","",IF(COUNTIF($Q$3:$Q$102,A26)&gt;1,"중복! 확인",""))</f>
        <v/>
      </c>
      <c r="L26" s="8"/>
      <c r="M26" s="8"/>
      <c r="N26" s="8"/>
      <c r="O26" s="8"/>
      <c r="Q26" s="0" t="str">
        <f aca="false">IF(UPPER(TRIM(L26&amp;""))="","",IF(RIGHT(UPPER(TRIM(L26&amp;"")),2)="-N",TRIM(LEFT(UPPER(TRIM(L26&amp;"")),LEN(UPPER(TRIM(L26&amp;"")))-2)),UPPER(TRIM(L26&amp;""))))</f>
        <v/>
      </c>
      <c r="R26" s="0" t="str">
        <f aca="false">IF(Q26="","",IF(ISNUMBER(O26),ROUND(O26,1),IF(AND(ISNUMBER(M26),ISNUMBER(N26)),IF(N26&gt;0,ROUND(M26/N26*100,1),""),"")))</f>
        <v/>
      </c>
      <c r="S26" s="0" t="str">
        <f aca="false">IF(Q26="","",IF(RIGHT(UPPER(TRIM(L26&amp;"")),2)="-N","비경쟁",""))</f>
        <v/>
      </c>
      <c r="T26" s="0" t="str">
        <f aca="false">IF(Q26="","",IF(COUNTIF(참가자!$A$3:$A$52,Q26)=0,"명단에 없는 코드",""))</f>
        <v/>
      </c>
    </row>
    <row r="27" customFormat="false" ht="15" hidden="false" customHeight="false" outlineLevel="0" collapsed="false">
      <c r="A27" s="7" t="str">
        <f aca="false">IF(참가자!A27="","",UPPER(TRIM(참가자!A27)))</f>
        <v/>
      </c>
      <c r="B27" s="7" t="str">
        <f aca="false">IF(A27="","",IF(참가자!B27="","(팀 없음)",TRIM(참가자!B27)))</f>
        <v/>
      </c>
      <c r="C27" s="7" t="str">
        <f aca="false">IF(A27="","",IFERROR(INDEX($R$3:$R$102,MATCH(A27,$Q$3:$Q$102,0)),""))</f>
        <v/>
      </c>
      <c r="D27" s="7" t="str">
        <f aca="false">IF(A27="","",IF(C27="","결석",IF(IFERROR(INDEX($S$3:$S$102,MATCH(A27,$Q$3:$Q$102,0)),"")="비경쟁","비경쟁 응시","응시")))</f>
        <v/>
      </c>
      <c r="E27" s="7" t="str">
        <f aca="false">IF(A27="","",IF(COUNTIF($Q$3:$Q$102,A27)&gt;1,"중복! 확인",""))</f>
        <v/>
      </c>
      <c r="L27" s="8"/>
      <c r="M27" s="8"/>
      <c r="N27" s="8"/>
      <c r="O27" s="8"/>
      <c r="Q27" s="0" t="str">
        <f aca="false">IF(UPPER(TRIM(L27&amp;""))="","",IF(RIGHT(UPPER(TRIM(L27&amp;"")),2)="-N",TRIM(LEFT(UPPER(TRIM(L27&amp;"")),LEN(UPPER(TRIM(L27&amp;"")))-2)),UPPER(TRIM(L27&amp;""))))</f>
        <v/>
      </c>
      <c r="R27" s="0" t="str">
        <f aca="false">IF(Q27="","",IF(ISNUMBER(O27),ROUND(O27,1),IF(AND(ISNUMBER(M27),ISNUMBER(N27)),IF(N27&gt;0,ROUND(M27/N27*100,1),""),"")))</f>
        <v/>
      </c>
      <c r="S27" s="0" t="str">
        <f aca="false">IF(Q27="","",IF(RIGHT(UPPER(TRIM(L27&amp;"")),2)="-N","비경쟁",""))</f>
        <v/>
      </c>
      <c r="T27" s="0" t="str">
        <f aca="false">IF(Q27="","",IF(COUNTIF(참가자!$A$3:$A$52,Q27)=0,"명단에 없는 코드",""))</f>
        <v/>
      </c>
    </row>
    <row r="28" customFormat="false" ht="15" hidden="false" customHeight="false" outlineLevel="0" collapsed="false">
      <c r="A28" s="7" t="str">
        <f aca="false">IF(참가자!A28="","",UPPER(TRIM(참가자!A28)))</f>
        <v/>
      </c>
      <c r="B28" s="7" t="str">
        <f aca="false">IF(A28="","",IF(참가자!B28="","(팀 없음)",TRIM(참가자!B28)))</f>
        <v/>
      </c>
      <c r="C28" s="7" t="str">
        <f aca="false">IF(A28="","",IFERROR(INDEX($R$3:$R$102,MATCH(A28,$Q$3:$Q$102,0)),""))</f>
        <v/>
      </c>
      <c r="D28" s="7" t="str">
        <f aca="false">IF(A28="","",IF(C28="","결석",IF(IFERROR(INDEX($S$3:$S$102,MATCH(A28,$Q$3:$Q$102,0)),"")="비경쟁","비경쟁 응시","응시")))</f>
        <v/>
      </c>
      <c r="E28" s="7" t="str">
        <f aca="false">IF(A28="","",IF(COUNTIF($Q$3:$Q$102,A28)&gt;1,"중복! 확인",""))</f>
        <v/>
      </c>
      <c r="L28" s="8"/>
      <c r="M28" s="8"/>
      <c r="N28" s="8"/>
      <c r="O28" s="8"/>
      <c r="Q28" s="0" t="str">
        <f aca="false">IF(UPPER(TRIM(L28&amp;""))="","",IF(RIGHT(UPPER(TRIM(L28&amp;"")),2)="-N",TRIM(LEFT(UPPER(TRIM(L28&amp;"")),LEN(UPPER(TRIM(L28&amp;"")))-2)),UPPER(TRIM(L28&amp;""))))</f>
        <v/>
      </c>
      <c r="R28" s="0" t="str">
        <f aca="false">IF(Q28="","",IF(ISNUMBER(O28),ROUND(O28,1),IF(AND(ISNUMBER(M28),ISNUMBER(N28)),IF(N28&gt;0,ROUND(M28/N28*100,1),""),"")))</f>
        <v/>
      </c>
      <c r="S28" s="0" t="str">
        <f aca="false">IF(Q28="","",IF(RIGHT(UPPER(TRIM(L28&amp;"")),2)="-N","비경쟁",""))</f>
        <v/>
      </c>
      <c r="T28" s="0" t="str">
        <f aca="false">IF(Q28="","",IF(COUNTIF(참가자!$A$3:$A$52,Q28)=0,"명단에 없는 코드",""))</f>
        <v/>
      </c>
    </row>
    <row r="29" customFormat="false" ht="15" hidden="false" customHeight="false" outlineLevel="0" collapsed="false">
      <c r="A29" s="7" t="str">
        <f aca="false">IF(참가자!A29="","",UPPER(TRIM(참가자!A29)))</f>
        <v/>
      </c>
      <c r="B29" s="7" t="str">
        <f aca="false">IF(A29="","",IF(참가자!B29="","(팀 없음)",TRIM(참가자!B29)))</f>
        <v/>
      </c>
      <c r="C29" s="7" t="str">
        <f aca="false">IF(A29="","",IFERROR(INDEX($R$3:$R$102,MATCH(A29,$Q$3:$Q$102,0)),""))</f>
        <v/>
      </c>
      <c r="D29" s="7" t="str">
        <f aca="false">IF(A29="","",IF(C29="","결석",IF(IFERROR(INDEX($S$3:$S$102,MATCH(A29,$Q$3:$Q$102,0)),"")="비경쟁","비경쟁 응시","응시")))</f>
        <v/>
      </c>
      <c r="E29" s="7" t="str">
        <f aca="false">IF(A29="","",IF(COUNTIF($Q$3:$Q$102,A29)&gt;1,"중복! 확인",""))</f>
        <v/>
      </c>
      <c r="L29" s="8"/>
      <c r="M29" s="8"/>
      <c r="N29" s="8"/>
      <c r="O29" s="8"/>
      <c r="Q29" s="0" t="str">
        <f aca="false">IF(UPPER(TRIM(L29&amp;""))="","",IF(RIGHT(UPPER(TRIM(L29&amp;"")),2)="-N",TRIM(LEFT(UPPER(TRIM(L29&amp;"")),LEN(UPPER(TRIM(L29&amp;"")))-2)),UPPER(TRIM(L29&amp;""))))</f>
        <v/>
      </c>
      <c r="R29" s="0" t="str">
        <f aca="false">IF(Q29="","",IF(ISNUMBER(O29),ROUND(O29,1),IF(AND(ISNUMBER(M29),ISNUMBER(N29)),IF(N29&gt;0,ROUND(M29/N29*100,1),""),"")))</f>
        <v/>
      </c>
      <c r="S29" s="0" t="str">
        <f aca="false">IF(Q29="","",IF(RIGHT(UPPER(TRIM(L29&amp;"")),2)="-N","비경쟁",""))</f>
        <v/>
      </c>
      <c r="T29" s="0" t="str">
        <f aca="false">IF(Q29="","",IF(COUNTIF(참가자!$A$3:$A$52,Q29)=0,"명단에 없는 코드",""))</f>
        <v/>
      </c>
    </row>
    <row r="30" customFormat="false" ht="15" hidden="false" customHeight="false" outlineLevel="0" collapsed="false">
      <c r="A30" s="7" t="str">
        <f aca="false">IF(참가자!A30="","",UPPER(TRIM(참가자!A30)))</f>
        <v/>
      </c>
      <c r="B30" s="7" t="str">
        <f aca="false">IF(A30="","",IF(참가자!B30="","(팀 없음)",TRIM(참가자!B30)))</f>
        <v/>
      </c>
      <c r="C30" s="7" t="str">
        <f aca="false">IF(A30="","",IFERROR(INDEX($R$3:$R$102,MATCH(A30,$Q$3:$Q$102,0)),""))</f>
        <v/>
      </c>
      <c r="D30" s="7" t="str">
        <f aca="false">IF(A30="","",IF(C30="","결석",IF(IFERROR(INDEX($S$3:$S$102,MATCH(A30,$Q$3:$Q$102,0)),"")="비경쟁","비경쟁 응시","응시")))</f>
        <v/>
      </c>
      <c r="E30" s="7" t="str">
        <f aca="false">IF(A30="","",IF(COUNTIF($Q$3:$Q$102,A30)&gt;1,"중복! 확인",""))</f>
        <v/>
      </c>
      <c r="L30" s="8"/>
      <c r="M30" s="8"/>
      <c r="N30" s="8"/>
      <c r="O30" s="8"/>
      <c r="Q30" s="0" t="str">
        <f aca="false">IF(UPPER(TRIM(L30&amp;""))="","",IF(RIGHT(UPPER(TRIM(L30&amp;"")),2)="-N",TRIM(LEFT(UPPER(TRIM(L30&amp;"")),LEN(UPPER(TRIM(L30&amp;"")))-2)),UPPER(TRIM(L30&amp;""))))</f>
        <v/>
      </c>
      <c r="R30" s="0" t="str">
        <f aca="false">IF(Q30="","",IF(ISNUMBER(O30),ROUND(O30,1),IF(AND(ISNUMBER(M30),ISNUMBER(N30)),IF(N30&gt;0,ROUND(M30/N30*100,1),""),"")))</f>
        <v/>
      </c>
      <c r="S30" s="0" t="str">
        <f aca="false">IF(Q30="","",IF(RIGHT(UPPER(TRIM(L30&amp;"")),2)="-N","비경쟁",""))</f>
        <v/>
      </c>
      <c r="T30" s="0" t="str">
        <f aca="false">IF(Q30="","",IF(COUNTIF(참가자!$A$3:$A$52,Q30)=0,"명단에 없는 코드",""))</f>
        <v/>
      </c>
    </row>
    <row r="31" customFormat="false" ht="15" hidden="false" customHeight="false" outlineLevel="0" collapsed="false">
      <c r="A31" s="7" t="str">
        <f aca="false">IF(참가자!A31="","",UPPER(TRIM(참가자!A31)))</f>
        <v/>
      </c>
      <c r="B31" s="7" t="str">
        <f aca="false">IF(A31="","",IF(참가자!B31="","(팀 없음)",TRIM(참가자!B31)))</f>
        <v/>
      </c>
      <c r="C31" s="7" t="str">
        <f aca="false">IF(A31="","",IFERROR(INDEX($R$3:$R$102,MATCH(A31,$Q$3:$Q$102,0)),""))</f>
        <v/>
      </c>
      <c r="D31" s="7" t="str">
        <f aca="false">IF(A31="","",IF(C31="","결석",IF(IFERROR(INDEX($S$3:$S$102,MATCH(A31,$Q$3:$Q$102,0)),"")="비경쟁","비경쟁 응시","응시")))</f>
        <v/>
      </c>
      <c r="E31" s="7" t="str">
        <f aca="false">IF(A31="","",IF(COUNTIF($Q$3:$Q$102,A31)&gt;1,"중복! 확인",""))</f>
        <v/>
      </c>
      <c r="L31" s="8"/>
      <c r="M31" s="8"/>
      <c r="N31" s="8"/>
      <c r="O31" s="8"/>
      <c r="Q31" s="0" t="str">
        <f aca="false">IF(UPPER(TRIM(L31&amp;""))="","",IF(RIGHT(UPPER(TRIM(L31&amp;"")),2)="-N",TRIM(LEFT(UPPER(TRIM(L31&amp;"")),LEN(UPPER(TRIM(L31&amp;"")))-2)),UPPER(TRIM(L31&amp;""))))</f>
        <v/>
      </c>
      <c r="R31" s="0" t="str">
        <f aca="false">IF(Q31="","",IF(ISNUMBER(O31),ROUND(O31,1),IF(AND(ISNUMBER(M31),ISNUMBER(N31)),IF(N31&gt;0,ROUND(M31/N31*100,1),""),"")))</f>
        <v/>
      </c>
      <c r="S31" s="0" t="str">
        <f aca="false">IF(Q31="","",IF(RIGHT(UPPER(TRIM(L31&amp;"")),2)="-N","비경쟁",""))</f>
        <v/>
      </c>
      <c r="T31" s="0" t="str">
        <f aca="false">IF(Q31="","",IF(COUNTIF(참가자!$A$3:$A$52,Q31)=0,"명단에 없는 코드",""))</f>
        <v/>
      </c>
    </row>
    <row r="32" customFormat="false" ht="15" hidden="false" customHeight="false" outlineLevel="0" collapsed="false">
      <c r="A32" s="7" t="str">
        <f aca="false">IF(참가자!A32="","",UPPER(TRIM(참가자!A32)))</f>
        <v/>
      </c>
      <c r="B32" s="7" t="str">
        <f aca="false">IF(A32="","",IF(참가자!B32="","(팀 없음)",TRIM(참가자!B32)))</f>
        <v/>
      </c>
      <c r="C32" s="7" t="str">
        <f aca="false">IF(A32="","",IFERROR(INDEX($R$3:$R$102,MATCH(A32,$Q$3:$Q$102,0)),""))</f>
        <v/>
      </c>
      <c r="D32" s="7" t="str">
        <f aca="false">IF(A32="","",IF(C32="","결석",IF(IFERROR(INDEX($S$3:$S$102,MATCH(A32,$Q$3:$Q$102,0)),"")="비경쟁","비경쟁 응시","응시")))</f>
        <v/>
      </c>
      <c r="E32" s="7" t="str">
        <f aca="false">IF(A32="","",IF(COUNTIF($Q$3:$Q$102,A32)&gt;1,"중복! 확인",""))</f>
        <v/>
      </c>
      <c r="L32" s="8"/>
      <c r="M32" s="8"/>
      <c r="N32" s="8"/>
      <c r="O32" s="8"/>
      <c r="Q32" s="0" t="str">
        <f aca="false">IF(UPPER(TRIM(L32&amp;""))="","",IF(RIGHT(UPPER(TRIM(L32&amp;"")),2)="-N",TRIM(LEFT(UPPER(TRIM(L32&amp;"")),LEN(UPPER(TRIM(L32&amp;"")))-2)),UPPER(TRIM(L32&amp;""))))</f>
        <v/>
      </c>
      <c r="R32" s="0" t="str">
        <f aca="false">IF(Q32="","",IF(ISNUMBER(O32),ROUND(O32,1),IF(AND(ISNUMBER(M32),ISNUMBER(N32)),IF(N32&gt;0,ROUND(M32/N32*100,1),""),"")))</f>
        <v/>
      </c>
      <c r="S32" s="0" t="str">
        <f aca="false">IF(Q32="","",IF(RIGHT(UPPER(TRIM(L32&amp;"")),2)="-N","비경쟁",""))</f>
        <v/>
      </c>
      <c r="T32" s="0" t="str">
        <f aca="false">IF(Q32="","",IF(COUNTIF(참가자!$A$3:$A$52,Q32)=0,"명단에 없는 코드",""))</f>
        <v/>
      </c>
    </row>
    <row r="33" customFormat="false" ht="15" hidden="false" customHeight="false" outlineLevel="0" collapsed="false">
      <c r="A33" s="7" t="str">
        <f aca="false">IF(참가자!A33="","",UPPER(TRIM(참가자!A33)))</f>
        <v/>
      </c>
      <c r="B33" s="7" t="str">
        <f aca="false">IF(A33="","",IF(참가자!B33="","(팀 없음)",TRIM(참가자!B33)))</f>
        <v/>
      </c>
      <c r="C33" s="7" t="str">
        <f aca="false">IF(A33="","",IFERROR(INDEX($R$3:$R$102,MATCH(A33,$Q$3:$Q$102,0)),""))</f>
        <v/>
      </c>
      <c r="D33" s="7" t="str">
        <f aca="false">IF(A33="","",IF(C33="","결석",IF(IFERROR(INDEX($S$3:$S$102,MATCH(A33,$Q$3:$Q$102,0)),"")="비경쟁","비경쟁 응시","응시")))</f>
        <v/>
      </c>
      <c r="E33" s="7" t="str">
        <f aca="false">IF(A33="","",IF(COUNTIF($Q$3:$Q$102,A33)&gt;1,"중복! 확인",""))</f>
        <v/>
      </c>
      <c r="L33" s="8"/>
      <c r="M33" s="8"/>
      <c r="N33" s="8"/>
      <c r="O33" s="8"/>
      <c r="Q33" s="0" t="str">
        <f aca="false">IF(UPPER(TRIM(L33&amp;""))="","",IF(RIGHT(UPPER(TRIM(L33&amp;"")),2)="-N",TRIM(LEFT(UPPER(TRIM(L33&amp;"")),LEN(UPPER(TRIM(L33&amp;"")))-2)),UPPER(TRIM(L33&amp;""))))</f>
        <v/>
      </c>
      <c r="R33" s="0" t="str">
        <f aca="false">IF(Q33="","",IF(ISNUMBER(O33),ROUND(O33,1),IF(AND(ISNUMBER(M33),ISNUMBER(N33)),IF(N33&gt;0,ROUND(M33/N33*100,1),""),"")))</f>
        <v/>
      </c>
      <c r="S33" s="0" t="str">
        <f aca="false">IF(Q33="","",IF(RIGHT(UPPER(TRIM(L33&amp;"")),2)="-N","비경쟁",""))</f>
        <v/>
      </c>
      <c r="T33" s="0" t="str">
        <f aca="false">IF(Q33="","",IF(COUNTIF(참가자!$A$3:$A$52,Q33)=0,"명단에 없는 코드",""))</f>
        <v/>
      </c>
    </row>
    <row r="34" customFormat="false" ht="15" hidden="false" customHeight="false" outlineLevel="0" collapsed="false">
      <c r="A34" s="7" t="str">
        <f aca="false">IF(참가자!A34="","",UPPER(TRIM(참가자!A34)))</f>
        <v/>
      </c>
      <c r="B34" s="7" t="str">
        <f aca="false">IF(A34="","",IF(참가자!B34="","(팀 없음)",TRIM(참가자!B34)))</f>
        <v/>
      </c>
      <c r="C34" s="7" t="str">
        <f aca="false">IF(A34="","",IFERROR(INDEX($R$3:$R$102,MATCH(A34,$Q$3:$Q$102,0)),""))</f>
        <v/>
      </c>
      <c r="D34" s="7" t="str">
        <f aca="false">IF(A34="","",IF(C34="","결석",IF(IFERROR(INDEX($S$3:$S$102,MATCH(A34,$Q$3:$Q$102,0)),"")="비경쟁","비경쟁 응시","응시")))</f>
        <v/>
      </c>
      <c r="E34" s="7" t="str">
        <f aca="false">IF(A34="","",IF(COUNTIF($Q$3:$Q$102,A34)&gt;1,"중복! 확인",""))</f>
        <v/>
      </c>
      <c r="L34" s="8"/>
      <c r="M34" s="8"/>
      <c r="N34" s="8"/>
      <c r="O34" s="8"/>
      <c r="Q34" s="0" t="str">
        <f aca="false">IF(UPPER(TRIM(L34&amp;""))="","",IF(RIGHT(UPPER(TRIM(L34&amp;"")),2)="-N",TRIM(LEFT(UPPER(TRIM(L34&amp;"")),LEN(UPPER(TRIM(L34&amp;"")))-2)),UPPER(TRIM(L34&amp;""))))</f>
        <v/>
      </c>
      <c r="R34" s="0" t="str">
        <f aca="false">IF(Q34="","",IF(ISNUMBER(O34),ROUND(O34,1),IF(AND(ISNUMBER(M34),ISNUMBER(N34)),IF(N34&gt;0,ROUND(M34/N34*100,1),""),"")))</f>
        <v/>
      </c>
      <c r="S34" s="0" t="str">
        <f aca="false">IF(Q34="","",IF(RIGHT(UPPER(TRIM(L34&amp;"")),2)="-N","비경쟁",""))</f>
        <v/>
      </c>
      <c r="T34" s="0" t="str">
        <f aca="false">IF(Q34="","",IF(COUNTIF(참가자!$A$3:$A$52,Q34)=0,"명단에 없는 코드",""))</f>
        <v/>
      </c>
    </row>
    <row r="35" customFormat="false" ht="15" hidden="false" customHeight="false" outlineLevel="0" collapsed="false">
      <c r="A35" s="7" t="str">
        <f aca="false">IF(참가자!A35="","",UPPER(TRIM(참가자!A35)))</f>
        <v/>
      </c>
      <c r="B35" s="7" t="str">
        <f aca="false">IF(A35="","",IF(참가자!B35="","(팀 없음)",TRIM(참가자!B35)))</f>
        <v/>
      </c>
      <c r="C35" s="7" t="str">
        <f aca="false">IF(A35="","",IFERROR(INDEX($R$3:$R$102,MATCH(A35,$Q$3:$Q$102,0)),""))</f>
        <v/>
      </c>
      <c r="D35" s="7" t="str">
        <f aca="false">IF(A35="","",IF(C35="","결석",IF(IFERROR(INDEX($S$3:$S$102,MATCH(A35,$Q$3:$Q$102,0)),"")="비경쟁","비경쟁 응시","응시")))</f>
        <v/>
      </c>
      <c r="E35" s="7" t="str">
        <f aca="false">IF(A35="","",IF(COUNTIF($Q$3:$Q$102,A35)&gt;1,"중복! 확인",""))</f>
        <v/>
      </c>
      <c r="L35" s="8"/>
      <c r="M35" s="8"/>
      <c r="N35" s="8"/>
      <c r="O35" s="8"/>
      <c r="Q35" s="0" t="str">
        <f aca="false">IF(UPPER(TRIM(L35&amp;""))="","",IF(RIGHT(UPPER(TRIM(L35&amp;"")),2)="-N",TRIM(LEFT(UPPER(TRIM(L35&amp;"")),LEN(UPPER(TRIM(L35&amp;"")))-2)),UPPER(TRIM(L35&amp;""))))</f>
        <v/>
      </c>
      <c r="R35" s="0" t="str">
        <f aca="false">IF(Q35="","",IF(ISNUMBER(O35),ROUND(O35,1),IF(AND(ISNUMBER(M35),ISNUMBER(N35)),IF(N35&gt;0,ROUND(M35/N35*100,1),""),"")))</f>
        <v/>
      </c>
      <c r="S35" s="0" t="str">
        <f aca="false">IF(Q35="","",IF(RIGHT(UPPER(TRIM(L35&amp;"")),2)="-N","비경쟁",""))</f>
        <v/>
      </c>
      <c r="T35" s="0" t="str">
        <f aca="false">IF(Q35="","",IF(COUNTIF(참가자!$A$3:$A$52,Q35)=0,"명단에 없는 코드",""))</f>
        <v/>
      </c>
    </row>
    <row r="36" customFormat="false" ht="15" hidden="false" customHeight="false" outlineLevel="0" collapsed="false">
      <c r="A36" s="7" t="str">
        <f aca="false">IF(참가자!A36="","",UPPER(TRIM(참가자!A36)))</f>
        <v/>
      </c>
      <c r="B36" s="7" t="str">
        <f aca="false">IF(A36="","",IF(참가자!B36="","(팀 없음)",TRIM(참가자!B36)))</f>
        <v/>
      </c>
      <c r="C36" s="7" t="str">
        <f aca="false">IF(A36="","",IFERROR(INDEX($R$3:$R$102,MATCH(A36,$Q$3:$Q$102,0)),""))</f>
        <v/>
      </c>
      <c r="D36" s="7" t="str">
        <f aca="false">IF(A36="","",IF(C36="","결석",IF(IFERROR(INDEX($S$3:$S$102,MATCH(A36,$Q$3:$Q$102,0)),"")="비경쟁","비경쟁 응시","응시")))</f>
        <v/>
      </c>
      <c r="E36" s="7" t="str">
        <f aca="false">IF(A36="","",IF(COUNTIF($Q$3:$Q$102,A36)&gt;1,"중복! 확인",""))</f>
        <v/>
      </c>
      <c r="L36" s="8"/>
      <c r="M36" s="8"/>
      <c r="N36" s="8"/>
      <c r="O36" s="8"/>
      <c r="Q36" s="0" t="str">
        <f aca="false">IF(UPPER(TRIM(L36&amp;""))="","",IF(RIGHT(UPPER(TRIM(L36&amp;"")),2)="-N",TRIM(LEFT(UPPER(TRIM(L36&amp;"")),LEN(UPPER(TRIM(L36&amp;"")))-2)),UPPER(TRIM(L36&amp;""))))</f>
        <v/>
      </c>
      <c r="R36" s="0" t="str">
        <f aca="false">IF(Q36="","",IF(ISNUMBER(O36),ROUND(O36,1),IF(AND(ISNUMBER(M36),ISNUMBER(N36)),IF(N36&gt;0,ROUND(M36/N36*100,1),""),"")))</f>
        <v/>
      </c>
      <c r="S36" s="0" t="str">
        <f aca="false">IF(Q36="","",IF(RIGHT(UPPER(TRIM(L36&amp;"")),2)="-N","비경쟁",""))</f>
        <v/>
      </c>
      <c r="T36" s="0" t="str">
        <f aca="false">IF(Q36="","",IF(COUNTIF(참가자!$A$3:$A$52,Q36)=0,"명단에 없는 코드",""))</f>
        <v/>
      </c>
    </row>
    <row r="37" customFormat="false" ht="15" hidden="false" customHeight="false" outlineLevel="0" collapsed="false">
      <c r="A37" s="7" t="str">
        <f aca="false">IF(참가자!A37="","",UPPER(TRIM(참가자!A37)))</f>
        <v/>
      </c>
      <c r="B37" s="7" t="str">
        <f aca="false">IF(A37="","",IF(참가자!B37="","(팀 없음)",TRIM(참가자!B37)))</f>
        <v/>
      </c>
      <c r="C37" s="7" t="str">
        <f aca="false">IF(A37="","",IFERROR(INDEX($R$3:$R$102,MATCH(A37,$Q$3:$Q$102,0)),""))</f>
        <v/>
      </c>
      <c r="D37" s="7" t="str">
        <f aca="false">IF(A37="","",IF(C37="","결석",IF(IFERROR(INDEX($S$3:$S$102,MATCH(A37,$Q$3:$Q$102,0)),"")="비경쟁","비경쟁 응시","응시")))</f>
        <v/>
      </c>
      <c r="E37" s="7" t="str">
        <f aca="false">IF(A37="","",IF(COUNTIF($Q$3:$Q$102,A37)&gt;1,"중복! 확인",""))</f>
        <v/>
      </c>
      <c r="L37" s="8"/>
      <c r="M37" s="8"/>
      <c r="N37" s="8"/>
      <c r="O37" s="8"/>
      <c r="Q37" s="0" t="str">
        <f aca="false">IF(UPPER(TRIM(L37&amp;""))="","",IF(RIGHT(UPPER(TRIM(L37&amp;"")),2)="-N",TRIM(LEFT(UPPER(TRIM(L37&amp;"")),LEN(UPPER(TRIM(L37&amp;"")))-2)),UPPER(TRIM(L37&amp;""))))</f>
        <v/>
      </c>
      <c r="R37" s="0" t="str">
        <f aca="false">IF(Q37="","",IF(ISNUMBER(O37),ROUND(O37,1),IF(AND(ISNUMBER(M37),ISNUMBER(N37)),IF(N37&gt;0,ROUND(M37/N37*100,1),""),"")))</f>
        <v/>
      </c>
      <c r="S37" s="0" t="str">
        <f aca="false">IF(Q37="","",IF(RIGHT(UPPER(TRIM(L37&amp;"")),2)="-N","비경쟁",""))</f>
        <v/>
      </c>
      <c r="T37" s="0" t="str">
        <f aca="false">IF(Q37="","",IF(COUNTIF(참가자!$A$3:$A$52,Q37)=0,"명단에 없는 코드",""))</f>
        <v/>
      </c>
    </row>
    <row r="38" customFormat="false" ht="15" hidden="false" customHeight="false" outlineLevel="0" collapsed="false">
      <c r="A38" s="7" t="str">
        <f aca="false">IF(참가자!A38="","",UPPER(TRIM(참가자!A38)))</f>
        <v/>
      </c>
      <c r="B38" s="7" t="str">
        <f aca="false">IF(A38="","",IF(참가자!B38="","(팀 없음)",TRIM(참가자!B38)))</f>
        <v/>
      </c>
      <c r="C38" s="7" t="str">
        <f aca="false">IF(A38="","",IFERROR(INDEX($R$3:$R$102,MATCH(A38,$Q$3:$Q$102,0)),""))</f>
        <v/>
      </c>
      <c r="D38" s="7" t="str">
        <f aca="false">IF(A38="","",IF(C38="","결석",IF(IFERROR(INDEX($S$3:$S$102,MATCH(A38,$Q$3:$Q$102,0)),"")="비경쟁","비경쟁 응시","응시")))</f>
        <v/>
      </c>
      <c r="E38" s="7" t="str">
        <f aca="false">IF(A38="","",IF(COUNTIF($Q$3:$Q$102,A38)&gt;1,"중복! 확인",""))</f>
        <v/>
      </c>
      <c r="L38" s="8"/>
      <c r="M38" s="8"/>
      <c r="N38" s="8"/>
      <c r="O38" s="8"/>
      <c r="Q38" s="0" t="str">
        <f aca="false">IF(UPPER(TRIM(L38&amp;""))="","",IF(RIGHT(UPPER(TRIM(L38&amp;"")),2)="-N",TRIM(LEFT(UPPER(TRIM(L38&amp;"")),LEN(UPPER(TRIM(L38&amp;"")))-2)),UPPER(TRIM(L38&amp;""))))</f>
        <v/>
      </c>
      <c r="R38" s="0" t="str">
        <f aca="false">IF(Q38="","",IF(ISNUMBER(O38),ROUND(O38,1),IF(AND(ISNUMBER(M38),ISNUMBER(N38)),IF(N38&gt;0,ROUND(M38/N38*100,1),""),"")))</f>
        <v/>
      </c>
      <c r="S38" s="0" t="str">
        <f aca="false">IF(Q38="","",IF(RIGHT(UPPER(TRIM(L38&amp;"")),2)="-N","비경쟁",""))</f>
        <v/>
      </c>
      <c r="T38" s="0" t="str">
        <f aca="false">IF(Q38="","",IF(COUNTIF(참가자!$A$3:$A$52,Q38)=0,"명단에 없는 코드",""))</f>
        <v/>
      </c>
    </row>
    <row r="39" customFormat="false" ht="15" hidden="false" customHeight="false" outlineLevel="0" collapsed="false">
      <c r="A39" s="7" t="str">
        <f aca="false">IF(참가자!A39="","",UPPER(TRIM(참가자!A39)))</f>
        <v/>
      </c>
      <c r="B39" s="7" t="str">
        <f aca="false">IF(A39="","",IF(참가자!B39="","(팀 없음)",TRIM(참가자!B39)))</f>
        <v/>
      </c>
      <c r="C39" s="7" t="str">
        <f aca="false">IF(A39="","",IFERROR(INDEX($R$3:$R$102,MATCH(A39,$Q$3:$Q$102,0)),""))</f>
        <v/>
      </c>
      <c r="D39" s="7" t="str">
        <f aca="false">IF(A39="","",IF(C39="","결석",IF(IFERROR(INDEX($S$3:$S$102,MATCH(A39,$Q$3:$Q$102,0)),"")="비경쟁","비경쟁 응시","응시")))</f>
        <v/>
      </c>
      <c r="E39" s="7" t="str">
        <f aca="false">IF(A39="","",IF(COUNTIF($Q$3:$Q$102,A39)&gt;1,"중복! 확인",""))</f>
        <v/>
      </c>
      <c r="L39" s="8"/>
      <c r="M39" s="8"/>
      <c r="N39" s="8"/>
      <c r="O39" s="8"/>
      <c r="Q39" s="0" t="str">
        <f aca="false">IF(UPPER(TRIM(L39&amp;""))="","",IF(RIGHT(UPPER(TRIM(L39&amp;"")),2)="-N",TRIM(LEFT(UPPER(TRIM(L39&amp;"")),LEN(UPPER(TRIM(L39&amp;"")))-2)),UPPER(TRIM(L39&amp;""))))</f>
        <v/>
      </c>
      <c r="R39" s="0" t="str">
        <f aca="false">IF(Q39="","",IF(ISNUMBER(O39),ROUND(O39,1),IF(AND(ISNUMBER(M39),ISNUMBER(N39)),IF(N39&gt;0,ROUND(M39/N39*100,1),""),"")))</f>
        <v/>
      </c>
      <c r="S39" s="0" t="str">
        <f aca="false">IF(Q39="","",IF(RIGHT(UPPER(TRIM(L39&amp;"")),2)="-N","비경쟁",""))</f>
        <v/>
      </c>
      <c r="T39" s="0" t="str">
        <f aca="false">IF(Q39="","",IF(COUNTIF(참가자!$A$3:$A$52,Q39)=0,"명단에 없는 코드",""))</f>
        <v/>
      </c>
    </row>
    <row r="40" customFormat="false" ht="15" hidden="false" customHeight="false" outlineLevel="0" collapsed="false">
      <c r="A40" s="7" t="str">
        <f aca="false">IF(참가자!A40="","",UPPER(TRIM(참가자!A40)))</f>
        <v/>
      </c>
      <c r="B40" s="7" t="str">
        <f aca="false">IF(A40="","",IF(참가자!B40="","(팀 없음)",TRIM(참가자!B40)))</f>
        <v/>
      </c>
      <c r="C40" s="7" t="str">
        <f aca="false">IF(A40="","",IFERROR(INDEX($R$3:$R$102,MATCH(A40,$Q$3:$Q$102,0)),""))</f>
        <v/>
      </c>
      <c r="D40" s="7" t="str">
        <f aca="false">IF(A40="","",IF(C40="","결석",IF(IFERROR(INDEX($S$3:$S$102,MATCH(A40,$Q$3:$Q$102,0)),"")="비경쟁","비경쟁 응시","응시")))</f>
        <v/>
      </c>
      <c r="E40" s="7" t="str">
        <f aca="false">IF(A40="","",IF(COUNTIF($Q$3:$Q$102,A40)&gt;1,"중복! 확인",""))</f>
        <v/>
      </c>
      <c r="L40" s="8"/>
      <c r="M40" s="8"/>
      <c r="N40" s="8"/>
      <c r="O40" s="8"/>
      <c r="Q40" s="0" t="str">
        <f aca="false">IF(UPPER(TRIM(L40&amp;""))="","",IF(RIGHT(UPPER(TRIM(L40&amp;"")),2)="-N",TRIM(LEFT(UPPER(TRIM(L40&amp;"")),LEN(UPPER(TRIM(L40&amp;"")))-2)),UPPER(TRIM(L40&amp;""))))</f>
        <v/>
      </c>
      <c r="R40" s="0" t="str">
        <f aca="false">IF(Q40="","",IF(ISNUMBER(O40),ROUND(O40,1),IF(AND(ISNUMBER(M40),ISNUMBER(N40)),IF(N40&gt;0,ROUND(M40/N40*100,1),""),"")))</f>
        <v/>
      </c>
      <c r="S40" s="0" t="str">
        <f aca="false">IF(Q40="","",IF(RIGHT(UPPER(TRIM(L40&amp;"")),2)="-N","비경쟁",""))</f>
        <v/>
      </c>
      <c r="T40" s="0" t="str">
        <f aca="false">IF(Q40="","",IF(COUNTIF(참가자!$A$3:$A$52,Q40)=0,"명단에 없는 코드",""))</f>
        <v/>
      </c>
    </row>
    <row r="41" customFormat="false" ht="15" hidden="false" customHeight="false" outlineLevel="0" collapsed="false">
      <c r="A41" s="7" t="str">
        <f aca="false">IF(참가자!A41="","",UPPER(TRIM(참가자!A41)))</f>
        <v/>
      </c>
      <c r="B41" s="7" t="str">
        <f aca="false">IF(A41="","",IF(참가자!B41="","(팀 없음)",TRIM(참가자!B41)))</f>
        <v/>
      </c>
      <c r="C41" s="7" t="str">
        <f aca="false">IF(A41="","",IFERROR(INDEX($R$3:$R$102,MATCH(A41,$Q$3:$Q$102,0)),""))</f>
        <v/>
      </c>
      <c r="D41" s="7" t="str">
        <f aca="false">IF(A41="","",IF(C41="","결석",IF(IFERROR(INDEX($S$3:$S$102,MATCH(A41,$Q$3:$Q$102,0)),"")="비경쟁","비경쟁 응시","응시")))</f>
        <v/>
      </c>
      <c r="E41" s="7" t="str">
        <f aca="false">IF(A41="","",IF(COUNTIF($Q$3:$Q$102,A41)&gt;1,"중복! 확인",""))</f>
        <v/>
      </c>
      <c r="L41" s="8"/>
      <c r="M41" s="8"/>
      <c r="N41" s="8"/>
      <c r="O41" s="8"/>
      <c r="Q41" s="0" t="str">
        <f aca="false">IF(UPPER(TRIM(L41&amp;""))="","",IF(RIGHT(UPPER(TRIM(L41&amp;"")),2)="-N",TRIM(LEFT(UPPER(TRIM(L41&amp;"")),LEN(UPPER(TRIM(L41&amp;"")))-2)),UPPER(TRIM(L41&amp;""))))</f>
        <v/>
      </c>
      <c r="R41" s="0" t="str">
        <f aca="false">IF(Q41="","",IF(ISNUMBER(O41),ROUND(O41,1),IF(AND(ISNUMBER(M41),ISNUMBER(N41)),IF(N41&gt;0,ROUND(M41/N41*100,1),""),"")))</f>
        <v/>
      </c>
      <c r="S41" s="0" t="str">
        <f aca="false">IF(Q41="","",IF(RIGHT(UPPER(TRIM(L41&amp;"")),2)="-N","비경쟁",""))</f>
        <v/>
      </c>
      <c r="T41" s="0" t="str">
        <f aca="false">IF(Q41="","",IF(COUNTIF(참가자!$A$3:$A$52,Q41)=0,"명단에 없는 코드",""))</f>
        <v/>
      </c>
    </row>
    <row r="42" customFormat="false" ht="15" hidden="false" customHeight="false" outlineLevel="0" collapsed="false">
      <c r="A42" s="7" t="str">
        <f aca="false">IF(참가자!A42="","",UPPER(TRIM(참가자!A42)))</f>
        <v/>
      </c>
      <c r="B42" s="7" t="str">
        <f aca="false">IF(A42="","",IF(참가자!B42="","(팀 없음)",TRIM(참가자!B42)))</f>
        <v/>
      </c>
      <c r="C42" s="7" t="str">
        <f aca="false">IF(A42="","",IFERROR(INDEX($R$3:$R$102,MATCH(A42,$Q$3:$Q$102,0)),""))</f>
        <v/>
      </c>
      <c r="D42" s="7" t="str">
        <f aca="false">IF(A42="","",IF(C42="","결석",IF(IFERROR(INDEX($S$3:$S$102,MATCH(A42,$Q$3:$Q$102,0)),"")="비경쟁","비경쟁 응시","응시")))</f>
        <v/>
      </c>
      <c r="E42" s="7" t="str">
        <f aca="false">IF(A42="","",IF(COUNTIF($Q$3:$Q$102,A42)&gt;1,"중복! 확인",""))</f>
        <v/>
      </c>
      <c r="L42" s="8"/>
      <c r="M42" s="8"/>
      <c r="N42" s="8"/>
      <c r="O42" s="8"/>
      <c r="Q42" s="0" t="str">
        <f aca="false">IF(UPPER(TRIM(L42&amp;""))="","",IF(RIGHT(UPPER(TRIM(L42&amp;"")),2)="-N",TRIM(LEFT(UPPER(TRIM(L42&amp;"")),LEN(UPPER(TRIM(L42&amp;"")))-2)),UPPER(TRIM(L42&amp;""))))</f>
        <v/>
      </c>
      <c r="R42" s="0" t="str">
        <f aca="false">IF(Q42="","",IF(ISNUMBER(O42),ROUND(O42,1),IF(AND(ISNUMBER(M42),ISNUMBER(N42)),IF(N42&gt;0,ROUND(M42/N42*100,1),""),"")))</f>
        <v/>
      </c>
      <c r="S42" s="0" t="str">
        <f aca="false">IF(Q42="","",IF(RIGHT(UPPER(TRIM(L42&amp;"")),2)="-N","비경쟁",""))</f>
        <v/>
      </c>
      <c r="T42" s="0" t="str">
        <f aca="false">IF(Q42="","",IF(COUNTIF(참가자!$A$3:$A$52,Q42)=0,"명단에 없는 코드",""))</f>
        <v/>
      </c>
    </row>
    <row r="43" customFormat="false" ht="15" hidden="false" customHeight="false" outlineLevel="0" collapsed="false">
      <c r="A43" s="7" t="str">
        <f aca="false">IF(참가자!A43="","",UPPER(TRIM(참가자!A43)))</f>
        <v/>
      </c>
      <c r="B43" s="7" t="str">
        <f aca="false">IF(A43="","",IF(참가자!B43="","(팀 없음)",TRIM(참가자!B43)))</f>
        <v/>
      </c>
      <c r="C43" s="7" t="str">
        <f aca="false">IF(A43="","",IFERROR(INDEX($R$3:$R$102,MATCH(A43,$Q$3:$Q$102,0)),""))</f>
        <v/>
      </c>
      <c r="D43" s="7" t="str">
        <f aca="false">IF(A43="","",IF(C43="","결석",IF(IFERROR(INDEX($S$3:$S$102,MATCH(A43,$Q$3:$Q$102,0)),"")="비경쟁","비경쟁 응시","응시")))</f>
        <v/>
      </c>
      <c r="E43" s="7" t="str">
        <f aca="false">IF(A43="","",IF(COUNTIF($Q$3:$Q$102,A43)&gt;1,"중복! 확인",""))</f>
        <v/>
      </c>
      <c r="L43" s="8"/>
      <c r="M43" s="8"/>
      <c r="N43" s="8"/>
      <c r="O43" s="8"/>
      <c r="Q43" s="0" t="str">
        <f aca="false">IF(UPPER(TRIM(L43&amp;""))="","",IF(RIGHT(UPPER(TRIM(L43&amp;"")),2)="-N",TRIM(LEFT(UPPER(TRIM(L43&amp;"")),LEN(UPPER(TRIM(L43&amp;"")))-2)),UPPER(TRIM(L43&amp;""))))</f>
        <v/>
      </c>
      <c r="R43" s="0" t="str">
        <f aca="false">IF(Q43="","",IF(ISNUMBER(O43),ROUND(O43,1),IF(AND(ISNUMBER(M43),ISNUMBER(N43)),IF(N43&gt;0,ROUND(M43/N43*100,1),""),"")))</f>
        <v/>
      </c>
      <c r="S43" s="0" t="str">
        <f aca="false">IF(Q43="","",IF(RIGHT(UPPER(TRIM(L43&amp;"")),2)="-N","비경쟁",""))</f>
        <v/>
      </c>
      <c r="T43" s="0" t="str">
        <f aca="false">IF(Q43="","",IF(COUNTIF(참가자!$A$3:$A$52,Q43)=0,"명단에 없는 코드",""))</f>
        <v/>
      </c>
    </row>
    <row r="44" customFormat="false" ht="15" hidden="false" customHeight="false" outlineLevel="0" collapsed="false">
      <c r="A44" s="7" t="str">
        <f aca="false">IF(참가자!A44="","",UPPER(TRIM(참가자!A44)))</f>
        <v/>
      </c>
      <c r="B44" s="7" t="str">
        <f aca="false">IF(A44="","",IF(참가자!B44="","(팀 없음)",TRIM(참가자!B44)))</f>
        <v/>
      </c>
      <c r="C44" s="7" t="str">
        <f aca="false">IF(A44="","",IFERROR(INDEX($R$3:$R$102,MATCH(A44,$Q$3:$Q$102,0)),""))</f>
        <v/>
      </c>
      <c r="D44" s="7" t="str">
        <f aca="false">IF(A44="","",IF(C44="","결석",IF(IFERROR(INDEX($S$3:$S$102,MATCH(A44,$Q$3:$Q$102,0)),"")="비경쟁","비경쟁 응시","응시")))</f>
        <v/>
      </c>
      <c r="E44" s="7" t="str">
        <f aca="false">IF(A44="","",IF(COUNTIF($Q$3:$Q$102,A44)&gt;1,"중복! 확인",""))</f>
        <v/>
      </c>
      <c r="L44" s="8"/>
      <c r="M44" s="8"/>
      <c r="N44" s="8"/>
      <c r="O44" s="8"/>
      <c r="Q44" s="0" t="str">
        <f aca="false">IF(UPPER(TRIM(L44&amp;""))="","",IF(RIGHT(UPPER(TRIM(L44&amp;"")),2)="-N",TRIM(LEFT(UPPER(TRIM(L44&amp;"")),LEN(UPPER(TRIM(L44&amp;"")))-2)),UPPER(TRIM(L44&amp;""))))</f>
        <v/>
      </c>
      <c r="R44" s="0" t="str">
        <f aca="false">IF(Q44="","",IF(ISNUMBER(O44),ROUND(O44,1),IF(AND(ISNUMBER(M44),ISNUMBER(N44)),IF(N44&gt;0,ROUND(M44/N44*100,1),""),"")))</f>
        <v/>
      </c>
      <c r="S44" s="0" t="str">
        <f aca="false">IF(Q44="","",IF(RIGHT(UPPER(TRIM(L44&amp;"")),2)="-N","비경쟁",""))</f>
        <v/>
      </c>
      <c r="T44" s="0" t="str">
        <f aca="false">IF(Q44="","",IF(COUNTIF(참가자!$A$3:$A$52,Q44)=0,"명단에 없는 코드",""))</f>
        <v/>
      </c>
    </row>
    <row r="45" customFormat="false" ht="15" hidden="false" customHeight="false" outlineLevel="0" collapsed="false">
      <c r="A45" s="7" t="str">
        <f aca="false">IF(참가자!A45="","",UPPER(TRIM(참가자!A45)))</f>
        <v/>
      </c>
      <c r="B45" s="7" t="str">
        <f aca="false">IF(A45="","",IF(참가자!B45="","(팀 없음)",TRIM(참가자!B45)))</f>
        <v/>
      </c>
      <c r="C45" s="7" t="str">
        <f aca="false">IF(A45="","",IFERROR(INDEX($R$3:$R$102,MATCH(A45,$Q$3:$Q$102,0)),""))</f>
        <v/>
      </c>
      <c r="D45" s="7" t="str">
        <f aca="false">IF(A45="","",IF(C45="","결석",IF(IFERROR(INDEX($S$3:$S$102,MATCH(A45,$Q$3:$Q$102,0)),"")="비경쟁","비경쟁 응시","응시")))</f>
        <v/>
      </c>
      <c r="E45" s="7" t="str">
        <f aca="false">IF(A45="","",IF(COUNTIF($Q$3:$Q$102,A45)&gt;1,"중복! 확인",""))</f>
        <v/>
      </c>
      <c r="L45" s="8"/>
      <c r="M45" s="8"/>
      <c r="N45" s="8"/>
      <c r="O45" s="8"/>
      <c r="Q45" s="0" t="str">
        <f aca="false">IF(UPPER(TRIM(L45&amp;""))="","",IF(RIGHT(UPPER(TRIM(L45&amp;"")),2)="-N",TRIM(LEFT(UPPER(TRIM(L45&amp;"")),LEN(UPPER(TRIM(L45&amp;"")))-2)),UPPER(TRIM(L45&amp;""))))</f>
        <v/>
      </c>
      <c r="R45" s="0" t="str">
        <f aca="false">IF(Q45="","",IF(ISNUMBER(O45),ROUND(O45,1),IF(AND(ISNUMBER(M45),ISNUMBER(N45)),IF(N45&gt;0,ROUND(M45/N45*100,1),""),"")))</f>
        <v/>
      </c>
      <c r="S45" s="0" t="str">
        <f aca="false">IF(Q45="","",IF(RIGHT(UPPER(TRIM(L45&amp;"")),2)="-N","비경쟁",""))</f>
        <v/>
      </c>
      <c r="T45" s="0" t="str">
        <f aca="false">IF(Q45="","",IF(COUNTIF(참가자!$A$3:$A$52,Q45)=0,"명단에 없는 코드",""))</f>
        <v/>
      </c>
    </row>
    <row r="46" customFormat="false" ht="15" hidden="false" customHeight="false" outlineLevel="0" collapsed="false">
      <c r="A46" s="7" t="str">
        <f aca="false">IF(참가자!A46="","",UPPER(TRIM(참가자!A46)))</f>
        <v/>
      </c>
      <c r="B46" s="7" t="str">
        <f aca="false">IF(A46="","",IF(참가자!B46="","(팀 없음)",TRIM(참가자!B46)))</f>
        <v/>
      </c>
      <c r="C46" s="7" t="str">
        <f aca="false">IF(A46="","",IFERROR(INDEX($R$3:$R$102,MATCH(A46,$Q$3:$Q$102,0)),""))</f>
        <v/>
      </c>
      <c r="D46" s="7" t="str">
        <f aca="false">IF(A46="","",IF(C46="","결석",IF(IFERROR(INDEX($S$3:$S$102,MATCH(A46,$Q$3:$Q$102,0)),"")="비경쟁","비경쟁 응시","응시")))</f>
        <v/>
      </c>
      <c r="E46" s="7" t="str">
        <f aca="false">IF(A46="","",IF(COUNTIF($Q$3:$Q$102,A46)&gt;1,"중복! 확인",""))</f>
        <v/>
      </c>
      <c r="L46" s="8"/>
      <c r="M46" s="8"/>
      <c r="N46" s="8"/>
      <c r="O46" s="8"/>
      <c r="Q46" s="0" t="str">
        <f aca="false">IF(UPPER(TRIM(L46&amp;""))="","",IF(RIGHT(UPPER(TRIM(L46&amp;"")),2)="-N",TRIM(LEFT(UPPER(TRIM(L46&amp;"")),LEN(UPPER(TRIM(L46&amp;"")))-2)),UPPER(TRIM(L46&amp;""))))</f>
        <v/>
      </c>
      <c r="R46" s="0" t="str">
        <f aca="false">IF(Q46="","",IF(ISNUMBER(O46),ROUND(O46,1),IF(AND(ISNUMBER(M46),ISNUMBER(N46)),IF(N46&gt;0,ROUND(M46/N46*100,1),""),"")))</f>
        <v/>
      </c>
      <c r="S46" s="0" t="str">
        <f aca="false">IF(Q46="","",IF(RIGHT(UPPER(TRIM(L46&amp;"")),2)="-N","비경쟁",""))</f>
        <v/>
      </c>
      <c r="T46" s="0" t="str">
        <f aca="false">IF(Q46="","",IF(COUNTIF(참가자!$A$3:$A$52,Q46)=0,"명단에 없는 코드",""))</f>
        <v/>
      </c>
    </row>
    <row r="47" customFormat="false" ht="15" hidden="false" customHeight="false" outlineLevel="0" collapsed="false">
      <c r="A47" s="7" t="str">
        <f aca="false">IF(참가자!A47="","",UPPER(TRIM(참가자!A47)))</f>
        <v/>
      </c>
      <c r="B47" s="7" t="str">
        <f aca="false">IF(A47="","",IF(참가자!B47="","(팀 없음)",TRIM(참가자!B47)))</f>
        <v/>
      </c>
      <c r="C47" s="7" t="str">
        <f aca="false">IF(A47="","",IFERROR(INDEX($R$3:$R$102,MATCH(A47,$Q$3:$Q$102,0)),""))</f>
        <v/>
      </c>
      <c r="D47" s="7" t="str">
        <f aca="false">IF(A47="","",IF(C47="","결석",IF(IFERROR(INDEX($S$3:$S$102,MATCH(A47,$Q$3:$Q$102,0)),"")="비경쟁","비경쟁 응시","응시")))</f>
        <v/>
      </c>
      <c r="E47" s="7" t="str">
        <f aca="false">IF(A47="","",IF(COUNTIF($Q$3:$Q$102,A47)&gt;1,"중복! 확인",""))</f>
        <v/>
      </c>
      <c r="L47" s="8"/>
      <c r="M47" s="8"/>
      <c r="N47" s="8"/>
      <c r="O47" s="8"/>
      <c r="Q47" s="0" t="str">
        <f aca="false">IF(UPPER(TRIM(L47&amp;""))="","",IF(RIGHT(UPPER(TRIM(L47&amp;"")),2)="-N",TRIM(LEFT(UPPER(TRIM(L47&amp;"")),LEN(UPPER(TRIM(L47&amp;"")))-2)),UPPER(TRIM(L47&amp;""))))</f>
        <v/>
      </c>
      <c r="R47" s="0" t="str">
        <f aca="false">IF(Q47="","",IF(ISNUMBER(O47),ROUND(O47,1),IF(AND(ISNUMBER(M47),ISNUMBER(N47)),IF(N47&gt;0,ROUND(M47/N47*100,1),""),"")))</f>
        <v/>
      </c>
      <c r="S47" s="0" t="str">
        <f aca="false">IF(Q47="","",IF(RIGHT(UPPER(TRIM(L47&amp;"")),2)="-N","비경쟁",""))</f>
        <v/>
      </c>
      <c r="T47" s="0" t="str">
        <f aca="false">IF(Q47="","",IF(COUNTIF(참가자!$A$3:$A$52,Q47)=0,"명단에 없는 코드",""))</f>
        <v/>
      </c>
    </row>
    <row r="48" customFormat="false" ht="15" hidden="false" customHeight="false" outlineLevel="0" collapsed="false">
      <c r="A48" s="7" t="str">
        <f aca="false">IF(참가자!A48="","",UPPER(TRIM(참가자!A48)))</f>
        <v/>
      </c>
      <c r="B48" s="7" t="str">
        <f aca="false">IF(A48="","",IF(참가자!B48="","(팀 없음)",TRIM(참가자!B48)))</f>
        <v/>
      </c>
      <c r="C48" s="7" t="str">
        <f aca="false">IF(A48="","",IFERROR(INDEX($R$3:$R$102,MATCH(A48,$Q$3:$Q$102,0)),""))</f>
        <v/>
      </c>
      <c r="D48" s="7" t="str">
        <f aca="false">IF(A48="","",IF(C48="","결석",IF(IFERROR(INDEX($S$3:$S$102,MATCH(A48,$Q$3:$Q$102,0)),"")="비경쟁","비경쟁 응시","응시")))</f>
        <v/>
      </c>
      <c r="E48" s="7" t="str">
        <f aca="false">IF(A48="","",IF(COUNTIF($Q$3:$Q$102,A48)&gt;1,"중복! 확인",""))</f>
        <v/>
      </c>
      <c r="L48" s="8"/>
      <c r="M48" s="8"/>
      <c r="N48" s="8"/>
      <c r="O48" s="8"/>
      <c r="Q48" s="0" t="str">
        <f aca="false">IF(UPPER(TRIM(L48&amp;""))="","",IF(RIGHT(UPPER(TRIM(L48&amp;"")),2)="-N",TRIM(LEFT(UPPER(TRIM(L48&amp;"")),LEN(UPPER(TRIM(L48&amp;"")))-2)),UPPER(TRIM(L48&amp;""))))</f>
        <v/>
      </c>
      <c r="R48" s="0" t="str">
        <f aca="false">IF(Q48="","",IF(ISNUMBER(O48),ROUND(O48,1),IF(AND(ISNUMBER(M48),ISNUMBER(N48)),IF(N48&gt;0,ROUND(M48/N48*100,1),""),"")))</f>
        <v/>
      </c>
      <c r="S48" s="0" t="str">
        <f aca="false">IF(Q48="","",IF(RIGHT(UPPER(TRIM(L48&amp;"")),2)="-N","비경쟁",""))</f>
        <v/>
      </c>
      <c r="T48" s="0" t="str">
        <f aca="false">IF(Q48="","",IF(COUNTIF(참가자!$A$3:$A$52,Q48)=0,"명단에 없는 코드",""))</f>
        <v/>
      </c>
    </row>
    <row r="49" customFormat="false" ht="15" hidden="false" customHeight="false" outlineLevel="0" collapsed="false">
      <c r="A49" s="7" t="str">
        <f aca="false">IF(참가자!A49="","",UPPER(TRIM(참가자!A49)))</f>
        <v/>
      </c>
      <c r="B49" s="7" t="str">
        <f aca="false">IF(A49="","",IF(참가자!B49="","(팀 없음)",TRIM(참가자!B49)))</f>
        <v/>
      </c>
      <c r="C49" s="7" t="str">
        <f aca="false">IF(A49="","",IFERROR(INDEX($R$3:$R$102,MATCH(A49,$Q$3:$Q$102,0)),""))</f>
        <v/>
      </c>
      <c r="D49" s="7" t="str">
        <f aca="false">IF(A49="","",IF(C49="","결석",IF(IFERROR(INDEX($S$3:$S$102,MATCH(A49,$Q$3:$Q$102,0)),"")="비경쟁","비경쟁 응시","응시")))</f>
        <v/>
      </c>
      <c r="E49" s="7" t="str">
        <f aca="false">IF(A49="","",IF(COUNTIF($Q$3:$Q$102,A49)&gt;1,"중복! 확인",""))</f>
        <v/>
      </c>
      <c r="L49" s="8"/>
      <c r="M49" s="8"/>
      <c r="N49" s="8"/>
      <c r="O49" s="8"/>
      <c r="Q49" s="0" t="str">
        <f aca="false">IF(UPPER(TRIM(L49&amp;""))="","",IF(RIGHT(UPPER(TRIM(L49&amp;"")),2)="-N",TRIM(LEFT(UPPER(TRIM(L49&amp;"")),LEN(UPPER(TRIM(L49&amp;"")))-2)),UPPER(TRIM(L49&amp;""))))</f>
        <v/>
      </c>
      <c r="R49" s="0" t="str">
        <f aca="false">IF(Q49="","",IF(ISNUMBER(O49),ROUND(O49,1),IF(AND(ISNUMBER(M49),ISNUMBER(N49)),IF(N49&gt;0,ROUND(M49/N49*100,1),""),"")))</f>
        <v/>
      </c>
      <c r="S49" s="0" t="str">
        <f aca="false">IF(Q49="","",IF(RIGHT(UPPER(TRIM(L49&amp;"")),2)="-N","비경쟁",""))</f>
        <v/>
      </c>
      <c r="T49" s="0" t="str">
        <f aca="false">IF(Q49="","",IF(COUNTIF(참가자!$A$3:$A$52,Q49)=0,"명단에 없는 코드",""))</f>
        <v/>
      </c>
    </row>
    <row r="50" customFormat="false" ht="15" hidden="false" customHeight="false" outlineLevel="0" collapsed="false">
      <c r="A50" s="7" t="str">
        <f aca="false">IF(참가자!A50="","",UPPER(TRIM(참가자!A50)))</f>
        <v/>
      </c>
      <c r="B50" s="7" t="str">
        <f aca="false">IF(A50="","",IF(참가자!B50="","(팀 없음)",TRIM(참가자!B50)))</f>
        <v/>
      </c>
      <c r="C50" s="7" t="str">
        <f aca="false">IF(A50="","",IFERROR(INDEX($R$3:$R$102,MATCH(A50,$Q$3:$Q$102,0)),""))</f>
        <v/>
      </c>
      <c r="D50" s="7" t="str">
        <f aca="false">IF(A50="","",IF(C50="","결석",IF(IFERROR(INDEX($S$3:$S$102,MATCH(A50,$Q$3:$Q$102,0)),"")="비경쟁","비경쟁 응시","응시")))</f>
        <v/>
      </c>
      <c r="E50" s="7" t="str">
        <f aca="false">IF(A50="","",IF(COUNTIF($Q$3:$Q$102,A50)&gt;1,"중복! 확인",""))</f>
        <v/>
      </c>
      <c r="L50" s="8"/>
      <c r="M50" s="8"/>
      <c r="N50" s="8"/>
      <c r="O50" s="8"/>
      <c r="Q50" s="0" t="str">
        <f aca="false">IF(UPPER(TRIM(L50&amp;""))="","",IF(RIGHT(UPPER(TRIM(L50&amp;"")),2)="-N",TRIM(LEFT(UPPER(TRIM(L50&amp;"")),LEN(UPPER(TRIM(L50&amp;"")))-2)),UPPER(TRIM(L50&amp;""))))</f>
        <v/>
      </c>
      <c r="R50" s="0" t="str">
        <f aca="false">IF(Q50="","",IF(ISNUMBER(O50),ROUND(O50,1),IF(AND(ISNUMBER(M50),ISNUMBER(N50)),IF(N50&gt;0,ROUND(M50/N50*100,1),""),"")))</f>
        <v/>
      </c>
      <c r="S50" s="0" t="str">
        <f aca="false">IF(Q50="","",IF(RIGHT(UPPER(TRIM(L50&amp;"")),2)="-N","비경쟁",""))</f>
        <v/>
      </c>
      <c r="T50" s="0" t="str">
        <f aca="false">IF(Q50="","",IF(COUNTIF(참가자!$A$3:$A$52,Q50)=0,"명단에 없는 코드",""))</f>
        <v/>
      </c>
    </row>
    <row r="51" customFormat="false" ht="15" hidden="false" customHeight="false" outlineLevel="0" collapsed="false">
      <c r="A51" s="7" t="str">
        <f aca="false">IF(참가자!A51="","",UPPER(TRIM(참가자!A51)))</f>
        <v/>
      </c>
      <c r="B51" s="7" t="str">
        <f aca="false">IF(A51="","",IF(참가자!B51="","(팀 없음)",TRIM(참가자!B51)))</f>
        <v/>
      </c>
      <c r="C51" s="7" t="str">
        <f aca="false">IF(A51="","",IFERROR(INDEX($R$3:$R$102,MATCH(A51,$Q$3:$Q$102,0)),""))</f>
        <v/>
      </c>
      <c r="D51" s="7" t="str">
        <f aca="false">IF(A51="","",IF(C51="","결석",IF(IFERROR(INDEX($S$3:$S$102,MATCH(A51,$Q$3:$Q$102,0)),"")="비경쟁","비경쟁 응시","응시")))</f>
        <v/>
      </c>
      <c r="E51" s="7" t="str">
        <f aca="false">IF(A51="","",IF(COUNTIF($Q$3:$Q$102,A51)&gt;1,"중복! 확인",""))</f>
        <v/>
      </c>
      <c r="L51" s="8"/>
      <c r="M51" s="8"/>
      <c r="N51" s="8"/>
      <c r="O51" s="8"/>
      <c r="Q51" s="0" t="str">
        <f aca="false">IF(UPPER(TRIM(L51&amp;""))="","",IF(RIGHT(UPPER(TRIM(L51&amp;"")),2)="-N",TRIM(LEFT(UPPER(TRIM(L51&amp;"")),LEN(UPPER(TRIM(L51&amp;"")))-2)),UPPER(TRIM(L51&amp;""))))</f>
        <v/>
      </c>
      <c r="R51" s="0" t="str">
        <f aca="false">IF(Q51="","",IF(ISNUMBER(O51),ROUND(O51,1),IF(AND(ISNUMBER(M51),ISNUMBER(N51)),IF(N51&gt;0,ROUND(M51/N51*100,1),""),"")))</f>
        <v/>
      </c>
      <c r="S51" s="0" t="str">
        <f aca="false">IF(Q51="","",IF(RIGHT(UPPER(TRIM(L51&amp;"")),2)="-N","비경쟁",""))</f>
        <v/>
      </c>
      <c r="T51" s="0" t="str">
        <f aca="false">IF(Q51="","",IF(COUNTIF(참가자!$A$3:$A$52,Q51)=0,"명단에 없는 코드",""))</f>
        <v/>
      </c>
    </row>
    <row r="52" customFormat="false" ht="15" hidden="false" customHeight="false" outlineLevel="0" collapsed="false">
      <c r="A52" s="7" t="str">
        <f aca="false">IF(참가자!A52="","",UPPER(TRIM(참가자!A52)))</f>
        <v/>
      </c>
      <c r="B52" s="7" t="str">
        <f aca="false">IF(A52="","",IF(참가자!B52="","(팀 없음)",TRIM(참가자!B52)))</f>
        <v/>
      </c>
      <c r="C52" s="7" t="str">
        <f aca="false">IF(A52="","",IFERROR(INDEX($R$3:$R$102,MATCH(A52,$Q$3:$Q$102,0)),""))</f>
        <v/>
      </c>
      <c r="D52" s="7" t="str">
        <f aca="false">IF(A52="","",IF(C52="","결석",IF(IFERROR(INDEX($S$3:$S$102,MATCH(A52,$Q$3:$Q$102,0)),"")="비경쟁","비경쟁 응시","응시")))</f>
        <v/>
      </c>
      <c r="E52" s="7" t="str">
        <f aca="false">IF(A52="","",IF(COUNTIF($Q$3:$Q$102,A52)&gt;1,"중복! 확인",""))</f>
        <v/>
      </c>
      <c r="L52" s="8"/>
      <c r="M52" s="8"/>
      <c r="N52" s="8"/>
      <c r="O52" s="8"/>
      <c r="Q52" s="0" t="str">
        <f aca="false">IF(UPPER(TRIM(L52&amp;""))="","",IF(RIGHT(UPPER(TRIM(L52&amp;"")),2)="-N",TRIM(LEFT(UPPER(TRIM(L52&amp;"")),LEN(UPPER(TRIM(L52&amp;"")))-2)),UPPER(TRIM(L52&amp;""))))</f>
        <v/>
      </c>
      <c r="R52" s="0" t="str">
        <f aca="false">IF(Q52="","",IF(ISNUMBER(O52),ROUND(O52,1),IF(AND(ISNUMBER(M52),ISNUMBER(N52)),IF(N52&gt;0,ROUND(M52/N52*100,1),""),"")))</f>
        <v/>
      </c>
      <c r="S52" s="0" t="str">
        <f aca="false">IF(Q52="","",IF(RIGHT(UPPER(TRIM(L52&amp;"")),2)="-N","비경쟁",""))</f>
        <v/>
      </c>
      <c r="T52" s="0" t="str">
        <f aca="false">IF(Q52="","",IF(COUNTIF(참가자!$A$3:$A$52,Q52)=0,"명단에 없는 코드",""))</f>
        <v/>
      </c>
    </row>
    <row r="53" customFormat="false" ht="15" hidden="false" customHeight="false" outlineLevel="0" collapsed="false">
      <c r="L53" s="8"/>
      <c r="M53" s="8"/>
      <c r="N53" s="8"/>
      <c r="O53" s="8"/>
      <c r="Q53" s="0" t="str">
        <f aca="false">IF(UPPER(TRIM(L53&amp;""))="","",IF(RIGHT(UPPER(TRIM(L53&amp;"")),2)="-N",TRIM(LEFT(UPPER(TRIM(L53&amp;"")),LEN(UPPER(TRIM(L53&amp;"")))-2)),UPPER(TRIM(L53&amp;""))))</f>
        <v/>
      </c>
      <c r="R53" s="0" t="str">
        <f aca="false">IF(Q53="","",IF(ISNUMBER(O53),ROUND(O53,1),IF(AND(ISNUMBER(M53),ISNUMBER(N53)),IF(N53&gt;0,ROUND(M53/N53*100,1),""),"")))</f>
        <v/>
      </c>
      <c r="S53" s="0" t="str">
        <f aca="false">IF(Q53="","",IF(RIGHT(UPPER(TRIM(L53&amp;"")),2)="-N","비경쟁",""))</f>
        <v/>
      </c>
      <c r="T53" s="0" t="str">
        <f aca="false">IF(Q53="","",IF(COUNTIF(참가자!$A$3:$A$52,Q53)=0,"명단에 없는 코드",""))</f>
        <v/>
      </c>
    </row>
    <row r="54" customFormat="false" ht="15" hidden="false" customHeight="false" outlineLevel="0" collapsed="false">
      <c r="L54" s="8"/>
      <c r="M54" s="8"/>
      <c r="N54" s="8"/>
      <c r="O54" s="8"/>
      <c r="Q54" s="0" t="str">
        <f aca="false">IF(UPPER(TRIM(L54&amp;""))="","",IF(RIGHT(UPPER(TRIM(L54&amp;"")),2)="-N",TRIM(LEFT(UPPER(TRIM(L54&amp;"")),LEN(UPPER(TRIM(L54&amp;"")))-2)),UPPER(TRIM(L54&amp;""))))</f>
        <v/>
      </c>
      <c r="R54" s="0" t="str">
        <f aca="false">IF(Q54="","",IF(ISNUMBER(O54),ROUND(O54,1),IF(AND(ISNUMBER(M54),ISNUMBER(N54)),IF(N54&gt;0,ROUND(M54/N54*100,1),""),"")))</f>
        <v/>
      </c>
      <c r="S54" s="0" t="str">
        <f aca="false">IF(Q54="","",IF(RIGHT(UPPER(TRIM(L54&amp;"")),2)="-N","비경쟁",""))</f>
        <v/>
      </c>
      <c r="T54" s="0" t="str">
        <f aca="false">IF(Q54="","",IF(COUNTIF(참가자!$A$3:$A$52,Q54)=0,"명단에 없는 코드",""))</f>
        <v/>
      </c>
    </row>
    <row r="55" customFormat="false" ht="15" hidden="false" customHeight="false" outlineLevel="0" collapsed="false">
      <c r="L55" s="8"/>
      <c r="M55" s="8"/>
      <c r="N55" s="8"/>
      <c r="O55" s="8"/>
      <c r="Q55" s="0" t="str">
        <f aca="false">IF(UPPER(TRIM(L55&amp;""))="","",IF(RIGHT(UPPER(TRIM(L55&amp;"")),2)="-N",TRIM(LEFT(UPPER(TRIM(L55&amp;"")),LEN(UPPER(TRIM(L55&amp;"")))-2)),UPPER(TRIM(L55&amp;""))))</f>
        <v/>
      </c>
      <c r="R55" s="0" t="str">
        <f aca="false">IF(Q55="","",IF(ISNUMBER(O55),ROUND(O55,1),IF(AND(ISNUMBER(M55),ISNUMBER(N55)),IF(N55&gt;0,ROUND(M55/N55*100,1),""),"")))</f>
        <v/>
      </c>
      <c r="S55" s="0" t="str">
        <f aca="false">IF(Q55="","",IF(RIGHT(UPPER(TRIM(L55&amp;"")),2)="-N","비경쟁",""))</f>
        <v/>
      </c>
      <c r="T55" s="0" t="str">
        <f aca="false">IF(Q55="","",IF(COUNTIF(참가자!$A$3:$A$52,Q55)=0,"명단에 없는 코드",""))</f>
        <v/>
      </c>
    </row>
    <row r="56" customFormat="false" ht="15" hidden="false" customHeight="false" outlineLevel="0" collapsed="false">
      <c r="L56" s="8"/>
      <c r="M56" s="8"/>
      <c r="N56" s="8"/>
      <c r="O56" s="8"/>
      <c r="Q56" s="0" t="str">
        <f aca="false">IF(UPPER(TRIM(L56&amp;""))="","",IF(RIGHT(UPPER(TRIM(L56&amp;"")),2)="-N",TRIM(LEFT(UPPER(TRIM(L56&amp;"")),LEN(UPPER(TRIM(L56&amp;"")))-2)),UPPER(TRIM(L56&amp;""))))</f>
        <v/>
      </c>
      <c r="R56" s="0" t="str">
        <f aca="false">IF(Q56="","",IF(ISNUMBER(O56),ROUND(O56,1),IF(AND(ISNUMBER(M56),ISNUMBER(N56)),IF(N56&gt;0,ROUND(M56/N56*100,1),""),"")))</f>
        <v/>
      </c>
      <c r="S56" s="0" t="str">
        <f aca="false">IF(Q56="","",IF(RIGHT(UPPER(TRIM(L56&amp;"")),2)="-N","비경쟁",""))</f>
        <v/>
      </c>
      <c r="T56" s="0" t="str">
        <f aca="false">IF(Q56="","",IF(COUNTIF(참가자!$A$3:$A$52,Q56)=0,"명단에 없는 코드",""))</f>
        <v/>
      </c>
    </row>
    <row r="57" customFormat="false" ht="15" hidden="false" customHeight="false" outlineLevel="0" collapsed="false">
      <c r="L57" s="8"/>
      <c r="M57" s="8"/>
      <c r="N57" s="8"/>
      <c r="O57" s="8"/>
      <c r="Q57" s="0" t="str">
        <f aca="false">IF(UPPER(TRIM(L57&amp;""))="","",IF(RIGHT(UPPER(TRIM(L57&amp;"")),2)="-N",TRIM(LEFT(UPPER(TRIM(L57&amp;"")),LEN(UPPER(TRIM(L57&amp;"")))-2)),UPPER(TRIM(L57&amp;""))))</f>
        <v/>
      </c>
      <c r="R57" s="0" t="str">
        <f aca="false">IF(Q57="","",IF(ISNUMBER(O57),ROUND(O57,1),IF(AND(ISNUMBER(M57),ISNUMBER(N57)),IF(N57&gt;0,ROUND(M57/N57*100,1),""),"")))</f>
        <v/>
      </c>
      <c r="S57" s="0" t="str">
        <f aca="false">IF(Q57="","",IF(RIGHT(UPPER(TRIM(L57&amp;"")),2)="-N","비경쟁",""))</f>
        <v/>
      </c>
      <c r="T57" s="0" t="str">
        <f aca="false">IF(Q57="","",IF(COUNTIF(참가자!$A$3:$A$52,Q57)=0,"명단에 없는 코드",""))</f>
        <v/>
      </c>
    </row>
    <row r="58" customFormat="false" ht="15" hidden="false" customHeight="false" outlineLevel="0" collapsed="false">
      <c r="L58" s="8"/>
      <c r="M58" s="8"/>
      <c r="N58" s="8"/>
      <c r="O58" s="8"/>
      <c r="Q58" s="0" t="str">
        <f aca="false">IF(UPPER(TRIM(L58&amp;""))="","",IF(RIGHT(UPPER(TRIM(L58&amp;"")),2)="-N",TRIM(LEFT(UPPER(TRIM(L58&amp;"")),LEN(UPPER(TRIM(L58&amp;"")))-2)),UPPER(TRIM(L58&amp;""))))</f>
        <v/>
      </c>
      <c r="R58" s="0" t="str">
        <f aca="false">IF(Q58="","",IF(ISNUMBER(O58),ROUND(O58,1),IF(AND(ISNUMBER(M58),ISNUMBER(N58)),IF(N58&gt;0,ROUND(M58/N58*100,1),""),"")))</f>
        <v/>
      </c>
      <c r="S58" s="0" t="str">
        <f aca="false">IF(Q58="","",IF(RIGHT(UPPER(TRIM(L58&amp;"")),2)="-N","비경쟁",""))</f>
        <v/>
      </c>
      <c r="T58" s="0" t="str">
        <f aca="false">IF(Q58="","",IF(COUNTIF(참가자!$A$3:$A$52,Q58)=0,"명단에 없는 코드",""))</f>
        <v/>
      </c>
    </row>
    <row r="59" customFormat="false" ht="15" hidden="false" customHeight="false" outlineLevel="0" collapsed="false">
      <c r="L59" s="8"/>
      <c r="M59" s="8"/>
      <c r="N59" s="8"/>
      <c r="O59" s="8"/>
      <c r="Q59" s="0" t="str">
        <f aca="false">IF(UPPER(TRIM(L59&amp;""))="","",IF(RIGHT(UPPER(TRIM(L59&amp;"")),2)="-N",TRIM(LEFT(UPPER(TRIM(L59&amp;"")),LEN(UPPER(TRIM(L59&amp;"")))-2)),UPPER(TRIM(L59&amp;""))))</f>
        <v/>
      </c>
      <c r="R59" s="0" t="str">
        <f aca="false">IF(Q59="","",IF(ISNUMBER(O59),ROUND(O59,1),IF(AND(ISNUMBER(M59),ISNUMBER(N59)),IF(N59&gt;0,ROUND(M59/N59*100,1),""),"")))</f>
        <v/>
      </c>
      <c r="S59" s="0" t="str">
        <f aca="false">IF(Q59="","",IF(RIGHT(UPPER(TRIM(L59&amp;"")),2)="-N","비경쟁",""))</f>
        <v/>
      </c>
      <c r="T59" s="0" t="str">
        <f aca="false">IF(Q59="","",IF(COUNTIF(참가자!$A$3:$A$52,Q59)=0,"명단에 없는 코드",""))</f>
        <v/>
      </c>
    </row>
    <row r="60" customFormat="false" ht="15" hidden="false" customHeight="false" outlineLevel="0" collapsed="false">
      <c r="L60" s="8"/>
      <c r="M60" s="8"/>
      <c r="N60" s="8"/>
      <c r="O60" s="8"/>
      <c r="Q60" s="0" t="str">
        <f aca="false">IF(UPPER(TRIM(L60&amp;""))="","",IF(RIGHT(UPPER(TRIM(L60&amp;"")),2)="-N",TRIM(LEFT(UPPER(TRIM(L60&amp;"")),LEN(UPPER(TRIM(L60&amp;"")))-2)),UPPER(TRIM(L60&amp;""))))</f>
        <v/>
      </c>
      <c r="R60" s="0" t="str">
        <f aca="false">IF(Q60="","",IF(ISNUMBER(O60),ROUND(O60,1),IF(AND(ISNUMBER(M60),ISNUMBER(N60)),IF(N60&gt;0,ROUND(M60/N60*100,1),""),"")))</f>
        <v/>
      </c>
      <c r="S60" s="0" t="str">
        <f aca="false">IF(Q60="","",IF(RIGHT(UPPER(TRIM(L60&amp;"")),2)="-N","비경쟁",""))</f>
        <v/>
      </c>
      <c r="T60" s="0" t="str">
        <f aca="false">IF(Q60="","",IF(COUNTIF(참가자!$A$3:$A$52,Q60)=0,"명단에 없는 코드",""))</f>
        <v/>
      </c>
    </row>
    <row r="61" customFormat="false" ht="15" hidden="false" customHeight="false" outlineLevel="0" collapsed="false">
      <c r="L61" s="8"/>
      <c r="M61" s="8"/>
      <c r="N61" s="8"/>
      <c r="O61" s="8"/>
      <c r="Q61" s="0" t="str">
        <f aca="false">IF(UPPER(TRIM(L61&amp;""))="","",IF(RIGHT(UPPER(TRIM(L61&amp;"")),2)="-N",TRIM(LEFT(UPPER(TRIM(L61&amp;"")),LEN(UPPER(TRIM(L61&amp;"")))-2)),UPPER(TRIM(L61&amp;""))))</f>
        <v/>
      </c>
      <c r="R61" s="0" t="str">
        <f aca="false">IF(Q61="","",IF(ISNUMBER(O61),ROUND(O61,1),IF(AND(ISNUMBER(M61),ISNUMBER(N61)),IF(N61&gt;0,ROUND(M61/N61*100,1),""),"")))</f>
        <v/>
      </c>
      <c r="S61" s="0" t="str">
        <f aca="false">IF(Q61="","",IF(RIGHT(UPPER(TRIM(L61&amp;"")),2)="-N","비경쟁",""))</f>
        <v/>
      </c>
      <c r="T61" s="0" t="str">
        <f aca="false">IF(Q61="","",IF(COUNTIF(참가자!$A$3:$A$52,Q61)=0,"명단에 없는 코드",""))</f>
        <v/>
      </c>
    </row>
    <row r="62" customFormat="false" ht="15" hidden="false" customHeight="false" outlineLevel="0" collapsed="false">
      <c r="L62" s="8"/>
      <c r="M62" s="8"/>
      <c r="N62" s="8"/>
      <c r="O62" s="8"/>
      <c r="Q62" s="0" t="str">
        <f aca="false">IF(UPPER(TRIM(L62&amp;""))="","",IF(RIGHT(UPPER(TRIM(L62&amp;"")),2)="-N",TRIM(LEFT(UPPER(TRIM(L62&amp;"")),LEN(UPPER(TRIM(L62&amp;"")))-2)),UPPER(TRIM(L62&amp;""))))</f>
        <v/>
      </c>
      <c r="R62" s="0" t="str">
        <f aca="false">IF(Q62="","",IF(ISNUMBER(O62),ROUND(O62,1),IF(AND(ISNUMBER(M62),ISNUMBER(N62)),IF(N62&gt;0,ROUND(M62/N62*100,1),""),"")))</f>
        <v/>
      </c>
      <c r="S62" s="0" t="str">
        <f aca="false">IF(Q62="","",IF(RIGHT(UPPER(TRIM(L62&amp;"")),2)="-N","비경쟁",""))</f>
        <v/>
      </c>
      <c r="T62" s="0" t="str">
        <f aca="false">IF(Q62="","",IF(COUNTIF(참가자!$A$3:$A$52,Q62)=0,"명단에 없는 코드",""))</f>
        <v/>
      </c>
    </row>
    <row r="63" customFormat="false" ht="15" hidden="false" customHeight="false" outlineLevel="0" collapsed="false">
      <c r="L63" s="8"/>
      <c r="M63" s="8"/>
      <c r="N63" s="8"/>
      <c r="O63" s="8"/>
      <c r="Q63" s="0" t="str">
        <f aca="false">IF(UPPER(TRIM(L63&amp;""))="","",IF(RIGHT(UPPER(TRIM(L63&amp;"")),2)="-N",TRIM(LEFT(UPPER(TRIM(L63&amp;"")),LEN(UPPER(TRIM(L63&amp;"")))-2)),UPPER(TRIM(L63&amp;""))))</f>
        <v/>
      </c>
      <c r="R63" s="0" t="str">
        <f aca="false">IF(Q63="","",IF(ISNUMBER(O63),ROUND(O63,1),IF(AND(ISNUMBER(M63),ISNUMBER(N63)),IF(N63&gt;0,ROUND(M63/N63*100,1),""),"")))</f>
        <v/>
      </c>
      <c r="S63" s="0" t="str">
        <f aca="false">IF(Q63="","",IF(RIGHT(UPPER(TRIM(L63&amp;"")),2)="-N","비경쟁",""))</f>
        <v/>
      </c>
      <c r="T63" s="0" t="str">
        <f aca="false">IF(Q63="","",IF(COUNTIF(참가자!$A$3:$A$52,Q63)=0,"명단에 없는 코드",""))</f>
        <v/>
      </c>
    </row>
    <row r="64" customFormat="false" ht="15" hidden="false" customHeight="false" outlineLevel="0" collapsed="false">
      <c r="L64" s="8"/>
      <c r="M64" s="8"/>
      <c r="N64" s="8"/>
      <c r="O64" s="8"/>
      <c r="Q64" s="0" t="str">
        <f aca="false">IF(UPPER(TRIM(L64&amp;""))="","",IF(RIGHT(UPPER(TRIM(L64&amp;"")),2)="-N",TRIM(LEFT(UPPER(TRIM(L64&amp;"")),LEN(UPPER(TRIM(L64&amp;"")))-2)),UPPER(TRIM(L64&amp;""))))</f>
        <v/>
      </c>
      <c r="R64" s="0" t="str">
        <f aca="false">IF(Q64="","",IF(ISNUMBER(O64),ROUND(O64,1),IF(AND(ISNUMBER(M64),ISNUMBER(N64)),IF(N64&gt;0,ROUND(M64/N64*100,1),""),"")))</f>
        <v/>
      </c>
      <c r="S64" s="0" t="str">
        <f aca="false">IF(Q64="","",IF(RIGHT(UPPER(TRIM(L64&amp;"")),2)="-N","비경쟁",""))</f>
        <v/>
      </c>
      <c r="T64" s="0" t="str">
        <f aca="false">IF(Q64="","",IF(COUNTIF(참가자!$A$3:$A$52,Q64)=0,"명단에 없는 코드",""))</f>
        <v/>
      </c>
    </row>
    <row r="65" customFormat="false" ht="15" hidden="false" customHeight="false" outlineLevel="0" collapsed="false">
      <c r="L65" s="8"/>
      <c r="M65" s="8"/>
      <c r="N65" s="8"/>
      <c r="O65" s="8"/>
      <c r="Q65" s="0" t="str">
        <f aca="false">IF(UPPER(TRIM(L65&amp;""))="","",IF(RIGHT(UPPER(TRIM(L65&amp;"")),2)="-N",TRIM(LEFT(UPPER(TRIM(L65&amp;"")),LEN(UPPER(TRIM(L65&amp;"")))-2)),UPPER(TRIM(L65&amp;""))))</f>
        <v/>
      </c>
      <c r="R65" s="0" t="str">
        <f aca="false">IF(Q65="","",IF(ISNUMBER(O65),ROUND(O65,1),IF(AND(ISNUMBER(M65),ISNUMBER(N65)),IF(N65&gt;0,ROUND(M65/N65*100,1),""),"")))</f>
        <v/>
      </c>
      <c r="S65" s="0" t="str">
        <f aca="false">IF(Q65="","",IF(RIGHT(UPPER(TRIM(L65&amp;"")),2)="-N","비경쟁",""))</f>
        <v/>
      </c>
      <c r="T65" s="0" t="str">
        <f aca="false">IF(Q65="","",IF(COUNTIF(참가자!$A$3:$A$52,Q65)=0,"명단에 없는 코드",""))</f>
        <v/>
      </c>
    </row>
    <row r="66" customFormat="false" ht="15" hidden="false" customHeight="false" outlineLevel="0" collapsed="false">
      <c r="L66" s="8"/>
      <c r="M66" s="8"/>
      <c r="N66" s="8"/>
      <c r="O66" s="8"/>
      <c r="Q66" s="0" t="str">
        <f aca="false">IF(UPPER(TRIM(L66&amp;""))="","",IF(RIGHT(UPPER(TRIM(L66&amp;"")),2)="-N",TRIM(LEFT(UPPER(TRIM(L66&amp;"")),LEN(UPPER(TRIM(L66&amp;"")))-2)),UPPER(TRIM(L66&amp;""))))</f>
        <v/>
      </c>
      <c r="R66" s="0" t="str">
        <f aca="false">IF(Q66="","",IF(ISNUMBER(O66),ROUND(O66,1),IF(AND(ISNUMBER(M66),ISNUMBER(N66)),IF(N66&gt;0,ROUND(M66/N66*100,1),""),"")))</f>
        <v/>
      </c>
      <c r="S66" s="0" t="str">
        <f aca="false">IF(Q66="","",IF(RIGHT(UPPER(TRIM(L66&amp;"")),2)="-N","비경쟁",""))</f>
        <v/>
      </c>
      <c r="T66" s="0" t="str">
        <f aca="false">IF(Q66="","",IF(COUNTIF(참가자!$A$3:$A$52,Q66)=0,"명단에 없는 코드",""))</f>
        <v/>
      </c>
    </row>
    <row r="67" customFormat="false" ht="15" hidden="false" customHeight="false" outlineLevel="0" collapsed="false">
      <c r="L67" s="8"/>
      <c r="M67" s="8"/>
      <c r="N67" s="8"/>
      <c r="O67" s="8"/>
      <c r="Q67" s="0" t="str">
        <f aca="false">IF(UPPER(TRIM(L67&amp;""))="","",IF(RIGHT(UPPER(TRIM(L67&amp;"")),2)="-N",TRIM(LEFT(UPPER(TRIM(L67&amp;"")),LEN(UPPER(TRIM(L67&amp;"")))-2)),UPPER(TRIM(L67&amp;""))))</f>
        <v/>
      </c>
      <c r="R67" s="0" t="str">
        <f aca="false">IF(Q67="","",IF(ISNUMBER(O67),ROUND(O67,1),IF(AND(ISNUMBER(M67),ISNUMBER(N67)),IF(N67&gt;0,ROUND(M67/N67*100,1),""),"")))</f>
        <v/>
      </c>
      <c r="S67" s="0" t="str">
        <f aca="false">IF(Q67="","",IF(RIGHT(UPPER(TRIM(L67&amp;"")),2)="-N","비경쟁",""))</f>
        <v/>
      </c>
      <c r="T67" s="0" t="str">
        <f aca="false">IF(Q67="","",IF(COUNTIF(참가자!$A$3:$A$52,Q67)=0,"명단에 없는 코드",""))</f>
        <v/>
      </c>
    </row>
    <row r="68" customFormat="false" ht="15" hidden="false" customHeight="false" outlineLevel="0" collapsed="false">
      <c r="L68" s="8"/>
      <c r="M68" s="8"/>
      <c r="N68" s="8"/>
      <c r="O68" s="8"/>
      <c r="Q68" s="0" t="str">
        <f aca="false">IF(UPPER(TRIM(L68&amp;""))="","",IF(RIGHT(UPPER(TRIM(L68&amp;"")),2)="-N",TRIM(LEFT(UPPER(TRIM(L68&amp;"")),LEN(UPPER(TRIM(L68&amp;"")))-2)),UPPER(TRIM(L68&amp;""))))</f>
        <v/>
      </c>
      <c r="R68" s="0" t="str">
        <f aca="false">IF(Q68="","",IF(ISNUMBER(O68),ROUND(O68,1),IF(AND(ISNUMBER(M68),ISNUMBER(N68)),IF(N68&gt;0,ROUND(M68/N68*100,1),""),"")))</f>
        <v/>
      </c>
      <c r="S68" s="0" t="str">
        <f aca="false">IF(Q68="","",IF(RIGHT(UPPER(TRIM(L68&amp;"")),2)="-N","비경쟁",""))</f>
        <v/>
      </c>
      <c r="T68" s="0" t="str">
        <f aca="false">IF(Q68="","",IF(COUNTIF(참가자!$A$3:$A$52,Q68)=0,"명단에 없는 코드",""))</f>
        <v/>
      </c>
    </row>
    <row r="69" customFormat="false" ht="15" hidden="false" customHeight="false" outlineLevel="0" collapsed="false">
      <c r="L69" s="8"/>
      <c r="M69" s="8"/>
      <c r="N69" s="8"/>
      <c r="O69" s="8"/>
      <c r="Q69" s="0" t="str">
        <f aca="false">IF(UPPER(TRIM(L69&amp;""))="","",IF(RIGHT(UPPER(TRIM(L69&amp;"")),2)="-N",TRIM(LEFT(UPPER(TRIM(L69&amp;"")),LEN(UPPER(TRIM(L69&amp;"")))-2)),UPPER(TRIM(L69&amp;""))))</f>
        <v/>
      </c>
      <c r="R69" s="0" t="str">
        <f aca="false">IF(Q69="","",IF(ISNUMBER(O69),ROUND(O69,1),IF(AND(ISNUMBER(M69),ISNUMBER(N69)),IF(N69&gt;0,ROUND(M69/N69*100,1),""),"")))</f>
        <v/>
      </c>
      <c r="S69" s="0" t="str">
        <f aca="false">IF(Q69="","",IF(RIGHT(UPPER(TRIM(L69&amp;"")),2)="-N","비경쟁",""))</f>
        <v/>
      </c>
      <c r="T69" s="0" t="str">
        <f aca="false">IF(Q69="","",IF(COUNTIF(참가자!$A$3:$A$52,Q69)=0,"명단에 없는 코드",""))</f>
        <v/>
      </c>
    </row>
    <row r="70" customFormat="false" ht="15" hidden="false" customHeight="false" outlineLevel="0" collapsed="false">
      <c r="L70" s="8"/>
      <c r="M70" s="8"/>
      <c r="N70" s="8"/>
      <c r="O70" s="8"/>
      <c r="Q70" s="0" t="str">
        <f aca="false">IF(UPPER(TRIM(L70&amp;""))="","",IF(RIGHT(UPPER(TRIM(L70&amp;"")),2)="-N",TRIM(LEFT(UPPER(TRIM(L70&amp;"")),LEN(UPPER(TRIM(L70&amp;"")))-2)),UPPER(TRIM(L70&amp;""))))</f>
        <v/>
      </c>
      <c r="R70" s="0" t="str">
        <f aca="false">IF(Q70="","",IF(ISNUMBER(O70),ROUND(O70,1),IF(AND(ISNUMBER(M70),ISNUMBER(N70)),IF(N70&gt;0,ROUND(M70/N70*100,1),""),"")))</f>
        <v/>
      </c>
      <c r="S70" s="0" t="str">
        <f aca="false">IF(Q70="","",IF(RIGHT(UPPER(TRIM(L70&amp;"")),2)="-N","비경쟁",""))</f>
        <v/>
      </c>
      <c r="T70" s="0" t="str">
        <f aca="false">IF(Q70="","",IF(COUNTIF(참가자!$A$3:$A$52,Q70)=0,"명단에 없는 코드",""))</f>
        <v/>
      </c>
    </row>
    <row r="71" customFormat="false" ht="15" hidden="false" customHeight="false" outlineLevel="0" collapsed="false">
      <c r="L71" s="8"/>
      <c r="M71" s="8"/>
      <c r="N71" s="8"/>
      <c r="O71" s="8"/>
      <c r="Q71" s="0" t="str">
        <f aca="false">IF(UPPER(TRIM(L71&amp;""))="","",IF(RIGHT(UPPER(TRIM(L71&amp;"")),2)="-N",TRIM(LEFT(UPPER(TRIM(L71&amp;"")),LEN(UPPER(TRIM(L71&amp;"")))-2)),UPPER(TRIM(L71&amp;""))))</f>
        <v/>
      </c>
      <c r="R71" s="0" t="str">
        <f aca="false">IF(Q71="","",IF(ISNUMBER(O71),ROUND(O71,1),IF(AND(ISNUMBER(M71),ISNUMBER(N71)),IF(N71&gt;0,ROUND(M71/N71*100,1),""),"")))</f>
        <v/>
      </c>
      <c r="S71" s="0" t="str">
        <f aca="false">IF(Q71="","",IF(RIGHT(UPPER(TRIM(L71&amp;"")),2)="-N","비경쟁",""))</f>
        <v/>
      </c>
      <c r="T71" s="0" t="str">
        <f aca="false">IF(Q71="","",IF(COUNTIF(참가자!$A$3:$A$52,Q71)=0,"명단에 없는 코드",""))</f>
        <v/>
      </c>
    </row>
    <row r="72" customFormat="false" ht="15" hidden="false" customHeight="false" outlineLevel="0" collapsed="false">
      <c r="L72" s="8"/>
      <c r="M72" s="8"/>
      <c r="N72" s="8"/>
      <c r="O72" s="8"/>
      <c r="Q72" s="0" t="str">
        <f aca="false">IF(UPPER(TRIM(L72&amp;""))="","",IF(RIGHT(UPPER(TRIM(L72&amp;"")),2)="-N",TRIM(LEFT(UPPER(TRIM(L72&amp;"")),LEN(UPPER(TRIM(L72&amp;"")))-2)),UPPER(TRIM(L72&amp;""))))</f>
        <v/>
      </c>
      <c r="R72" s="0" t="str">
        <f aca="false">IF(Q72="","",IF(ISNUMBER(O72),ROUND(O72,1),IF(AND(ISNUMBER(M72),ISNUMBER(N72)),IF(N72&gt;0,ROUND(M72/N72*100,1),""),"")))</f>
        <v/>
      </c>
      <c r="S72" s="0" t="str">
        <f aca="false">IF(Q72="","",IF(RIGHT(UPPER(TRIM(L72&amp;"")),2)="-N","비경쟁",""))</f>
        <v/>
      </c>
      <c r="T72" s="0" t="str">
        <f aca="false">IF(Q72="","",IF(COUNTIF(참가자!$A$3:$A$52,Q72)=0,"명단에 없는 코드",""))</f>
        <v/>
      </c>
    </row>
    <row r="73" customFormat="false" ht="15" hidden="false" customHeight="false" outlineLevel="0" collapsed="false">
      <c r="L73" s="8"/>
      <c r="M73" s="8"/>
      <c r="N73" s="8"/>
      <c r="O73" s="8"/>
      <c r="Q73" s="0" t="str">
        <f aca="false">IF(UPPER(TRIM(L73&amp;""))="","",IF(RIGHT(UPPER(TRIM(L73&amp;"")),2)="-N",TRIM(LEFT(UPPER(TRIM(L73&amp;"")),LEN(UPPER(TRIM(L73&amp;"")))-2)),UPPER(TRIM(L73&amp;""))))</f>
        <v/>
      </c>
      <c r="R73" s="0" t="str">
        <f aca="false">IF(Q73="","",IF(ISNUMBER(O73),ROUND(O73,1),IF(AND(ISNUMBER(M73),ISNUMBER(N73)),IF(N73&gt;0,ROUND(M73/N73*100,1),""),"")))</f>
        <v/>
      </c>
      <c r="S73" s="0" t="str">
        <f aca="false">IF(Q73="","",IF(RIGHT(UPPER(TRIM(L73&amp;"")),2)="-N","비경쟁",""))</f>
        <v/>
      </c>
      <c r="T73" s="0" t="str">
        <f aca="false">IF(Q73="","",IF(COUNTIF(참가자!$A$3:$A$52,Q73)=0,"명단에 없는 코드",""))</f>
        <v/>
      </c>
    </row>
    <row r="74" customFormat="false" ht="15" hidden="false" customHeight="false" outlineLevel="0" collapsed="false">
      <c r="L74" s="8"/>
      <c r="M74" s="8"/>
      <c r="N74" s="8"/>
      <c r="O74" s="8"/>
      <c r="Q74" s="0" t="str">
        <f aca="false">IF(UPPER(TRIM(L74&amp;""))="","",IF(RIGHT(UPPER(TRIM(L74&amp;"")),2)="-N",TRIM(LEFT(UPPER(TRIM(L74&amp;"")),LEN(UPPER(TRIM(L74&amp;"")))-2)),UPPER(TRIM(L74&amp;""))))</f>
        <v/>
      </c>
      <c r="R74" s="0" t="str">
        <f aca="false">IF(Q74="","",IF(ISNUMBER(O74),ROUND(O74,1),IF(AND(ISNUMBER(M74),ISNUMBER(N74)),IF(N74&gt;0,ROUND(M74/N74*100,1),""),"")))</f>
        <v/>
      </c>
      <c r="S74" s="0" t="str">
        <f aca="false">IF(Q74="","",IF(RIGHT(UPPER(TRIM(L74&amp;"")),2)="-N","비경쟁",""))</f>
        <v/>
      </c>
      <c r="T74" s="0" t="str">
        <f aca="false">IF(Q74="","",IF(COUNTIF(참가자!$A$3:$A$52,Q74)=0,"명단에 없는 코드",""))</f>
        <v/>
      </c>
    </row>
    <row r="75" customFormat="false" ht="15" hidden="false" customHeight="false" outlineLevel="0" collapsed="false">
      <c r="L75" s="8"/>
      <c r="M75" s="8"/>
      <c r="N75" s="8"/>
      <c r="O75" s="8"/>
      <c r="Q75" s="0" t="str">
        <f aca="false">IF(UPPER(TRIM(L75&amp;""))="","",IF(RIGHT(UPPER(TRIM(L75&amp;"")),2)="-N",TRIM(LEFT(UPPER(TRIM(L75&amp;"")),LEN(UPPER(TRIM(L75&amp;"")))-2)),UPPER(TRIM(L75&amp;""))))</f>
        <v/>
      </c>
      <c r="R75" s="0" t="str">
        <f aca="false">IF(Q75="","",IF(ISNUMBER(O75),ROUND(O75,1),IF(AND(ISNUMBER(M75),ISNUMBER(N75)),IF(N75&gt;0,ROUND(M75/N75*100,1),""),"")))</f>
        <v/>
      </c>
      <c r="S75" s="0" t="str">
        <f aca="false">IF(Q75="","",IF(RIGHT(UPPER(TRIM(L75&amp;"")),2)="-N","비경쟁",""))</f>
        <v/>
      </c>
      <c r="T75" s="0" t="str">
        <f aca="false">IF(Q75="","",IF(COUNTIF(참가자!$A$3:$A$52,Q75)=0,"명단에 없는 코드",""))</f>
        <v/>
      </c>
    </row>
    <row r="76" customFormat="false" ht="15" hidden="false" customHeight="false" outlineLevel="0" collapsed="false">
      <c r="L76" s="8"/>
      <c r="M76" s="8"/>
      <c r="N76" s="8"/>
      <c r="O76" s="8"/>
      <c r="Q76" s="0" t="str">
        <f aca="false">IF(UPPER(TRIM(L76&amp;""))="","",IF(RIGHT(UPPER(TRIM(L76&amp;"")),2)="-N",TRIM(LEFT(UPPER(TRIM(L76&amp;"")),LEN(UPPER(TRIM(L76&amp;"")))-2)),UPPER(TRIM(L76&amp;""))))</f>
        <v/>
      </c>
      <c r="R76" s="0" t="str">
        <f aca="false">IF(Q76="","",IF(ISNUMBER(O76),ROUND(O76,1),IF(AND(ISNUMBER(M76),ISNUMBER(N76)),IF(N76&gt;0,ROUND(M76/N76*100,1),""),"")))</f>
        <v/>
      </c>
      <c r="S76" s="0" t="str">
        <f aca="false">IF(Q76="","",IF(RIGHT(UPPER(TRIM(L76&amp;"")),2)="-N","비경쟁",""))</f>
        <v/>
      </c>
      <c r="T76" s="0" t="str">
        <f aca="false">IF(Q76="","",IF(COUNTIF(참가자!$A$3:$A$52,Q76)=0,"명단에 없는 코드",""))</f>
        <v/>
      </c>
    </row>
    <row r="77" customFormat="false" ht="15" hidden="false" customHeight="false" outlineLevel="0" collapsed="false">
      <c r="L77" s="8"/>
      <c r="M77" s="8"/>
      <c r="N77" s="8"/>
      <c r="O77" s="8"/>
      <c r="Q77" s="0" t="str">
        <f aca="false">IF(UPPER(TRIM(L77&amp;""))="","",IF(RIGHT(UPPER(TRIM(L77&amp;"")),2)="-N",TRIM(LEFT(UPPER(TRIM(L77&amp;"")),LEN(UPPER(TRIM(L77&amp;"")))-2)),UPPER(TRIM(L77&amp;""))))</f>
        <v/>
      </c>
      <c r="R77" s="0" t="str">
        <f aca="false">IF(Q77="","",IF(ISNUMBER(O77),ROUND(O77,1),IF(AND(ISNUMBER(M77),ISNUMBER(N77)),IF(N77&gt;0,ROUND(M77/N77*100,1),""),"")))</f>
        <v/>
      </c>
      <c r="S77" s="0" t="str">
        <f aca="false">IF(Q77="","",IF(RIGHT(UPPER(TRIM(L77&amp;"")),2)="-N","비경쟁",""))</f>
        <v/>
      </c>
      <c r="T77" s="0" t="str">
        <f aca="false">IF(Q77="","",IF(COUNTIF(참가자!$A$3:$A$52,Q77)=0,"명단에 없는 코드",""))</f>
        <v/>
      </c>
    </row>
    <row r="78" customFormat="false" ht="15" hidden="false" customHeight="false" outlineLevel="0" collapsed="false">
      <c r="L78" s="8"/>
      <c r="M78" s="8"/>
      <c r="N78" s="8"/>
      <c r="O78" s="8"/>
      <c r="Q78" s="0" t="str">
        <f aca="false">IF(UPPER(TRIM(L78&amp;""))="","",IF(RIGHT(UPPER(TRIM(L78&amp;"")),2)="-N",TRIM(LEFT(UPPER(TRIM(L78&amp;"")),LEN(UPPER(TRIM(L78&amp;"")))-2)),UPPER(TRIM(L78&amp;""))))</f>
        <v/>
      </c>
      <c r="R78" s="0" t="str">
        <f aca="false">IF(Q78="","",IF(ISNUMBER(O78),ROUND(O78,1),IF(AND(ISNUMBER(M78),ISNUMBER(N78)),IF(N78&gt;0,ROUND(M78/N78*100,1),""),"")))</f>
        <v/>
      </c>
      <c r="S78" s="0" t="str">
        <f aca="false">IF(Q78="","",IF(RIGHT(UPPER(TRIM(L78&amp;"")),2)="-N","비경쟁",""))</f>
        <v/>
      </c>
      <c r="T78" s="0" t="str">
        <f aca="false">IF(Q78="","",IF(COUNTIF(참가자!$A$3:$A$52,Q78)=0,"명단에 없는 코드",""))</f>
        <v/>
      </c>
    </row>
    <row r="79" customFormat="false" ht="15" hidden="false" customHeight="false" outlineLevel="0" collapsed="false">
      <c r="L79" s="8"/>
      <c r="M79" s="8"/>
      <c r="N79" s="8"/>
      <c r="O79" s="8"/>
      <c r="Q79" s="0" t="str">
        <f aca="false">IF(UPPER(TRIM(L79&amp;""))="","",IF(RIGHT(UPPER(TRIM(L79&amp;"")),2)="-N",TRIM(LEFT(UPPER(TRIM(L79&amp;"")),LEN(UPPER(TRIM(L79&amp;"")))-2)),UPPER(TRIM(L79&amp;""))))</f>
        <v/>
      </c>
      <c r="R79" s="0" t="str">
        <f aca="false">IF(Q79="","",IF(ISNUMBER(O79),ROUND(O79,1),IF(AND(ISNUMBER(M79),ISNUMBER(N79)),IF(N79&gt;0,ROUND(M79/N79*100,1),""),"")))</f>
        <v/>
      </c>
      <c r="S79" s="0" t="str">
        <f aca="false">IF(Q79="","",IF(RIGHT(UPPER(TRIM(L79&amp;"")),2)="-N","비경쟁",""))</f>
        <v/>
      </c>
      <c r="T79" s="0" t="str">
        <f aca="false">IF(Q79="","",IF(COUNTIF(참가자!$A$3:$A$52,Q79)=0,"명단에 없는 코드",""))</f>
        <v/>
      </c>
    </row>
    <row r="80" customFormat="false" ht="15" hidden="false" customHeight="false" outlineLevel="0" collapsed="false">
      <c r="L80" s="8"/>
      <c r="M80" s="8"/>
      <c r="N80" s="8"/>
      <c r="O80" s="8"/>
      <c r="Q80" s="0" t="str">
        <f aca="false">IF(UPPER(TRIM(L80&amp;""))="","",IF(RIGHT(UPPER(TRIM(L80&amp;"")),2)="-N",TRIM(LEFT(UPPER(TRIM(L80&amp;"")),LEN(UPPER(TRIM(L80&amp;"")))-2)),UPPER(TRIM(L80&amp;""))))</f>
        <v/>
      </c>
      <c r="R80" s="0" t="str">
        <f aca="false">IF(Q80="","",IF(ISNUMBER(O80),ROUND(O80,1),IF(AND(ISNUMBER(M80),ISNUMBER(N80)),IF(N80&gt;0,ROUND(M80/N80*100,1),""),"")))</f>
        <v/>
      </c>
      <c r="S80" s="0" t="str">
        <f aca="false">IF(Q80="","",IF(RIGHT(UPPER(TRIM(L80&amp;"")),2)="-N","비경쟁",""))</f>
        <v/>
      </c>
      <c r="T80" s="0" t="str">
        <f aca="false">IF(Q80="","",IF(COUNTIF(참가자!$A$3:$A$52,Q80)=0,"명단에 없는 코드",""))</f>
        <v/>
      </c>
    </row>
    <row r="81" customFormat="false" ht="15" hidden="false" customHeight="false" outlineLevel="0" collapsed="false">
      <c r="L81" s="8"/>
      <c r="M81" s="8"/>
      <c r="N81" s="8"/>
      <c r="O81" s="8"/>
      <c r="Q81" s="0" t="str">
        <f aca="false">IF(UPPER(TRIM(L81&amp;""))="","",IF(RIGHT(UPPER(TRIM(L81&amp;"")),2)="-N",TRIM(LEFT(UPPER(TRIM(L81&amp;"")),LEN(UPPER(TRIM(L81&amp;"")))-2)),UPPER(TRIM(L81&amp;""))))</f>
        <v/>
      </c>
      <c r="R81" s="0" t="str">
        <f aca="false">IF(Q81="","",IF(ISNUMBER(O81),ROUND(O81,1),IF(AND(ISNUMBER(M81),ISNUMBER(N81)),IF(N81&gt;0,ROUND(M81/N81*100,1),""),"")))</f>
        <v/>
      </c>
      <c r="S81" s="0" t="str">
        <f aca="false">IF(Q81="","",IF(RIGHT(UPPER(TRIM(L81&amp;"")),2)="-N","비경쟁",""))</f>
        <v/>
      </c>
      <c r="T81" s="0" t="str">
        <f aca="false">IF(Q81="","",IF(COUNTIF(참가자!$A$3:$A$52,Q81)=0,"명단에 없는 코드",""))</f>
        <v/>
      </c>
    </row>
    <row r="82" customFormat="false" ht="15" hidden="false" customHeight="false" outlineLevel="0" collapsed="false">
      <c r="L82" s="8"/>
      <c r="M82" s="8"/>
      <c r="N82" s="8"/>
      <c r="O82" s="8"/>
      <c r="Q82" s="0" t="str">
        <f aca="false">IF(UPPER(TRIM(L82&amp;""))="","",IF(RIGHT(UPPER(TRIM(L82&amp;"")),2)="-N",TRIM(LEFT(UPPER(TRIM(L82&amp;"")),LEN(UPPER(TRIM(L82&amp;"")))-2)),UPPER(TRIM(L82&amp;""))))</f>
        <v/>
      </c>
      <c r="R82" s="0" t="str">
        <f aca="false">IF(Q82="","",IF(ISNUMBER(O82),ROUND(O82,1),IF(AND(ISNUMBER(M82),ISNUMBER(N82)),IF(N82&gt;0,ROUND(M82/N82*100,1),""),"")))</f>
        <v/>
      </c>
      <c r="S82" s="0" t="str">
        <f aca="false">IF(Q82="","",IF(RIGHT(UPPER(TRIM(L82&amp;"")),2)="-N","비경쟁",""))</f>
        <v/>
      </c>
      <c r="T82" s="0" t="str">
        <f aca="false">IF(Q82="","",IF(COUNTIF(참가자!$A$3:$A$52,Q82)=0,"명단에 없는 코드",""))</f>
        <v/>
      </c>
    </row>
    <row r="83" customFormat="false" ht="15" hidden="false" customHeight="false" outlineLevel="0" collapsed="false">
      <c r="L83" s="8"/>
      <c r="M83" s="8"/>
      <c r="N83" s="8"/>
      <c r="O83" s="8"/>
      <c r="Q83" s="0" t="str">
        <f aca="false">IF(UPPER(TRIM(L83&amp;""))="","",IF(RIGHT(UPPER(TRIM(L83&amp;"")),2)="-N",TRIM(LEFT(UPPER(TRIM(L83&amp;"")),LEN(UPPER(TRIM(L83&amp;"")))-2)),UPPER(TRIM(L83&amp;""))))</f>
        <v/>
      </c>
      <c r="R83" s="0" t="str">
        <f aca="false">IF(Q83="","",IF(ISNUMBER(O83),ROUND(O83,1),IF(AND(ISNUMBER(M83),ISNUMBER(N83)),IF(N83&gt;0,ROUND(M83/N83*100,1),""),"")))</f>
        <v/>
      </c>
      <c r="S83" s="0" t="str">
        <f aca="false">IF(Q83="","",IF(RIGHT(UPPER(TRIM(L83&amp;"")),2)="-N","비경쟁",""))</f>
        <v/>
      </c>
      <c r="T83" s="0" t="str">
        <f aca="false">IF(Q83="","",IF(COUNTIF(참가자!$A$3:$A$52,Q83)=0,"명단에 없는 코드",""))</f>
        <v/>
      </c>
    </row>
    <row r="84" customFormat="false" ht="15" hidden="false" customHeight="false" outlineLevel="0" collapsed="false">
      <c r="L84" s="8"/>
      <c r="M84" s="8"/>
      <c r="N84" s="8"/>
      <c r="O84" s="8"/>
      <c r="Q84" s="0" t="str">
        <f aca="false">IF(UPPER(TRIM(L84&amp;""))="","",IF(RIGHT(UPPER(TRIM(L84&amp;"")),2)="-N",TRIM(LEFT(UPPER(TRIM(L84&amp;"")),LEN(UPPER(TRIM(L84&amp;"")))-2)),UPPER(TRIM(L84&amp;""))))</f>
        <v/>
      </c>
      <c r="R84" s="0" t="str">
        <f aca="false">IF(Q84="","",IF(ISNUMBER(O84),ROUND(O84,1),IF(AND(ISNUMBER(M84),ISNUMBER(N84)),IF(N84&gt;0,ROUND(M84/N84*100,1),""),"")))</f>
        <v/>
      </c>
      <c r="S84" s="0" t="str">
        <f aca="false">IF(Q84="","",IF(RIGHT(UPPER(TRIM(L84&amp;"")),2)="-N","비경쟁",""))</f>
        <v/>
      </c>
      <c r="T84" s="0" t="str">
        <f aca="false">IF(Q84="","",IF(COUNTIF(참가자!$A$3:$A$52,Q84)=0,"명단에 없는 코드",""))</f>
        <v/>
      </c>
    </row>
    <row r="85" customFormat="false" ht="15" hidden="false" customHeight="false" outlineLevel="0" collapsed="false">
      <c r="L85" s="8"/>
      <c r="M85" s="8"/>
      <c r="N85" s="8"/>
      <c r="O85" s="8"/>
      <c r="Q85" s="0" t="str">
        <f aca="false">IF(UPPER(TRIM(L85&amp;""))="","",IF(RIGHT(UPPER(TRIM(L85&amp;"")),2)="-N",TRIM(LEFT(UPPER(TRIM(L85&amp;"")),LEN(UPPER(TRIM(L85&amp;"")))-2)),UPPER(TRIM(L85&amp;""))))</f>
        <v/>
      </c>
      <c r="R85" s="0" t="str">
        <f aca="false">IF(Q85="","",IF(ISNUMBER(O85),ROUND(O85,1),IF(AND(ISNUMBER(M85),ISNUMBER(N85)),IF(N85&gt;0,ROUND(M85/N85*100,1),""),"")))</f>
        <v/>
      </c>
      <c r="S85" s="0" t="str">
        <f aca="false">IF(Q85="","",IF(RIGHT(UPPER(TRIM(L85&amp;"")),2)="-N","비경쟁",""))</f>
        <v/>
      </c>
      <c r="T85" s="0" t="str">
        <f aca="false">IF(Q85="","",IF(COUNTIF(참가자!$A$3:$A$52,Q85)=0,"명단에 없는 코드",""))</f>
        <v/>
      </c>
    </row>
    <row r="86" customFormat="false" ht="15" hidden="false" customHeight="false" outlineLevel="0" collapsed="false">
      <c r="L86" s="8"/>
      <c r="M86" s="8"/>
      <c r="N86" s="8"/>
      <c r="O86" s="8"/>
      <c r="Q86" s="0" t="str">
        <f aca="false">IF(UPPER(TRIM(L86&amp;""))="","",IF(RIGHT(UPPER(TRIM(L86&amp;"")),2)="-N",TRIM(LEFT(UPPER(TRIM(L86&amp;"")),LEN(UPPER(TRIM(L86&amp;"")))-2)),UPPER(TRIM(L86&amp;""))))</f>
        <v/>
      </c>
      <c r="R86" s="0" t="str">
        <f aca="false">IF(Q86="","",IF(ISNUMBER(O86),ROUND(O86,1),IF(AND(ISNUMBER(M86),ISNUMBER(N86)),IF(N86&gt;0,ROUND(M86/N86*100,1),""),"")))</f>
        <v/>
      </c>
      <c r="S86" s="0" t="str">
        <f aca="false">IF(Q86="","",IF(RIGHT(UPPER(TRIM(L86&amp;"")),2)="-N","비경쟁",""))</f>
        <v/>
      </c>
      <c r="T86" s="0" t="str">
        <f aca="false">IF(Q86="","",IF(COUNTIF(참가자!$A$3:$A$52,Q86)=0,"명단에 없는 코드",""))</f>
        <v/>
      </c>
    </row>
    <row r="87" customFormat="false" ht="15" hidden="false" customHeight="false" outlineLevel="0" collapsed="false">
      <c r="L87" s="8"/>
      <c r="M87" s="8"/>
      <c r="N87" s="8"/>
      <c r="O87" s="8"/>
      <c r="Q87" s="0" t="str">
        <f aca="false">IF(UPPER(TRIM(L87&amp;""))="","",IF(RIGHT(UPPER(TRIM(L87&amp;"")),2)="-N",TRIM(LEFT(UPPER(TRIM(L87&amp;"")),LEN(UPPER(TRIM(L87&amp;"")))-2)),UPPER(TRIM(L87&amp;""))))</f>
        <v/>
      </c>
      <c r="R87" s="0" t="str">
        <f aca="false">IF(Q87="","",IF(ISNUMBER(O87),ROUND(O87,1),IF(AND(ISNUMBER(M87),ISNUMBER(N87)),IF(N87&gt;0,ROUND(M87/N87*100,1),""),"")))</f>
        <v/>
      </c>
      <c r="S87" s="0" t="str">
        <f aca="false">IF(Q87="","",IF(RIGHT(UPPER(TRIM(L87&amp;"")),2)="-N","비경쟁",""))</f>
        <v/>
      </c>
      <c r="T87" s="0" t="str">
        <f aca="false">IF(Q87="","",IF(COUNTIF(참가자!$A$3:$A$52,Q87)=0,"명단에 없는 코드",""))</f>
        <v/>
      </c>
    </row>
    <row r="88" customFormat="false" ht="15" hidden="false" customHeight="false" outlineLevel="0" collapsed="false">
      <c r="L88" s="8"/>
      <c r="M88" s="8"/>
      <c r="N88" s="8"/>
      <c r="O88" s="8"/>
      <c r="Q88" s="0" t="str">
        <f aca="false">IF(UPPER(TRIM(L88&amp;""))="","",IF(RIGHT(UPPER(TRIM(L88&amp;"")),2)="-N",TRIM(LEFT(UPPER(TRIM(L88&amp;"")),LEN(UPPER(TRIM(L88&amp;"")))-2)),UPPER(TRIM(L88&amp;""))))</f>
        <v/>
      </c>
      <c r="R88" s="0" t="str">
        <f aca="false">IF(Q88="","",IF(ISNUMBER(O88),ROUND(O88,1),IF(AND(ISNUMBER(M88),ISNUMBER(N88)),IF(N88&gt;0,ROUND(M88/N88*100,1),""),"")))</f>
        <v/>
      </c>
      <c r="S88" s="0" t="str">
        <f aca="false">IF(Q88="","",IF(RIGHT(UPPER(TRIM(L88&amp;"")),2)="-N","비경쟁",""))</f>
        <v/>
      </c>
      <c r="T88" s="0" t="str">
        <f aca="false">IF(Q88="","",IF(COUNTIF(참가자!$A$3:$A$52,Q88)=0,"명단에 없는 코드",""))</f>
        <v/>
      </c>
    </row>
    <row r="89" customFormat="false" ht="15" hidden="false" customHeight="false" outlineLevel="0" collapsed="false">
      <c r="L89" s="8"/>
      <c r="M89" s="8"/>
      <c r="N89" s="8"/>
      <c r="O89" s="8"/>
      <c r="Q89" s="0" t="str">
        <f aca="false">IF(UPPER(TRIM(L89&amp;""))="","",IF(RIGHT(UPPER(TRIM(L89&amp;"")),2)="-N",TRIM(LEFT(UPPER(TRIM(L89&amp;"")),LEN(UPPER(TRIM(L89&amp;"")))-2)),UPPER(TRIM(L89&amp;""))))</f>
        <v/>
      </c>
      <c r="R89" s="0" t="str">
        <f aca="false">IF(Q89="","",IF(ISNUMBER(O89),ROUND(O89,1),IF(AND(ISNUMBER(M89),ISNUMBER(N89)),IF(N89&gt;0,ROUND(M89/N89*100,1),""),"")))</f>
        <v/>
      </c>
      <c r="S89" s="0" t="str">
        <f aca="false">IF(Q89="","",IF(RIGHT(UPPER(TRIM(L89&amp;"")),2)="-N","비경쟁",""))</f>
        <v/>
      </c>
      <c r="T89" s="0" t="str">
        <f aca="false">IF(Q89="","",IF(COUNTIF(참가자!$A$3:$A$52,Q89)=0,"명단에 없는 코드",""))</f>
        <v/>
      </c>
    </row>
    <row r="90" customFormat="false" ht="15" hidden="false" customHeight="false" outlineLevel="0" collapsed="false">
      <c r="L90" s="8"/>
      <c r="M90" s="8"/>
      <c r="N90" s="8"/>
      <c r="O90" s="8"/>
      <c r="Q90" s="0" t="str">
        <f aca="false">IF(UPPER(TRIM(L90&amp;""))="","",IF(RIGHT(UPPER(TRIM(L90&amp;"")),2)="-N",TRIM(LEFT(UPPER(TRIM(L90&amp;"")),LEN(UPPER(TRIM(L90&amp;"")))-2)),UPPER(TRIM(L90&amp;""))))</f>
        <v/>
      </c>
      <c r="R90" s="0" t="str">
        <f aca="false">IF(Q90="","",IF(ISNUMBER(O90),ROUND(O90,1),IF(AND(ISNUMBER(M90),ISNUMBER(N90)),IF(N90&gt;0,ROUND(M90/N90*100,1),""),"")))</f>
        <v/>
      </c>
      <c r="S90" s="0" t="str">
        <f aca="false">IF(Q90="","",IF(RIGHT(UPPER(TRIM(L90&amp;"")),2)="-N","비경쟁",""))</f>
        <v/>
      </c>
      <c r="T90" s="0" t="str">
        <f aca="false">IF(Q90="","",IF(COUNTIF(참가자!$A$3:$A$52,Q90)=0,"명단에 없는 코드",""))</f>
        <v/>
      </c>
    </row>
    <row r="91" customFormat="false" ht="15" hidden="false" customHeight="false" outlineLevel="0" collapsed="false">
      <c r="L91" s="8"/>
      <c r="M91" s="8"/>
      <c r="N91" s="8"/>
      <c r="O91" s="8"/>
      <c r="Q91" s="0" t="str">
        <f aca="false">IF(UPPER(TRIM(L91&amp;""))="","",IF(RIGHT(UPPER(TRIM(L91&amp;"")),2)="-N",TRIM(LEFT(UPPER(TRIM(L91&amp;"")),LEN(UPPER(TRIM(L91&amp;"")))-2)),UPPER(TRIM(L91&amp;""))))</f>
        <v/>
      </c>
      <c r="R91" s="0" t="str">
        <f aca="false">IF(Q91="","",IF(ISNUMBER(O91),ROUND(O91,1),IF(AND(ISNUMBER(M91),ISNUMBER(N91)),IF(N91&gt;0,ROUND(M91/N91*100,1),""),"")))</f>
        <v/>
      </c>
      <c r="S91" s="0" t="str">
        <f aca="false">IF(Q91="","",IF(RIGHT(UPPER(TRIM(L91&amp;"")),2)="-N","비경쟁",""))</f>
        <v/>
      </c>
      <c r="T91" s="0" t="str">
        <f aca="false">IF(Q91="","",IF(COUNTIF(참가자!$A$3:$A$52,Q91)=0,"명단에 없는 코드",""))</f>
        <v/>
      </c>
    </row>
    <row r="92" customFormat="false" ht="15" hidden="false" customHeight="false" outlineLevel="0" collapsed="false">
      <c r="L92" s="8"/>
      <c r="M92" s="8"/>
      <c r="N92" s="8"/>
      <c r="O92" s="8"/>
      <c r="Q92" s="0" t="str">
        <f aca="false">IF(UPPER(TRIM(L92&amp;""))="","",IF(RIGHT(UPPER(TRIM(L92&amp;"")),2)="-N",TRIM(LEFT(UPPER(TRIM(L92&amp;"")),LEN(UPPER(TRIM(L92&amp;"")))-2)),UPPER(TRIM(L92&amp;""))))</f>
        <v/>
      </c>
      <c r="R92" s="0" t="str">
        <f aca="false">IF(Q92="","",IF(ISNUMBER(O92),ROUND(O92,1),IF(AND(ISNUMBER(M92),ISNUMBER(N92)),IF(N92&gt;0,ROUND(M92/N92*100,1),""),"")))</f>
        <v/>
      </c>
      <c r="S92" s="0" t="str">
        <f aca="false">IF(Q92="","",IF(RIGHT(UPPER(TRIM(L92&amp;"")),2)="-N","비경쟁",""))</f>
        <v/>
      </c>
      <c r="T92" s="0" t="str">
        <f aca="false">IF(Q92="","",IF(COUNTIF(참가자!$A$3:$A$52,Q92)=0,"명단에 없는 코드",""))</f>
        <v/>
      </c>
    </row>
    <row r="93" customFormat="false" ht="15" hidden="false" customHeight="false" outlineLevel="0" collapsed="false">
      <c r="L93" s="8"/>
      <c r="M93" s="8"/>
      <c r="N93" s="8"/>
      <c r="O93" s="8"/>
      <c r="Q93" s="0" t="str">
        <f aca="false">IF(UPPER(TRIM(L93&amp;""))="","",IF(RIGHT(UPPER(TRIM(L93&amp;"")),2)="-N",TRIM(LEFT(UPPER(TRIM(L93&amp;"")),LEN(UPPER(TRIM(L93&amp;"")))-2)),UPPER(TRIM(L93&amp;""))))</f>
        <v/>
      </c>
      <c r="R93" s="0" t="str">
        <f aca="false">IF(Q93="","",IF(ISNUMBER(O93),ROUND(O93,1),IF(AND(ISNUMBER(M93),ISNUMBER(N93)),IF(N93&gt;0,ROUND(M93/N93*100,1),""),"")))</f>
        <v/>
      </c>
      <c r="S93" s="0" t="str">
        <f aca="false">IF(Q93="","",IF(RIGHT(UPPER(TRIM(L93&amp;"")),2)="-N","비경쟁",""))</f>
        <v/>
      </c>
      <c r="T93" s="0" t="str">
        <f aca="false">IF(Q93="","",IF(COUNTIF(참가자!$A$3:$A$52,Q93)=0,"명단에 없는 코드",""))</f>
        <v/>
      </c>
    </row>
    <row r="94" customFormat="false" ht="15" hidden="false" customHeight="false" outlineLevel="0" collapsed="false">
      <c r="L94" s="8"/>
      <c r="M94" s="8"/>
      <c r="N94" s="8"/>
      <c r="O94" s="8"/>
      <c r="Q94" s="0" t="str">
        <f aca="false">IF(UPPER(TRIM(L94&amp;""))="","",IF(RIGHT(UPPER(TRIM(L94&amp;"")),2)="-N",TRIM(LEFT(UPPER(TRIM(L94&amp;"")),LEN(UPPER(TRIM(L94&amp;"")))-2)),UPPER(TRIM(L94&amp;""))))</f>
        <v/>
      </c>
      <c r="R94" s="0" t="str">
        <f aca="false">IF(Q94="","",IF(ISNUMBER(O94),ROUND(O94,1),IF(AND(ISNUMBER(M94),ISNUMBER(N94)),IF(N94&gt;0,ROUND(M94/N94*100,1),""),"")))</f>
        <v/>
      </c>
      <c r="S94" s="0" t="str">
        <f aca="false">IF(Q94="","",IF(RIGHT(UPPER(TRIM(L94&amp;"")),2)="-N","비경쟁",""))</f>
        <v/>
      </c>
      <c r="T94" s="0" t="str">
        <f aca="false">IF(Q94="","",IF(COUNTIF(참가자!$A$3:$A$52,Q94)=0,"명단에 없는 코드",""))</f>
        <v/>
      </c>
    </row>
    <row r="95" customFormat="false" ht="15" hidden="false" customHeight="false" outlineLevel="0" collapsed="false">
      <c r="L95" s="8"/>
      <c r="M95" s="8"/>
      <c r="N95" s="8"/>
      <c r="O95" s="8"/>
      <c r="Q95" s="0" t="str">
        <f aca="false">IF(UPPER(TRIM(L95&amp;""))="","",IF(RIGHT(UPPER(TRIM(L95&amp;"")),2)="-N",TRIM(LEFT(UPPER(TRIM(L95&amp;"")),LEN(UPPER(TRIM(L95&amp;"")))-2)),UPPER(TRIM(L95&amp;""))))</f>
        <v/>
      </c>
      <c r="R95" s="0" t="str">
        <f aca="false">IF(Q95="","",IF(ISNUMBER(O95),ROUND(O95,1),IF(AND(ISNUMBER(M95),ISNUMBER(N95)),IF(N95&gt;0,ROUND(M95/N95*100,1),""),"")))</f>
        <v/>
      </c>
      <c r="S95" s="0" t="str">
        <f aca="false">IF(Q95="","",IF(RIGHT(UPPER(TRIM(L95&amp;"")),2)="-N","비경쟁",""))</f>
        <v/>
      </c>
      <c r="T95" s="0" t="str">
        <f aca="false">IF(Q95="","",IF(COUNTIF(참가자!$A$3:$A$52,Q95)=0,"명단에 없는 코드",""))</f>
        <v/>
      </c>
    </row>
    <row r="96" customFormat="false" ht="15" hidden="false" customHeight="false" outlineLevel="0" collapsed="false">
      <c r="L96" s="8"/>
      <c r="M96" s="8"/>
      <c r="N96" s="8"/>
      <c r="O96" s="8"/>
      <c r="Q96" s="0" t="str">
        <f aca="false">IF(UPPER(TRIM(L96&amp;""))="","",IF(RIGHT(UPPER(TRIM(L96&amp;"")),2)="-N",TRIM(LEFT(UPPER(TRIM(L96&amp;"")),LEN(UPPER(TRIM(L96&amp;"")))-2)),UPPER(TRIM(L96&amp;""))))</f>
        <v/>
      </c>
      <c r="R96" s="0" t="str">
        <f aca="false">IF(Q96="","",IF(ISNUMBER(O96),ROUND(O96,1),IF(AND(ISNUMBER(M96),ISNUMBER(N96)),IF(N96&gt;0,ROUND(M96/N96*100,1),""),"")))</f>
        <v/>
      </c>
      <c r="S96" s="0" t="str">
        <f aca="false">IF(Q96="","",IF(RIGHT(UPPER(TRIM(L96&amp;"")),2)="-N","비경쟁",""))</f>
        <v/>
      </c>
      <c r="T96" s="0" t="str">
        <f aca="false">IF(Q96="","",IF(COUNTIF(참가자!$A$3:$A$52,Q96)=0,"명단에 없는 코드",""))</f>
        <v/>
      </c>
    </row>
    <row r="97" customFormat="false" ht="15" hidden="false" customHeight="false" outlineLevel="0" collapsed="false">
      <c r="L97" s="8"/>
      <c r="M97" s="8"/>
      <c r="N97" s="8"/>
      <c r="O97" s="8"/>
      <c r="Q97" s="0" t="str">
        <f aca="false">IF(UPPER(TRIM(L97&amp;""))="","",IF(RIGHT(UPPER(TRIM(L97&amp;"")),2)="-N",TRIM(LEFT(UPPER(TRIM(L97&amp;"")),LEN(UPPER(TRIM(L97&amp;"")))-2)),UPPER(TRIM(L97&amp;""))))</f>
        <v/>
      </c>
      <c r="R97" s="0" t="str">
        <f aca="false">IF(Q97="","",IF(ISNUMBER(O97),ROUND(O97,1),IF(AND(ISNUMBER(M97),ISNUMBER(N97)),IF(N97&gt;0,ROUND(M97/N97*100,1),""),"")))</f>
        <v/>
      </c>
      <c r="S97" s="0" t="str">
        <f aca="false">IF(Q97="","",IF(RIGHT(UPPER(TRIM(L97&amp;"")),2)="-N","비경쟁",""))</f>
        <v/>
      </c>
      <c r="T97" s="0" t="str">
        <f aca="false">IF(Q97="","",IF(COUNTIF(참가자!$A$3:$A$52,Q97)=0,"명단에 없는 코드",""))</f>
        <v/>
      </c>
    </row>
    <row r="98" customFormat="false" ht="15" hidden="false" customHeight="false" outlineLevel="0" collapsed="false">
      <c r="L98" s="8"/>
      <c r="M98" s="8"/>
      <c r="N98" s="8"/>
      <c r="O98" s="8"/>
      <c r="Q98" s="0" t="str">
        <f aca="false">IF(UPPER(TRIM(L98&amp;""))="","",IF(RIGHT(UPPER(TRIM(L98&amp;"")),2)="-N",TRIM(LEFT(UPPER(TRIM(L98&amp;"")),LEN(UPPER(TRIM(L98&amp;"")))-2)),UPPER(TRIM(L98&amp;""))))</f>
        <v/>
      </c>
      <c r="R98" s="0" t="str">
        <f aca="false">IF(Q98="","",IF(ISNUMBER(O98),ROUND(O98,1),IF(AND(ISNUMBER(M98),ISNUMBER(N98)),IF(N98&gt;0,ROUND(M98/N98*100,1),""),"")))</f>
        <v/>
      </c>
      <c r="S98" s="0" t="str">
        <f aca="false">IF(Q98="","",IF(RIGHT(UPPER(TRIM(L98&amp;"")),2)="-N","비경쟁",""))</f>
        <v/>
      </c>
      <c r="T98" s="0" t="str">
        <f aca="false">IF(Q98="","",IF(COUNTIF(참가자!$A$3:$A$52,Q98)=0,"명단에 없는 코드",""))</f>
        <v/>
      </c>
    </row>
    <row r="99" customFormat="false" ht="15" hidden="false" customHeight="false" outlineLevel="0" collapsed="false">
      <c r="L99" s="8"/>
      <c r="M99" s="8"/>
      <c r="N99" s="8"/>
      <c r="O99" s="8"/>
      <c r="Q99" s="0" t="str">
        <f aca="false">IF(UPPER(TRIM(L99&amp;""))="","",IF(RIGHT(UPPER(TRIM(L99&amp;"")),2)="-N",TRIM(LEFT(UPPER(TRIM(L99&amp;"")),LEN(UPPER(TRIM(L99&amp;"")))-2)),UPPER(TRIM(L99&amp;""))))</f>
        <v/>
      </c>
      <c r="R99" s="0" t="str">
        <f aca="false">IF(Q99="","",IF(ISNUMBER(O99),ROUND(O99,1),IF(AND(ISNUMBER(M99),ISNUMBER(N99)),IF(N99&gt;0,ROUND(M99/N99*100,1),""),"")))</f>
        <v/>
      </c>
      <c r="S99" s="0" t="str">
        <f aca="false">IF(Q99="","",IF(RIGHT(UPPER(TRIM(L99&amp;"")),2)="-N","비경쟁",""))</f>
        <v/>
      </c>
      <c r="T99" s="0" t="str">
        <f aca="false">IF(Q99="","",IF(COUNTIF(참가자!$A$3:$A$52,Q99)=0,"명단에 없는 코드",""))</f>
        <v/>
      </c>
    </row>
    <row r="100" customFormat="false" ht="15" hidden="false" customHeight="false" outlineLevel="0" collapsed="false">
      <c r="L100" s="8"/>
      <c r="M100" s="8"/>
      <c r="N100" s="8"/>
      <c r="O100" s="8"/>
      <c r="Q100" s="0" t="str">
        <f aca="false">IF(UPPER(TRIM(L100&amp;""))="","",IF(RIGHT(UPPER(TRIM(L100&amp;"")),2)="-N",TRIM(LEFT(UPPER(TRIM(L100&amp;"")),LEN(UPPER(TRIM(L100&amp;"")))-2)),UPPER(TRIM(L100&amp;""))))</f>
        <v/>
      </c>
      <c r="R100" s="0" t="str">
        <f aca="false">IF(Q100="","",IF(ISNUMBER(O100),ROUND(O100,1),IF(AND(ISNUMBER(M100),ISNUMBER(N100)),IF(N100&gt;0,ROUND(M100/N100*100,1),""),"")))</f>
        <v/>
      </c>
      <c r="S100" s="0" t="str">
        <f aca="false">IF(Q100="","",IF(RIGHT(UPPER(TRIM(L100&amp;"")),2)="-N","비경쟁",""))</f>
        <v/>
      </c>
      <c r="T100" s="0" t="str">
        <f aca="false">IF(Q100="","",IF(COUNTIF(참가자!$A$3:$A$52,Q100)=0,"명단에 없는 코드",""))</f>
        <v/>
      </c>
    </row>
    <row r="101" customFormat="false" ht="15" hidden="false" customHeight="false" outlineLevel="0" collapsed="false">
      <c r="L101" s="8"/>
      <c r="M101" s="8"/>
      <c r="N101" s="8"/>
      <c r="O101" s="8"/>
      <c r="Q101" s="0" t="str">
        <f aca="false">IF(UPPER(TRIM(L101&amp;""))="","",IF(RIGHT(UPPER(TRIM(L101&amp;"")),2)="-N",TRIM(LEFT(UPPER(TRIM(L101&amp;"")),LEN(UPPER(TRIM(L101&amp;"")))-2)),UPPER(TRIM(L101&amp;""))))</f>
        <v/>
      </c>
      <c r="R101" s="0" t="str">
        <f aca="false">IF(Q101="","",IF(ISNUMBER(O101),ROUND(O101,1),IF(AND(ISNUMBER(M101),ISNUMBER(N101)),IF(N101&gt;0,ROUND(M101/N101*100,1),""),"")))</f>
        <v/>
      </c>
      <c r="S101" s="0" t="str">
        <f aca="false">IF(Q101="","",IF(RIGHT(UPPER(TRIM(L101&amp;"")),2)="-N","비경쟁",""))</f>
        <v/>
      </c>
      <c r="T101" s="0" t="str">
        <f aca="false">IF(Q101="","",IF(COUNTIF(참가자!$A$3:$A$52,Q101)=0,"명단에 없는 코드",""))</f>
        <v/>
      </c>
    </row>
    <row r="102" customFormat="false" ht="15" hidden="false" customHeight="false" outlineLevel="0" collapsed="false">
      <c r="L102" s="8"/>
      <c r="M102" s="8"/>
      <c r="N102" s="8"/>
      <c r="O102" s="8"/>
      <c r="Q102" s="0" t="str">
        <f aca="false">IF(UPPER(TRIM(L102&amp;""))="","",IF(RIGHT(UPPER(TRIM(L102&amp;"")),2)="-N",TRIM(LEFT(UPPER(TRIM(L102&amp;"")),LEN(UPPER(TRIM(L102&amp;"")))-2)),UPPER(TRIM(L102&amp;""))))</f>
        <v/>
      </c>
      <c r="R102" s="0" t="str">
        <f aca="false">IF(Q102="","",IF(ISNUMBER(O102),ROUND(O102,1),IF(AND(ISNUMBER(M102),ISNUMBER(N102)),IF(N102&gt;0,ROUND(M102/N102*100,1),""),"")))</f>
        <v/>
      </c>
      <c r="S102" s="0" t="str">
        <f aca="false">IF(Q102="","",IF(RIGHT(UPPER(TRIM(L102&amp;"")),2)="-N","비경쟁",""))</f>
        <v/>
      </c>
      <c r="T102" s="0" t="str">
        <f aca="false">IF(Q102="","",IF(COUNTIF(참가자!$A$3:$A$52,Q102)=0,"명단에 없는 코드",""))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7" min="4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3"/>
    <col collapsed="false" customWidth="true" hidden="false" outlineLevel="0" max="12" min="12" style="0" width="12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4" t="s">
        <v>31</v>
      </c>
      <c r="L1" s="1" t="s">
        <v>21</v>
      </c>
    </row>
    <row r="2" customFormat="false" ht="68.65" hidden="false" customHeight="false" outlineLevel="0" collapsed="false">
      <c r="A2" s="5" t="s">
        <v>1</v>
      </c>
      <c r="B2" s="5" t="s">
        <v>2</v>
      </c>
      <c r="C2" s="5" t="s">
        <v>22</v>
      </c>
      <c r="D2" s="5" t="s">
        <v>23</v>
      </c>
      <c r="E2" s="5" t="s">
        <v>24</v>
      </c>
      <c r="F2" s="5" t="s">
        <v>32</v>
      </c>
      <c r="G2" s="5" t="s">
        <v>33</v>
      </c>
      <c r="H2" s="5" t="s">
        <v>34</v>
      </c>
      <c r="L2" s="6" t="s">
        <v>1</v>
      </c>
      <c r="M2" s="6" t="s">
        <v>25</v>
      </c>
      <c r="N2" s="6" t="s">
        <v>26</v>
      </c>
      <c r="O2" s="6" t="s">
        <v>22</v>
      </c>
      <c r="Q2" s="2" t="s">
        <v>27</v>
      </c>
      <c r="R2" s="2" t="s">
        <v>28</v>
      </c>
      <c r="S2" s="2" t="s">
        <v>29</v>
      </c>
      <c r="T2" s="2" t="s">
        <v>30</v>
      </c>
    </row>
    <row r="3" customFormat="false" ht="15" hidden="false" customHeight="false" outlineLevel="0" collapsed="false">
      <c r="A3" s="7" t="str">
        <f aca="false">IF(참가자!A3="","",UPPER(TRIM(참가자!A3)))</f>
        <v>K7QM</v>
      </c>
      <c r="B3" s="7" t="str">
        <f aca="false">IF(A3="","",IF(참가자!B3="","(팀 없음)",TRIM(참가자!B3)))</f>
        <v>1팀</v>
      </c>
      <c r="C3" s="7" t="n">
        <f aca="false">IF(A3="","",IFERROR(INDEX($R$3:$R$102,MATCH(A3,$Q$3:$Q$102,0)),""))</f>
        <v>50</v>
      </c>
      <c r="D3" s="7" t="str">
        <f aca="false">IF(A3="","",IF(C3="","결석",IF(IFERROR(INDEX($S$3:$S$102,MATCH(A3,$Q$3:$Q$102,0)),"")="비경쟁","비경쟁 응시","응시")))</f>
        <v>응시</v>
      </c>
      <c r="E3" s="7" t="str">
        <f aca="false">IF(A3="","",IF(COUNTIF($Q$3:$Q$102,A3)&gt;1,"중복! 확인",""))</f>
        <v/>
      </c>
      <c r="F3" s="7" t="n">
        <f aca="false">IF(A3="","",IF(C3="",IF(ISNUMBER(진단!C3),진단!C3,IF(COUNT($C$3:$C$52)=0,"",ROUND(AVERAGE($C$3:$C$52),1))),IF(AND(USE_DIAG_CHECK=1,ISNUMBER(진단!C3)),IF(ROUND(진단!C3-C3,1)&gt;=DIAG_GAP,ROUND((C3+진단!C3)/2,1),C3),C3)))</f>
        <v>50</v>
      </c>
      <c r="G3" s="7" t="str">
        <f aca="false">IF(A3="","",IF(C3="",IF(F3="","기준점수 없음",IF(ISNUMBER(진단!C3),"진단 대체","응시자 평균")),IF(F3&lt;&gt;C3,"진단 보정","평가A")))</f>
        <v>평가A</v>
      </c>
      <c r="H3" s="7" t="n">
        <f aca="false">IF(A3="","",IF(AND(NOT(ISNUMBER(C3)),NOT(ISNUMBER(진단!C3))),"",ROUND((IF(ISNUMBER(C3),C3*EVAL_ITEMS,0)+IF(ISNUMBER(진단!C3),진단!C3*DIAG_ITEMS,0))/(IF(ISNUMBER(C3),EVAL_ITEMS,0)+IF(ISNUMBER(진단!C3),DIAG_ITEMS,0)),1)))</f>
        <v>50</v>
      </c>
      <c r="L3" s="8" t="s">
        <v>4</v>
      </c>
      <c r="M3" s="8" t="n">
        <v>4</v>
      </c>
      <c r="N3" s="8" t="n">
        <v>8</v>
      </c>
      <c r="O3" s="8"/>
      <c r="Q3" s="0" t="str">
        <f aca="false">IF(UPPER(TRIM(L3&amp;""))="","",IF(RIGHT(UPPER(TRIM(L3&amp;"")),2)="-N",TRIM(LEFT(UPPER(TRIM(L3&amp;"")),LEN(UPPER(TRIM(L3&amp;"")))-2)),UPPER(TRIM(L3&amp;""))))</f>
        <v>K7QM</v>
      </c>
      <c r="R3" s="9" t="n">
        <f aca="false">IF(Q3="","",IF(ISNUMBER(O3),ROUND(O3,1),IF(AND(ISNUMBER(M3),ISNUMBER(N3)),IF(N3&gt;0,ROUND(M3/N3*100,1),""),"")))</f>
        <v>50</v>
      </c>
      <c r="S3" s="0" t="str">
        <f aca="false">IF(Q3="","",IF(RIGHT(UPPER(TRIM(L3&amp;"")),2)="-N","비경쟁",""))</f>
        <v/>
      </c>
      <c r="T3" s="0" t="str">
        <f aca="false">IF(Q3="","",IF(COUNTIF(참가자!$A$3:$A$52,Q3)=0,"명단에 없는 코드",""))</f>
        <v/>
      </c>
    </row>
    <row r="4" customFormat="false" ht="15" hidden="false" customHeight="false" outlineLevel="0" collapsed="false">
      <c r="A4" s="7" t="str">
        <f aca="false">IF(참가자!A4="","",UPPER(TRIM(참가자!A4)))</f>
        <v>R4XT</v>
      </c>
      <c r="B4" s="7" t="str">
        <f aca="false">IF(A4="","",IF(참가자!B4="","(팀 없음)",TRIM(참가자!B4)))</f>
        <v>1팀</v>
      </c>
      <c r="C4" s="7" t="n">
        <f aca="false">IF(A4="","",IFERROR(INDEX($R$3:$R$102,MATCH(A4,$Q$3:$Q$102,0)),""))</f>
        <v>87.5</v>
      </c>
      <c r="D4" s="7" t="str">
        <f aca="false">IF(A4="","",IF(C4="","결석",IF(IFERROR(INDEX($S$3:$S$102,MATCH(A4,$Q$3:$Q$102,0)),"")="비경쟁","비경쟁 응시","응시")))</f>
        <v>응시</v>
      </c>
      <c r="E4" s="7" t="str">
        <f aca="false">IF(A4="","",IF(COUNTIF($Q$3:$Q$102,A4)&gt;1,"중복! 확인",""))</f>
        <v/>
      </c>
      <c r="F4" s="7" t="n">
        <f aca="false">IF(A4="","",IF(C4="",IF(ISNUMBER(진단!C4),진단!C4,IF(COUNT($C$3:$C$52)=0,"",ROUND(AVERAGE($C$3:$C$52),1))),IF(AND(USE_DIAG_CHECK=1,ISNUMBER(진단!C4)),IF(ROUND(진단!C4-C4,1)&gt;=DIAG_GAP,ROUND((C4+진단!C4)/2,1),C4),C4)))</f>
        <v>87.5</v>
      </c>
      <c r="G4" s="7" t="str">
        <f aca="false">IF(A4="","",IF(C4="",IF(F4="","기준점수 없음",IF(ISNUMBER(진단!C4),"진단 대체","응시자 평균")),IF(F4&lt;&gt;C4,"진단 보정","평가A")))</f>
        <v>평가A</v>
      </c>
      <c r="H4" s="7" t="n">
        <f aca="false">IF(A4="","",IF(AND(NOT(ISNUMBER(C4)),NOT(ISNUMBER(진단!C4))),"",ROUND((IF(ISNUMBER(C4),C4*EVAL_ITEMS,0)+IF(ISNUMBER(진단!C4),진단!C4*DIAG_ITEMS,0))/(IF(ISNUMBER(C4),EVAL_ITEMS,0)+IF(ISNUMBER(진단!C4),DIAG_ITEMS,0)),1)))</f>
        <v>85</v>
      </c>
      <c r="L4" s="8" t="s">
        <v>6</v>
      </c>
      <c r="M4" s="8" t="n">
        <v>7</v>
      </c>
      <c r="N4" s="8" t="n">
        <v>8</v>
      </c>
      <c r="O4" s="8"/>
      <c r="Q4" s="0" t="str">
        <f aca="false">IF(UPPER(TRIM(L4&amp;""))="","",IF(RIGHT(UPPER(TRIM(L4&amp;"")),2)="-N",TRIM(LEFT(UPPER(TRIM(L4&amp;"")),LEN(UPPER(TRIM(L4&amp;"")))-2)),UPPER(TRIM(L4&amp;""))))</f>
        <v>R4XT</v>
      </c>
      <c r="R4" s="9" t="n">
        <f aca="false">IF(Q4="","",IF(ISNUMBER(O4),ROUND(O4,1),IF(AND(ISNUMBER(M4),ISNUMBER(N4)),IF(N4&gt;0,ROUND(M4/N4*100,1),""),"")))</f>
        <v>87.5</v>
      </c>
      <c r="S4" s="0" t="str">
        <f aca="false">IF(Q4="","",IF(RIGHT(UPPER(TRIM(L4&amp;"")),2)="-N","비경쟁",""))</f>
        <v/>
      </c>
      <c r="T4" s="0" t="str">
        <f aca="false">IF(Q4="","",IF(COUNTIF(참가자!$A$3:$A$52,Q4)=0,"명단에 없는 코드",""))</f>
        <v/>
      </c>
    </row>
    <row r="5" customFormat="false" ht="15" hidden="false" customHeight="false" outlineLevel="0" collapsed="false">
      <c r="A5" s="7" t="str">
        <f aca="false">IF(참가자!A5="","",UPPER(TRIM(참가자!A5)))</f>
        <v>H9WC</v>
      </c>
      <c r="B5" s="7" t="str">
        <f aca="false">IF(A5="","",IF(참가자!B5="","(팀 없음)",TRIM(참가자!B5)))</f>
        <v>1팀</v>
      </c>
      <c r="C5" s="7" t="n">
        <f aca="false">IF(A5="","",IFERROR(INDEX($R$3:$R$102,MATCH(A5,$Q$3:$Q$102,0)),""))</f>
        <v>37.5</v>
      </c>
      <c r="D5" s="7" t="str">
        <f aca="false">IF(A5="","",IF(C5="","결석",IF(IFERROR(INDEX($S$3:$S$102,MATCH(A5,$Q$3:$Q$102,0)),"")="비경쟁","비경쟁 응시","응시")))</f>
        <v>응시</v>
      </c>
      <c r="E5" s="7" t="str">
        <f aca="false">IF(A5="","",IF(COUNTIF($Q$3:$Q$102,A5)&gt;1,"중복! 확인",""))</f>
        <v/>
      </c>
      <c r="F5" s="7" t="n">
        <f aca="false">IF(A5="","",IF(C5="",IF(ISNUMBER(진단!C5),진단!C5,IF(COUNT($C$3:$C$52)=0,"",ROUND(AVERAGE($C$3:$C$52),1))),IF(AND(USE_DIAG_CHECK=1,ISNUMBER(진단!C5)),IF(ROUND(진단!C5-C5,1)&gt;=DIAG_GAP,ROUND((C5+진단!C5)/2,1),C5),C5)))</f>
        <v>37.5</v>
      </c>
      <c r="G5" s="7" t="str">
        <f aca="false">IF(A5="","",IF(C5="",IF(F5="","기준점수 없음",IF(ISNUMBER(진단!C5),"진단 대체","응시자 평균")),IF(F5&lt;&gt;C5,"진단 보정","평가A")))</f>
        <v>평가A</v>
      </c>
      <c r="H5" s="7" t="n">
        <f aca="false">IF(A5="","",IF(AND(NOT(ISNUMBER(C5)),NOT(ISNUMBER(진단!C5))),"",ROUND((IF(ISNUMBER(C5),C5*EVAL_ITEMS,0)+IF(ISNUMBER(진단!C5),진단!C5*DIAG_ITEMS,0))/(IF(ISNUMBER(C5),EVAL_ITEMS,0)+IF(ISNUMBER(진단!C5),DIAG_ITEMS,0)),1)))</f>
        <v>40</v>
      </c>
      <c r="L5" s="8" t="s">
        <v>7</v>
      </c>
      <c r="M5" s="8" t="n">
        <v>3</v>
      </c>
      <c r="N5" s="8" t="n">
        <v>8</v>
      </c>
      <c r="O5" s="8"/>
      <c r="Q5" s="0" t="str">
        <f aca="false">IF(UPPER(TRIM(L5&amp;""))="","",IF(RIGHT(UPPER(TRIM(L5&amp;"")),2)="-N",TRIM(LEFT(UPPER(TRIM(L5&amp;"")),LEN(UPPER(TRIM(L5&amp;"")))-2)),UPPER(TRIM(L5&amp;""))))</f>
        <v>H9WC</v>
      </c>
      <c r="R5" s="9" t="n">
        <f aca="false">IF(Q5="","",IF(ISNUMBER(O5),ROUND(O5,1),IF(AND(ISNUMBER(M5),ISNUMBER(N5)),IF(N5&gt;0,ROUND(M5/N5*100,1),""),"")))</f>
        <v>37.5</v>
      </c>
      <c r="S5" s="0" t="str">
        <f aca="false">IF(Q5="","",IF(RIGHT(UPPER(TRIM(L5&amp;"")),2)="-N","비경쟁",""))</f>
        <v/>
      </c>
      <c r="T5" s="0" t="str">
        <f aca="false">IF(Q5="","",IF(COUNTIF(참가자!$A$3:$A$52,Q5)=0,"명단에 없는 코드",""))</f>
        <v/>
      </c>
    </row>
    <row r="6" customFormat="false" ht="15" hidden="false" customHeight="false" outlineLevel="0" collapsed="false">
      <c r="A6" s="7" t="str">
        <f aca="false">IF(참가자!A6="","",UPPER(TRIM(참가자!A6)))</f>
        <v>B3NV</v>
      </c>
      <c r="B6" s="7" t="str">
        <f aca="false">IF(A6="","",IF(참가자!B6="","(팀 없음)",TRIM(참가자!B6)))</f>
        <v>2팀</v>
      </c>
      <c r="C6" s="7" t="n">
        <f aca="false">IF(A6="","",IFERROR(INDEX($R$3:$R$102,MATCH(A6,$Q$3:$Q$102,0)),""))</f>
        <v>75</v>
      </c>
      <c r="D6" s="7" t="str">
        <f aca="false">IF(A6="","",IF(C6="","결석",IF(IFERROR(INDEX($S$3:$S$102,MATCH(A6,$Q$3:$Q$102,0)),"")="비경쟁","비경쟁 응시","응시")))</f>
        <v>응시</v>
      </c>
      <c r="E6" s="7" t="str">
        <f aca="false">IF(A6="","",IF(COUNTIF($Q$3:$Q$102,A6)&gt;1,"중복! 확인",""))</f>
        <v/>
      </c>
      <c r="F6" s="7" t="n">
        <f aca="false">IF(A6="","",IF(C6="",IF(ISNUMBER(진단!C6),진단!C6,IF(COUNT($C$3:$C$52)=0,"",ROUND(AVERAGE($C$3:$C$52),1))),IF(AND(USE_DIAG_CHECK=1,ISNUMBER(진단!C6)),IF(ROUND(진단!C6-C6,1)&gt;=DIAG_GAP,ROUND((C6+진단!C6)/2,1),C6),C6)))</f>
        <v>75</v>
      </c>
      <c r="G6" s="7" t="str">
        <f aca="false">IF(A6="","",IF(C6="",IF(F6="","기준점수 없음",IF(ISNUMBER(진단!C6),"진단 대체","응시자 평균")),IF(F6&lt;&gt;C6,"진단 보정","평가A")))</f>
        <v>평가A</v>
      </c>
      <c r="H6" s="7" t="n">
        <f aca="false">IF(A6="","",IF(AND(NOT(ISNUMBER(C6)),NOT(ISNUMBER(진단!C6))),"",ROUND((IF(ISNUMBER(C6),C6*EVAL_ITEMS,0)+IF(ISNUMBER(진단!C6),진단!C6*DIAG_ITEMS,0))/(IF(ISNUMBER(C6),EVAL_ITEMS,0)+IF(ISNUMBER(진단!C6),DIAG_ITEMS,0)),1)))</f>
        <v>75</v>
      </c>
      <c r="L6" s="8" t="s">
        <v>8</v>
      </c>
      <c r="M6" s="8" t="n">
        <v>6</v>
      </c>
      <c r="N6" s="8" t="n">
        <v>8</v>
      </c>
      <c r="O6" s="8"/>
      <c r="Q6" s="0" t="str">
        <f aca="false">IF(UPPER(TRIM(L6&amp;""))="","",IF(RIGHT(UPPER(TRIM(L6&amp;"")),2)="-N",TRIM(LEFT(UPPER(TRIM(L6&amp;"")),LEN(UPPER(TRIM(L6&amp;"")))-2)),UPPER(TRIM(L6&amp;""))))</f>
        <v>B3NV</v>
      </c>
      <c r="R6" s="9" t="n">
        <f aca="false">IF(Q6="","",IF(ISNUMBER(O6),ROUND(O6,1),IF(AND(ISNUMBER(M6),ISNUMBER(N6)),IF(N6&gt;0,ROUND(M6/N6*100,1),""),"")))</f>
        <v>75</v>
      </c>
      <c r="S6" s="0" t="str">
        <f aca="false">IF(Q6="","",IF(RIGHT(UPPER(TRIM(L6&amp;"")),2)="-N","비경쟁",""))</f>
        <v/>
      </c>
      <c r="T6" s="0" t="str">
        <f aca="false">IF(Q6="","",IF(COUNTIF(참가자!$A$3:$A$52,Q6)=0,"명단에 없는 코드",""))</f>
        <v/>
      </c>
    </row>
    <row r="7" customFormat="false" ht="15" hidden="false" customHeight="false" outlineLevel="0" collapsed="false">
      <c r="A7" s="7" t="str">
        <f aca="false">IF(참가자!A7="","",UPPER(TRIM(참가자!A7)))</f>
        <v>Z8LD</v>
      </c>
      <c r="B7" s="7" t="str">
        <f aca="false">IF(A7="","",IF(참가자!B7="","(팀 없음)",TRIM(참가자!B7)))</f>
        <v>2팀</v>
      </c>
      <c r="C7" s="7" t="str">
        <f aca="false">IF(A7="","",IFERROR(INDEX($R$3:$R$102,MATCH(A7,$Q$3:$Q$102,0)),""))</f>
        <v/>
      </c>
      <c r="D7" s="7" t="str">
        <f aca="false">IF(A7="","",IF(C7="","결석",IF(IFERROR(INDEX($S$3:$S$102,MATCH(A7,$Q$3:$Q$102,0)),"")="비경쟁","비경쟁 응시","응시")))</f>
        <v>결석</v>
      </c>
      <c r="E7" s="7" t="str">
        <f aca="false">IF(A7="","",IF(COUNTIF($Q$3:$Q$102,A7)&gt;1,"중복! 확인",""))</f>
        <v/>
      </c>
      <c r="F7" s="7" t="n">
        <f aca="false">IF(A7="","",IF(C7="",IF(ISNUMBER(진단!C7),진단!C7,IF(COUNT($C$3:$C$52)=0,"",ROUND(AVERAGE($C$3:$C$52),1))),IF(AND(USE_DIAG_CHECK=1,ISNUMBER(진단!C7)),IF(ROUND(진단!C7-C7,1)&gt;=DIAG_GAP,ROUND((C7+진단!C7)/2,1),C7),C7)))</f>
        <v>58.3</v>
      </c>
      <c r="G7" s="7" t="str">
        <f aca="false">IF(A7="","",IF(C7="",IF(F7="","기준점수 없음",IF(ISNUMBER(진단!C7),"진단 대체","응시자 평균")),IF(F7&lt;&gt;C7,"진단 보정","평가A")))</f>
        <v>진단 대체</v>
      </c>
      <c r="H7" s="7" t="n">
        <f aca="false">IF(A7="","",IF(AND(NOT(ISNUMBER(C7)),NOT(ISNUMBER(진단!C7))),"",ROUND((IF(ISNUMBER(C7),C7*EVAL_ITEMS,0)+IF(ISNUMBER(진단!C7),진단!C7*DIAG_ITEMS,0))/(IF(ISNUMBER(C7),EVAL_ITEMS,0)+IF(ISNUMBER(진단!C7),DIAG_ITEMS,0)),1)))</f>
        <v>58.3</v>
      </c>
      <c r="L7" s="8" t="s">
        <v>11</v>
      </c>
      <c r="M7" s="8" t="n">
        <v>5</v>
      </c>
      <c r="N7" s="8" t="n">
        <v>8</v>
      </c>
      <c r="O7" s="8"/>
      <c r="Q7" s="0" t="str">
        <f aca="false">IF(UPPER(TRIM(L7&amp;""))="","",IF(RIGHT(UPPER(TRIM(L7&amp;"")),2)="-N",TRIM(LEFT(UPPER(TRIM(L7&amp;"")),LEN(UPPER(TRIM(L7&amp;"")))-2)),UPPER(TRIM(L7&amp;""))))</f>
        <v>M2PF</v>
      </c>
      <c r="R7" s="9" t="n">
        <f aca="false">IF(Q7="","",IF(ISNUMBER(O7),ROUND(O7,1),IF(AND(ISNUMBER(M7),ISNUMBER(N7)),IF(N7&gt;0,ROUND(M7/N7*100,1),""),"")))</f>
        <v>62.5</v>
      </c>
      <c r="S7" s="0" t="str">
        <f aca="false">IF(Q7="","",IF(RIGHT(UPPER(TRIM(L7&amp;"")),2)="-N","비경쟁",""))</f>
        <v/>
      </c>
      <c r="T7" s="0" t="str">
        <f aca="false">IF(Q7="","",IF(COUNTIF(참가자!$A$3:$A$52,Q7)=0,"명단에 없는 코드",""))</f>
        <v/>
      </c>
    </row>
    <row r="8" customFormat="false" ht="15" hidden="false" customHeight="false" outlineLevel="0" collapsed="false">
      <c r="A8" s="7" t="str">
        <f aca="false">IF(참가자!A8="","",UPPER(TRIM(참가자!A8)))</f>
        <v>M2PF</v>
      </c>
      <c r="B8" s="7" t="str">
        <f aca="false">IF(A8="","",IF(참가자!B8="","(팀 없음)",TRIM(참가자!B8)))</f>
        <v>2팀</v>
      </c>
      <c r="C8" s="7" t="n">
        <f aca="false">IF(A8="","",IFERROR(INDEX($R$3:$R$102,MATCH(A8,$Q$3:$Q$102,0)),""))</f>
        <v>62.5</v>
      </c>
      <c r="D8" s="7" t="str">
        <f aca="false">IF(A8="","",IF(C8="","결석",IF(IFERROR(INDEX($S$3:$S$102,MATCH(A8,$Q$3:$Q$102,0)),"")="비경쟁","비경쟁 응시","응시")))</f>
        <v>응시</v>
      </c>
      <c r="E8" s="7" t="str">
        <f aca="false">IF(A8="","",IF(COUNTIF($Q$3:$Q$102,A8)&gt;1,"중복! 확인",""))</f>
        <v/>
      </c>
      <c r="F8" s="7" t="n">
        <f aca="false">IF(A8="","",IF(C8="",IF(ISNUMBER(진단!C8),진단!C8,IF(COUNT($C$3:$C$52)=0,"",ROUND(AVERAGE($C$3:$C$52),1))),IF(AND(USE_DIAG_CHECK=1,ISNUMBER(진단!C8)),IF(ROUND(진단!C8-C8,1)&gt;=DIAG_GAP,ROUND((C8+진단!C8)/2,1),C8),C8)))</f>
        <v>62.5</v>
      </c>
      <c r="G8" s="7" t="str">
        <f aca="false">IF(A8="","",IF(C8="",IF(F8="","기준점수 없음",IF(ISNUMBER(진단!C8),"진단 대체","응시자 평균")),IF(F8&lt;&gt;C8,"진단 보정","평가A")))</f>
        <v>평가A</v>
      </c>
      <c r="H8" s="7" t="n">
        <f aca="false">IF(A8="","",IF(AND(NOT(ISNUMBER(C8)),NOT(ISNUMBER(진단!C8))),"",ROUND((IF(ISNUMBER(C8),C8*EVAL_ITEMS,0)+IF(ISNUMBER(진단!C8),진단!C8*DIAG_ITEMS,0))/(IF(ISNUMBER(C8),EVAL_ITEMS,0)+IF(ISNUMBER(진단!C8),DIAG_ITEMS,0)),1)))</f>
        <v>65</v>
      </c>
      <c r="L8" s="8" t="s">
        <v>12</v>
      </c>
      <c r="M8" s="8" t="n">
        <v>2</v>
      </c>
      <c r="N8" s="8" t="n">
        <v>8</v>
      </c>
      <c r="O8" s="8"/>
      <c r="Q8" s="0" t="str">
        <f aca="false">IF(UPPER(TRIM(L8&amp;""))="","",IF(RIGHT(UPPER(TRIM(L8&amp;"")),2)="-N",TRIM(LEFT(UPPER(TRIM(L8&amp;"")),LEN(UPPER(TRIM(L8&amp;"")))-2)),UPPER(TRIM(L8&amp;""))))</f>
        <v>T6YH</v>
      </c>
      <c r="R8" s="9" t="n">
        <f aca="false">IF(Q8="","",IF(ISNUMBER(O8),ROUND(O8,1),IF(AND(ISNUMBER(M8),ISNUMBER(N8)),IF(N8&gt;0,ROUND(M8/N8*100,1),""),"")))</f>
        <v>25</v>
      </c>
      <c r="S8" s="0" t="str">
        <f aca="false">IF(Q8="","",IF(RIGHT(UPPER(TRIM(L8&amp;"")),2)="-N","비경쟁",""))</f>
        <v/>
      </c>
      <c r="T8" s="0" t="str">
        <f aca="false">IF(Q8="","",IF(COUNTIF(참가자!$A$3:$A$52,Q8)=0,"명단에 없는 코드",""))</f>
        <v/>
      </c>
    </row>
    <row r="9" customFormat="false" ht="15" hidden="false" customHeight="false" outlineLevel="0" collapsed="false">
      <c r="A9" s="7" t="str">
        <f aca="false">IF(참가자!A9="","",UPPER(TRIM(참가자!A9)))</f>
        <v>T6YH</v>
      </c>
      <c r="B9" s="7" t="str">
        <f aca="false">IF(A9="","",IF(참가자!B9="","(팀 없음)",TRIM(참가자!B9)))</f>
        <v>3팀</v>
      </c>
      <c r="C9" s="7" t="n">
        <f aca="false">IF(A9="","",IFERROR(INDEX($R$3:$R$102,MATCH(A9,$Q$3:$Q$102,0)),""))</f>
        <v>25</v>
      </c>
      <c r="D9" s="7" t="str">
        <f aca="false">IF(A9="","",IF(C9="","결석",IF(IFERROR(INDEX($S$3:$S$102,MATCH(A9,$Q$3:$Q$102,0)),"")="비경쟁","비경쟁 응시","응시")))</f>
        <v>응시</v>
      </c>
      <c r="E9" s="7" t="str">
        <f aca="false">IF(A9="","",IF(COUNTIF($Q$3:$Q$102,A9)&gt;1,"중복! 확인",""))</f>
        <v/>
      </c>
      <c r="F9" s="7" t="n">
        <f aca="false">IF(A9="","",IF(C9="",IF(ISNUMBER(진단!C9),진단!C9,IF(COUNT($C$3:$C$52)=0,"",ROUND(AVERAGE($C$3:$C$52),1))),IF(AND(USE_DIAG_CHECK=1,ISNUMBER(진단!C9)),IF(ROUND(진단!C9-C9,1)&gt;=DIAG_GAP,ROUND((C9+진단!C9)/2,1),C9),C9)))</f>
        <v>45.9</v>
      </c>
      <c r="G9" s="7" t="str">
        <f aca="false">IF(A9="","",IF(C9="",IF(F9="","기준점수 없음",IF(ISNUMBER(진단!C9),"진단 대체","응시자 평균")),IF(F9&lt;&gt;C9,"진단 보정","평가A")))</f>
        <v>진단 보정</v>
      </c>
      <c r="H9" s="7" t="n">
        <f aca="false">IF(A9="","",IF(AND(NOT(ISNUMBER(C9)),NOT(ISNUMBER(진단!C9))),"",ROUND((IF(ISNUMBER(C9),C9*EVAL_ITEMS,0)+IF(ISNUMBER(진단!C9),진단!C9*DIAG_ITEMS,0))/(IF(ISNUMBER(C9),EVAL_ITEMS,0)+IF(ISNUMBER(진단!C9),DIAG_ITEMS,0)),1)))</f>
        <v>50</v>
      </c>
      <c r="L9" s="8" t="s">
        <v>14</v>
      </c>
      <c r="M9" s="8" t="n">
        <v>8</v>
      </c>
      <c r="N9" s="8" t="n">
        <v>8</v>
      </c>
      <c r="O9" s="8"/>
      <c r="Q9" s="0" t="str">
        <f aca="false">IF(UPPER(TRIM(L9&amp;""))="","",IF(RIGHT(UPPER(TRIM(L9&amp;"")),2)="-N",TRIM(LEFT(UPPER(TRIM(L9&amp;"")),LEN(UPPER(TRIM(L9&amp;"")))-2)),UPPER(TRIM(L9&amp;""))))</f>
        <v>C5JR</v>
      </c>
      <c r="R9" s="9" t="n">
        <f aca="false">IF(Q9="","",IF(ISNUMBER(O9),ROUND(O9,1),IF(AND(ISNUMBER(M9),ISNUMBER(N9)),IF(N9&gt;0,ROUND(M9/N9*100,1),""),"")))</f>
        <v>100</v>
      </c>
      <c r="S9" s="0" t="str">
        <f aca="false">IF(Q9="","",IF(RIGHT(UPPER(TRIM(L9&amp;"")),2)="-N","비경쟁",""))</f>
        <v/>
      </c>
      <c r="T9" s="0" t="str">
        <f aca="false">IF(Q9="","",IF(COUNTIF(참가자!$A$3:$A$52,Q9)=0,"명단에 없는 코드",""))</f>
        <v/>
      </c>
    </row>
    <row r="10" customFormat="false" ht="15" hidden="false" customHeight="false" outlineLevel="0" collapsed="false">
      <c r="A10" s="7" t="str">
        <f aca="false">IF(참가자!A10="","",UPPER(TRIM(참가자!A10)))</f>
        <v>C5JR</v>
      </c>
      <c r="B10" s="7" t="str">
        <f aca="false">IF(A10="","",IF(참가자!B10="","(팀 없음)",TRIM(참가자!B10)))</f>
        <v>3팀</v>
      </c>
      <c r="C10" s="7" t="n">
        <f aca="false">IF(A10="","",IFERROR(INDEX($R$3:$R$102,MATCH(A10,$Q$3:$Q$102,0)),""))</f>
        <v>100</v>
      </c>
      <c r="D10" s="7" t="str">
        <f aca="false">IF(A10="","",IF(C10="","결석",IF(IFERROR(INDEX($S$3:$S$102,MATCH(A10,$Q$3:$Q$102,0)),"")="비경쟁","비경쟁 응시","응시")))</f>
        <v>응시</v>
      </c>
      <c r="E10" s="7" t="str">
        <f aca="false">IF(A10="","",IF(COUNTIF($Q$3:$Q$102,A10)&gt;1,"중복! 확인",""))</f>
        <v/>
      </c>
      <c r="F10" s="7" t="n">
        <f aca="false">IF(A10="","",IF(C10="",IF(ISNUMBER(진단!C10),진단!C10,IF(COUNT($C$3:$C$52)=0,"",ROUND(AVERAGE($C$3:$C$52),1))),IF(AND(USE_DIAG_CHECK=1,ISNUMBER(진단!C10)),IF(ROUND(진단!C10-C10,1)&gt;=DIAG_GAP,ROUND((C10+진단!C10)/2,1),C10),C10)))</f>
        <v>100</v>
      </c>
      <c r="G10" s="7" t="str">
        <f aca="false">IF(A10="","",IF(C10="",IF(F10="","기준점수 없음",IF(ISNUMBER(진단!C10),"진단 대체","응시자 평균")),IF(F10&lt;&gt;C10,"진단 보정","평가A")))</f>
        <v>평가A</v>
      </c>
      <c r="H10" s="7" t="n">
        <f aca="false">IF(A10="","",IF(AND(NOT(ISNUMBER(C10)),NOT(ISNUMBER(진단!C10))),"",ROUND((IF(ISNUMBER(C10),C10*EVAL_ITEMS,0)+IF(ISNUMBER(진단!C10),진단!C10*DIAG_ITEMS,0))/(IF(ISNUMBER(C10),EVAL_ITEMS,0)+IF(ISNUMBER(진단!C10),DIAG_ITEMS,0)),1)))</f>
        <v>95</v>
      </c>
      <c r="L10" s="8" t="s">
        <v>15</v>
      </c>
      <c r="M10" s="8" t="n">
        <v>4</v>
      </c>
      <c r="N10" s="8" t="n">
        <v>8</v>
      </c>
      <c r="O10" s="8"/>
      <c r="Q10" s="0" t="str">
        <f aca="false">IF(UPPER(TRIM(L10&amp;""))="","",IF(RIGHT(UPPER(TRIM(L10&amp;"")),2)="-N",TRIM(LEFT(UPPER(TRIM(L10&amp;"")),LEN(UPPER(TRIM(L10&amp;"")))-2)),UPPER(TRIM(L10&amp;""))))</f>
        <v>W3KE</v>
      </c>
      <c r="R10" s="9" t="n">
        <f aca="false">IF(Q10="","",IF(ISNUMBER(O10),ROUND(O10,1),IF(AND(ISNUMBER(M10),ISNUMBER(N10)),IF(N10&gt;0,ROUND(M10/N10*100,1),""),"")))</f>
        <v>50</v>
      </c>
      <c r="S10" s="0" t="str">
        <f aca="false">IF(Q10="","",IF(RIGHT(UPPER(TRIM(L10&amp;"")),2)="-N","비경쟁",""))</f>
        <v/>
      </c>
      <c r="T10" s="0" t="str">
        <f aca="false">IF(Q10="","",IF(COUNTIF(참가자!$A$3:$A$52,Q10)=0,"명단에 없는 코드",""))</f>
        <v/>
      </c>
    </row>
    <row r="11" customFormat="false" ht="15" hidden="false" customHeight="false" outlineLevel="0" collapsed="false">
      <c r="A11" s="7" t="str">
        <f aca="false">IF(참가자!A11="","",UPPER(TRIM(참가자!A11)))</f>
        <v>W3KE</v>
      </c>
      <c r="B11" s="7" t="str">
        <f aca="false">IF(A11="","",IF(참가자!B11="","(팀 없음)",TRIM(참가자!B11)))</f>
        <v>3팀</v>
      </c>
      <c r="C11" s="7" t="n">
        <f aca="false">IF(A11="","",IFERROR(INDEX($R$3:$R$102,MATCH(A11,$Q$3:$Q$102,0)),""))</f>
        <v>50</v>
      </c>
      <c r="D11" s="7" t="str">
        <f aca="false">IF(A11="","",IF(C11="","결석",IF(IFERROR(INDEX($S$3:$S$102,MATCH(A11,$Q$3:$Q$102,0)),"")="비경쟁","비경쟁 응시","응시")))</f>
        <v>응시</v>
      </c>
      <c r="E11" s="7" t="str">
        <f aca="false">IF(A11="","",IF(COUNTIF($Q$3:$Q$102,A11)&gt;1,"중복! 확인",""))</f>
        <v/>
      </c>
      <c r="F11" s="7" t="n">
        <f aca="false">IF(A11="","",IF(C11="",IF(ISNUMBER(진단!C11),진단!C11,IF(COUNT($C$3:$C$52)=0,"",ROUND(AVERAGE($C$3:$C$52),1))),IF(AND(USE_DIAG_CHECK=1,ISNUMBER(진단!C11)),IF(ROUND(진단!C11-C11,1)&gt;=DIAG_GAP,ROUND((C11+진단!C11)/2,1),C11),C11)))</f>
        <v>50</v>
      </c>
      <c r="G11" s="7" t="str">
        <f aca="false">IF(A11="","",IF(C11="",IF(F11="","기준점수 없음",IF(ISNUMBER(진단!C11),"진단 대체","응시자 평균")),IF(F11&lt;&gt;C11,"진단 보정","평가A")))</f>
        <v>평가A</v>
      </c>
      <c r="H11" s="7" t="n">
        <f aca="false">IF(A11="","",IF(AND(NOT(ISNUMBER(C11)),NOT(ISNUMBER(진단!C11))),"",ROUND((IF(ISNUMBER(C11),C11*EVAL_ITEMS,0)+IF(ISNUMBER(진단!C11),진단!C11*DIAG_ITEMS,0))/(IF(ISNUMBER(C11),EVAL_ITEMS,0)+IF(ISNUMBER(진단!C11),DIAG_ITEMS,0)),1)))</f>
        <v>50</v>
      </c>
      <c r="L11" s="8" t="s">
        <v>16</v>
      </c>
      <c r="M11" s="8" t="n">
        <v>5</v>
      </c>
      <c r="N11" s="8" t="n">
        <v>8</v>
      </c>
      <c r="O11" s="8"/>
      <c r="Q11" s="0" t="str">
        <f aca="false">IF(UPPER(TRIM(L11&amp;""))="","",IF(RIGHT(UPPER(TRIM(L11&amp;"")),2)="-N",TRIM(LEFT(UPPER(TRIM(L11&amp;"")),LEN(UPPER(TRIM(L11&amp;"")))-2)),UPPER(TRIM(L11&amp;""))))</f>
        <v>F8UA</v>
      </c>
      <c r="R11" s="9" t="n">
        <f aca="false">IF(Q11="","",IF(ISNUMBER(O11),ROUND(O11,1),IF(AND(ISNUMBER(M11),ISNUMBER(N11)),IF(N11&gt;0,ROUND(M11/N11*100,1),""),"")))</f>
        <v>62.5</v>
      </c>
      <c r="S11" s="0" t="str">
        <f aca="false">IF(Q11="","",IF(RIGHT(UPPER(TRIM(L11&amp;"")),2)="-N","비경쟁",""))</f>
        <v/>
      </c>
      <c r="T11" s="0" t="str">
        <f aca="false">IF(Q11="","",IF(COUNTIF(참가자!$A$3:$A$52,Q11)=0,"명단에 없는 코드",""))</f>
        <v/>
      </c>
    </row>
    <row r="12" customFormat="false" ht="15" hidden="false" customHeight="false" outlineLevel="0" collapsed="false">
      <c r="A12" s="7" t="str">
        <f aca="false">IF(참가자!A12="","",UPPER(TRIM(참가자!A12)))</f>
        <v>F8UA</v>
      </c>
      <c r="B12" s="7" t="str">
        <f aca="false">IF(A12="","",IF(참가자!B12="","(팀 없음)",TRIM(참가자!B12)))</f>
        <v>4팀</v>
      </c>
      <c r="C12" s="7" t="n">
        <f aca="false">IF(A12="","",IFERROR(INDEX($R$3:$R$102,MATCH(A12,$Q$3:$Q$102,0)),""))</f>
        <v>62.5</v>
      </c>
      <c r="D12" s="7" t="str">
        <f aca="false">IF(A12="","",IF(C12="","결석",IF(IFERROR(INDEX($S$3:$S$102,MATCH(A12,$Q$3:$Q$102,0)),"")="비경쟁","비경쟁 응시","응시")))</f>
        <v>응시</v>
      </c>
      <c r="E12" s="7" t="str">
        <f aca="false">IF(A12="","",IF(COUNTIF($Q$3:$Q$102,A12)&gt;1,"중복! 확인",""))</f>
        <v/>
      </c>
      <c r="F12" s="7" t="n">
        <f aca="false">IF(A12="","",IF(C12="",IF(ISNUMBER(진단!C12),진단!C12,IF(COUNT($C$3:$C$52)=0,"",ROUND(AVERAGE($C$3:$C$52),1))),IF(AND(USE_DIAG_CHECK=1,ISNUMBER(진단!C12)),IF(ROUND(진단!C12-C12,1)&gt;=DIAG_GAP,ROUND((C12+진단!C12)/2,1),C12),C12)))</f>
        <v>62.5</v>
      </c>
      <c r="G12" s="7" t="str">
        <f aca="false">IF(A12="","",IF(C12="",IF(F12="","기준점수 없음",IF(ISNUMBER(진단!C12),"진단 대체","응시자 평균")),IF(F12&lt;&gt;C12,"진단 보정","평가A")))</f>
        <v>평가A</v>
      </c>
      <c r="H12" s="7" t="n">
        <f aca="false">IF(A12="","",IF(AND(NOT(ISNUMBER(C12)),NOT(ISNUMBER(진단!C12))),"",ROUND((IF(ISNUMBER(C12),C12*EVAL_ITEMS,0)+IF(ISNUMBER(진단!C12),진단!C12*DIAG_ITEMS,0))/(IF(ISNUMBER(C12),EVAL_ITEMS,0)+IF(ISNUMBER(진단!C12),DIAG_ITEMS,0)),1)))</f>
        <v>60</v>
      </c>
      <c r="L12" s="8" t="s">
        <v>19</v>
      </c>
      <c r="M12" s="8" t="n">
        <v>3</v>
      </c>
      <c r="N12" s="8" t="n">
        <v>8</v>
      </c>
      <c r="O12" s="8"/>
      <c r="Q12" s="0" t="str">
        <f aca="false">IF(UPPER(TRIM(L12&amp;""))="","",IF(RIGHT(UPPER(TRIM(L12&amp;"")),2)="-N",TRIM(LEFT(UPPER(TRIM(L12&amp;"")),LEN(UPPER(TRIM(L12&amp;"")))-2)),UPPER(TRIM(L12&amp;""))))</f>
        <v>D7VB</v>
      </c>
      <c r="R12" s="9" t="n">
        <f aca="false">IF(Q12="","",IF(ISNUMBER(O12),ROUND(O12,1),IF(AND(ISNUMBER(M12),ISNUMBER(N12)),IF(N12&gt;0,ROUND(M12/N12*100,1),""),"")))</f>
        <v>37.5</v>
      </c>
      <c r="S12" s="0" t="str">
        <f aca="false">IF(Q12="","",IF(RIGHT(UPPER(TRIM(L12&amp;"")),2)="-N","비경쟁",""))</f>
        <v/>
      </c>
      <c r="T12" s="0" t="str">
        <f aca="false">IF(Q12="","",IF(COUNTIF(참가자!$A$3:$A$52,Q12)=0,"명단에 없는 코드",""))</f>
        <v/>
      </c>
    </row>
    <row r="13" customFormat="false" ht="15" hidden="false" customHeight="false" outlineLevel="0" collapsed="false">
      <c r="A13" s="7" t="str">
        <f aca="false">IF(참가자!A13="","",UPPER(TRIM(참가자!A13)))</f>
        <v>N4GS</v>
      </c>
      <c r="B13" s="7" t="str">
        <f aca="false">IF(A13="","",IF(참가자!B13="","(팀 없음)",TRIM(참가자!B13)))</f>
        <v>4팀</v>
      </c>
      <c r="C13" s="7" t="str">
        <f aca="false">IF(A13="","",IFERROR(INDEX($R$3:$R$102,MATCH(A13,$Q$3:$Q$102,0)),""))</f>
        <v/>
      </c>
      <c r="D13" s="7" t="str">
        <f aca="false">IF(A13="","",IF(C13="","결석",IF(IFERROR(INDEX($S$3:$S$102,MATCH(A13,$Q$3:$Q$102,0)),"")="비경쟁","비경쟁 응시","응시")))</f>
        <v>결석</v>
      </c>
      <c r="E13" s="7" t="str">
        <f aca="false">IF(A13="","",IF(COUNTIF($Q$3:$Q$102,A13)&gt;1,"중복! 확인",""))</f>
        <v/>
      </c>
      <c r="F13" s="7" t="n">
        <f aca="false">IF(A13="","",IF(C13="",IF(ISNUMBER(진단!C13),진단!C13,IF(COUNT($C$3:$C$52)=0,"",ROUND(AVERAGE($C$3:$C$52),1))),IF(AND(USE_DIAG_CHECK=1,ISNUMBER(진단!C13)),IF(ROUND(진단!C13-C13,1)&gt;=DIAG_GAP,ROUND((C13+진단!C13)/2,1),C13),C13)))</f>
        <v>58.8</v>
      </c>
      <c r="G13" s="7" t="str">
        <f aca="false">IF(A13="","",IF(C13="",IF(F13="","기준점수 없음",IF(ISNUMBER(진단!C13),"진단 대체","응시자 평균")),IF(F13&lt;&gt;C13,"진단 보정","평가A")))</f>
        <v>응시자 평균</v>
      </c>
      <c r="H13" s="7" t="str">
        <f aca="false">IF(A13="","",IF(AND(NOT(ISNUMBER(C13)),NOT(ISNUMBER(진단!C13))),"",ROUND((IF(ISNUMBER(C13),C13*EVAL_ITEMS,0)+IF(ISNUMBER(진단!C13),진단!C13*DIAG_ITEMS,0))/(IF(ISNUMBER(C13),EVAL_ITEMS,0)+IF(ISNUMBER(진단!C13),DIAG_ITEMS,0)),1)))</f>
        <v/>
      </c>
      <c r="L13" s="8"/>
      <c r="M13" s="8"/>
      <c r="N13" s="8"/>
      <c r="O13" s="8"/>
      <c r="Q13" s="0" t="str">
        <f aca="false">IF(UPPER(TRIM(L13&amp;""))="","",IF(RIGHT(UPPER(TRIM(L13&amp;"")),2)="-N",TRIM(LEFT(UPPER(TRIM(L13&amp;"")),LEN(UPPER(TRIM(L13&amp;"")))-2)),UPPER(TRIM(L13&amp;""))))</f>
        <v/>
      </c>
      <c r="R13" s="0" t="str">
        <f aca="false">IF(Q13="","",IF(ISNUMBER(O13),ROUND(O13,1),IF(AND(ISNUMBER(M13),ISNUMBER(N13)),IF(N13&gt;0,ROUND(M13/N13*100,1),""),"")))</f>
        <v/>
      </c>
      <c r="S13" s="0" t="str">
        <f aca="false">IF(Q13="","",IF(RIGHT(UPPER(TRIM(L13&amp;"")),2)="-N","비경쟁",""))</f>
        <v/>
      </c>
      <c r="T13" s="0" t="str">
        <f aca="false">IF(Q13="","",IF(COUNTIF(참가자!$A$3:$A$52,Q13)=0,"명단에 없는 코드",""))</f>
        <v/>
      </c>
    </row>
    <row r="14" customFormat="false" ht="15" hidden="false" customHeight="false" outlineLevel="0" collapsed="false">
      <c r="A14" s="7" t="str">
        <f aca="false">IF(참가자!A14="","",UPPER(TRIM(참가자!A14)))</f>
        <v>D7VB</v>
      </c>
      <c r="B14" s="7" t="str">
        <f aca="false">IF(A14="","",IF(참가자!B14="","(팀 없음)",TRIM(참가자!B14)))</f>
        <v>4팀</v>
      </c>
      <c r="C14" s="7" t="n">
        <f aca="false">IF(A14="","",IFERROR(INDEX($R$3:$R$102,MATCH(A14,$Q$3:$Q$102,0)),""))</f>
        <v>37.5</v>
      </c>
      <c r="D14" s="7" t="str">
        <f aca="false">IF(A14="","",IF(C14="","결석",IF(IFERROR(INDEX($S$3:$S$102,MATCH(A14,$Q$3:$Q$102,0)),"")="비경쟁","비경쟁 응시","응시")))</f>
        <v>응시</v>
      </c>
      <c r="E14" s="7" t="str">
        <f aca="false">IF(A14="","",IF(COUNTIF($Q$3:$Q$102,A14)&gt;1,"중복! 확인",""))</f>
        <v/>
      </c>
      <c r="F14" s="7" t="n">
        <f aca="false">IF(A14="","",IF(C14="",IF(ISNUMBER(진단!C14),진단!C14,IF(COUNT($C$3:$C$52)=0,"",ROUND(AVERAGE($C$3:$C$52),1))),IF(AND(USE_DIAG_CHECK=1,ISNUMBER(진단!C14)),IF(ROUND(진단!C14-C14,1)&gt;=DIAG_GAP,ROUND((C14+진단!C14)/2,1),C14),C14)))</f>
        <v>37.5</v>
      </c>
      <c r="G14" s="7" t="str">
        <f aca="false">IF(A14="","",IF(C14="",IF(F14="","기준점수 없음",IF(ISNUMBER(진단!C14),"진단 대체","응시자 평균")),IF(F14&lt;&gt;C14,"진단 보정","평가A")))</f>
        <v>평가A</v>
      </c>
      <c r="H14" s="7" t="n">
        <f aca="false">IF(A14="","",IF(AND(NOT(ISNUMBER(C14)),NOT(ISNUMBER(진단!C14))),"",ROUND((IF(ISNUMBER(C14),C14*EVAL_ITEMS,0)+IF(ISNUMBER(진단!C14),진단!C14*DIAG_ITEMS,0))/(IF(ISNUMBER(C14),EVAL_ITEMS,0)+IF(ISNUMBER(진단!C14),DIAG_ITEMS,0)),1)))</f>
        <v>45</v>
      </c>
      <c r="L14" s="8"/>
      <c r="M14" s="8"/>
      <c r="N14" s="8"/>
      <c r="O14" s="8"/>
      <c r="Q14" s="0" t="str">
        <f aca="false">IF(UPPER(TRIM(L14&amp;""))="","",IF(RIGHT(UPPER(TRIM(L14&amp;"")),2)="-N",TRIM(LEFT(UPPER(TRIM(L14&amp;"")),LEN(UPPER(TRIM(L14&amp;"")))-2)),UPPER(TRIM(L14&amp;""))))</f>
        <v/>
      </c>
      <c r="R14" s="0" t="str">
        <f aca="false">IF(Q14="","",IF(ISNUMBER(O14),ROUND(O14,1),IF(AND(ISNUMBER(M14),ISNUMBER(N14)),IF(N14&gt;0,ROUND(M14/N14*100,1),""),"")))</f>
        <v/>
      </c>
      <c r="S14" s="0" t="str">
        <f aca="false">IF(Q14="","",IF(RIGHT(UPPER(TRIM(L14&amp;"")),2)="-N","비경쟁",""))</f>
        <v/>
      </c>
      <c r="T14" s="0" t="str">
        <f aca="false">IF(Q14="","",IF(COUNTIF(참가자!$A$3:$A$52,Q14)=0,"명단에 없는 코드",""))</f>
        <v/>
      </c>
    </row>
    <row r="15" customFormat="false" ht="15" hidden="false" customHeight="false" outlineLevel="0" collapsed="false">
      <c r="A15" s="7" t="str">
        <f aca="false">IF(참가자!A15="","",UPPER(TRIM(참가자!A15)))</f>
        <v/>
      </c>
      <c r="B15" s="7" t="str">
        <f aca="false">IF(A15="","",IF(참가자!B15="","(팀 없음)",TRIM(참가자!B15)))</f>
        <v/>
      </c>
      <c r="C15" s="7" t="str">
        <f aca="false">IF(A15="","",IFERROR(INDEX($R$3:$R$102,MATCH(A15,$Q$3:$Q$102,0)),""))</f>
        <v/>
      </c>
      <c r="D15" s="7" t="str">
        <f aca="false">IF(A15="","",IF(C15="","결석",IF(IFERROR(INDEX($S$3:$S$102,MATCH(A15,$Q$3:$Q$102,0)),"")="비경쟁","비경쟁 응시","응시")))</f>
        <v/>
      </c>
      <c r="E15" s="7" t="str">
        <f aca="false">IF(A15="","",IF(COUNTIF($Q$3:$Q$102,A15)&gt;1,"중복! 확인",""))</f>
        <v/>
      </c>
      <c r="F15" s="7" t="str">
        <f aca="false">IF(A15="","",IF(C15="",IF(ISNUMBER(진단!C15),진단!C15,IF(COUNT($C$3:$C$52)=0,"",ROUND(AVERAGE($C$3:$C$52),1))),IF(AND(USE_DIAG_CHECK=1,ISNUMBER(진단!C15)),IF(ROUND(진단!C15-C15,1)&gt;=DIAG_GAP,ROUND((C15+진단!C15)/2,1),C15),C15)))</f>
        <v/>
      </c>
      <c r="G15" s="7" t="str">
        <f aca="false">IF(A15="","",IF(C15="",IF(F15="","기준점수 없음",IF(ISNUMBER(진단!C15),"진단 대체","응시자 평균")),IF(F15&lt;&gt;C15,"진단 보정","평가A")))</f>
        <v/>
      </c>
      <c r="H15" s="7" t="str">
        <f aca="false">IF(A15="","",IF(AND(NOT(ISNUMBER(C15)),NOT(ISNUMBER(진단!C15))),"",ROUND((IF(ISNUMBER(C15),C15*EVAL_ITEMS,0)+IF(ISNUMBER(진단!C15),진단!C15*DIAG_ITEMS,0))/(IF(ISNUMBER(C15),EVAL_ITEMS,0)+IF(ISNUMBER(진단!C15),DIAG_ITEMS,0)),1)))</f>
        <v/>
      </c>
      <c r="L15" s="8"/>
      <c r="M15" s="8"/>
      <c r="N15" s="8"/>
      <c r="O15" s="8"/>
      <c r="Q15" s="0" t="str">
        <f aca="false">IF(UPPER(TRIM(L15&amp;""))="","",IF(RIGHT(UPPER(TRIM(L15&amp;"")),2)="-N",TRIM(LEFT(UPPER(TRIM(L15&amp;"")),LEN(UPPER(TRIM(L15&amp;"")))-2)),UPPER(TRIM(L15&amp;""))))</f>
        <v/>
      </c>
      <c r="R15" s="0" t="str">
        <f aca="false">IF(Q15="","",IF(ISNUMBER(O15),ROUND(O15,1),IF(AND(ISNUMBER(M15),ISNUMBER(N15)),IF(N15&gt;0,ROUND(M15/N15*100,1),""),"")))</f>
        <v/>
      </c>
      <c r="S15" s="0" t="str">
        <f aca="false">IF(Q15="","",IF(RIGHT(UPPER(TRIM(L15&amp;"")),2)="-N","비경쟁",""))</f>
        <v/>
      </c>
      <c r="T15" s="0" t="str">
        <f aca="false">IF(Q15="","",IF(COUNTIF(참가자!$A$3:$A$52,Q15)=0,"명단에 없는 코드",""))</f>
        <v/>
      </c>
    </row>
    <row r="16" customFormat="false" ht="15" hidden="false" customHeight="false" outlineLevel="0" collapsed="false">
      <c r="A16" s="7" t="str">
        <f aca="false">IF(참가자!A16="","",UPPER(TRIM(참가자!A16)))</f>
        <v/>
      </c>
      <c r="B16" s="7" t="str">
        <f aca="false">IF(A16="","",IF(참가자!B16="","(팀 없음)",TRIM(참가자!B16)))</f>
        <v/>
      </c>
      <c r="C16" s="7" t="str">
        <f aca="false">IF(A16="","",IFERROR(INDEX($R$3:$R$102,MATCH(A16,$Q$3:$Q$102,0)),""))</f>
        <v/>
      </c>
      <c r="D16" s="7" t="str">
        <f aca="false">IF(A16="","",IF(C16="","결석",IF(IFERROR(INDEX($S$3:$S$102,MATCH(A16,$Q$3:$Q$102,0)),"")="비경쟁","비경쟁 응시","응시")))</f>
        <v/>
      </c>
      <c r="E16" s="7" t="str">
        <f aca="false">IF(A16="","",IF(COUNTIF($Q$3:$Q$102,A16)&gt;1,"중복! 확인",""))</f>
        <v/>
      </c>
      <c r="F16" s="7" t="str">
        <f aca="false">IF(A16="","",IF(C16="",IF(ISNUMBER(진단!C16),진단!C16,IF(COUNT($C$3:$C$52)=0,"",ROUND(AVERAGE($C$3:$C$52),1))),IF(AND(USE_DIAG_CHECK=1,ISNUMBER(진단!C16)),IF(ROUND(진단!C16-C16,1)&gt;=DIAG_GAP,ROUND((C16+진단!C16)/2,1),C16),C16)))</f>
        <v/>
      </c>
      <c r="G16" s="7" t="str">
        <f aca="false">IF(A16="","",IF(C16="",IF(F16="","기준점수 없음",IF(ISNUMBER(진단!C16),"진단 대체","응시자 평균")),IF(F16&lt;&gt;C16,"진단 보정","평가A")))</f>
        <v/>
      </c>
      <c r="H16" s="7" t="str">
        <f aca="false">IF(A16="","",IF(AND(NOT(ISNUMBER(C16)),NOT(ISNUMBER(진단!C16))),"",ROUND((IF(ISNUMBER(C16),C16*EVAL_ITEMS,0)+IF(ISNUMBER(진단!C16),진단!C16*DIAG_ITEMS,0))/(IF(ISNUMBER(C16),EVAL_ITEMS,0)+IF(ISNUMBER(진단!C16),DIAG_ITEMS,0)),1)))</f>
        <v/>
      </c>
      <c r="L16" s="8"/>
      <c r="M16" s="8"/>
      <c r="N16" s="8"/>
      <c r="O16" s="8"/>
      <c r="Q16" s="0" t="str">
        <f aca="false">IF(UPPER(TRIM(L16&amp;""))="","",IF(RIGHT(UPPER(TRIM(L16&amp;"")),2)="-N",TRIM(LEFT(UPPER(TRIM(L16&amp;"")),LEN(UPPER(TRIM(L16&amp;"")))-2)),UPPER(TRIM(L16&amp;""))))</f>
        <v/>
      </c>
      <c r="R16" s="0" t="str">
        <f aca="false">IF(Q16="","",IF(ISNUMBER(O16),ROUND(O16,1),IF(AND(ISNUMBER(M16),ISNUMBER(N16)),IF(N16&gt;0,ROUND(M16/N16*100,1),""),"")))</f>
        <v/>
      </c>
      <c r="S16" s="0" t="str">
        <f aca="false">IF(Q16="","",IF(RIGHT(UPPER(TRIM(L16&amp;"")),2)="-N","비경쟁",""))</f>
        <v/>
      </c>
      <c r="T16" s="0" t="str">
        <f aca="false">IF(Q16="","",IF(COUNTIF(참가자!$A$3:$A$52,Q16)=0,"명단에 없는 코드",""))</f>
        <v/>
      </c>
    </row>
    <row r="17" customFormat="false" ht="15" hidden="false" customHeight="false" outlineLevel="0" collapsed="false">
      <c r="A17" s="7" t="str">
        <f aca="false">IF(참가자!A17="","",UPPER(TRIM(참가자!A17)))</f>
        <v/>
      </c>
      <c r="B17" s="7" t="str">
        <f aca="false">IF(A17="","",IF(참가자!B17="","(팀 없음)",TRIM(참가자!B17)))</f>
        <v/>
      </c>
      <c r="C17" s="7" t="str">
        <f aca="false">IF(A17="","",IFERROR(INDEX($R$3:$R$102,MATCH(A17,$Q$3:$Q$102,0)),""))</f>
        <v/>
      </c>
      <c r="D17" s="7" t="str">
        <f aca="false">IF(A17="","",IF(C17="","결석",IF(IFERROR(INDEX($S$3:$S$102,MATCH(A17,$Q$3:$Q$102,0)),"")="비경쟁","비경쟁 응시","응시")))</f>
        <v/>
      </c>
      <c r="E17" s="7" t="str">
        <f aca="false">IF(A17="","",IF(COUNTIF($Q$3:$Q$102,A17)&gt;1,"중복! 확인",""))</f>
        <v/>
      </c>
      <c r="F17" s="7" t="str">
        <f aca="false">IF(A17="","",IF(C17="",IF(ISNUMBER(진단!C17),진단!C17,IF(COUNT($C$3:$C$52)=0,"",ROUND(AVERAGE($C$3:$C$52),1))),IF(AND(USE_DIAG_CHECK=1,ISNUMBER(진단!C17)),IF(ROUND(진단!C17-C17,1)&gt;=DIAG_GAP,ROUND((C17+진단!C17)/2,1),C17),C17)))</f>
        <v/>
      </c>
      <c r="G17" s="7" t="str">
        <f aca="false">IF(A17="","",IF(C17="",IF(F17="","기준점수 없음",IF(ISNUMBER(진단!C17),"진단 대체","응시자 평균")),IF(F17&lt;&gt;C17,"진단 보정","평가A")))</f>
        <v/>
      </c>
      <c r="H17" s="7" t="str">
        <f aca="false">IF(A17="","",IF(AND(NOT(ISNUMBER(C17)),NOT(ISNUMBER(진단!C17))),"",ROUND((IF(ISNUMBER(C17),C17*EVAL_ITEMS,0)+IF(ISNUMBER(진단!C17),진단!C17*DIAG_ITEMS,0))/(IF(ISNUMBER(C17),EVAL_ITEMS,0)+IF(ISNUMBER(진단!C17),DIAG_ITEMS,0)),1)))</f>
        <v/>
      </c>
      <c r="L17" s="8"/>
      <c r="M17" s="8"/>
      <c r="N17" s="8"/>
      <c r="O17" s="8"/>
      <c r="Q17" s="0" t="str">
        <f aca="false">IF(UPPER(TRIM(L17&amp;""))="","",IF(RIGHT(UPPER(TRIM(L17&amp;"")),2)="-N",TRIM(LEFT(UPPER(TRIM(L17&amp;"")),LEN(UPPER(TRIM(L17&amp;"")))-2)),UPPER(TRIM(L17&amp;""))))</f>
        <v/>
      </c>
      <c r="R17" s="0" t="str">
        <f aca="false">IF(Q17="","",IF(ISNUMBER(O17),ROUND(O17,1),IF(AND(ISNUMBER(M17),ISNUMBER(N17)),IF(N17&gt;0,ROUND(M17/N17*100,1),""),"")))</f>
        <v/>
      </c>
      <c r="S17" s="0" t="str">
        <f aca="false">IF(Q17="","",IF(RIGHT(UPPER(TRIM(L17&amp;"")),2)="-N","비경쟁",""))</f>
        <v/>
      </c>
      <c r="T17" s="0" t="str">
        <f aca="false">IF(Q17="","",IF(COUNTIF(참가자!$A$3:$A$52,Q17)=0,"명단에 없는 코드",""))</f>
        <v/>
      </c>
    </row>
    <row r="18" customFormat="false" ht="15" hidden="false" customHeight="false" outlineLevel="0" collapsed="false">
      <c r="A18" s="7" t="str">
        <f aca="false">IF(참가자!A18="","",UPPER(TRIM(참가자!A18)))</f>
        <v/>
      </c>
      <c r="B18" s="7" t="str">
        <f aca="false">IF(A18="","",IF(참가자!B18="","(팀 없음)",TRIM(참가자!B18)))</f>
        <v/>
      </c>
      <c r="C18" s="7" t="str">
        <f aca="false">IF(A18="","",IFERROR(INDEX($R$3:$R$102,MATCH(A18,$Q$3:$Q$102,0)),""))</f>
        <v/>
      </c>
      <c r="D18" s="7" t="str">
        <f aca="false">IF(A18="","",IF(C18="","결석",IF(IFERROR(INDEX($S$3:$S$102,MATCH(A18,$Q$3:$Q$102,0)),"")="비경쟁","비경쟁 응시","응시")))</f>
        <v/>
      </c>
      <c r="E18" s="7" t="str">
        <f aca="false">IF(A18="","",IF(COUNTIF($Q$3:$Q$102,A18)&gt;1,"중복! 확인",""))</f>
        <v/>
      </c>
      <c r="F18" s="7" t="str">
        <f aca="false">IF(A18="","",IF(C18="",IF(ISNUMBER(진단!C18),진단!C18,IF(COUNT($C$3:$C$52)=0,"",ROUND(AVERAGE($C$3:$C$52),1))),IF(AND(USE_DIAG_CHECK=1,ISNUMBER(진단!C18)),IF(ROUND(진단!C18-C18,1)&gt;=DIAG_GAP,ROUND((C18+진단!C18)/2,1),C18),C18)))</f>
        <v/>
      </c>
      <c r="G18" s="7" t="str">
        <f aca="false">IF(A18="","",IF(C18="",IF(F18="","기준점수 없음",IF(ISNUMBER(진단!C18),"진단 대체","응시자 평균")),IF(F18&lt;&gt;C18,"진단 보정","평가A")))</f>
        <v/>
      </c>
      <c r="H18" s="7" t="str">
        <f aca="false">IF(A18="","",IF(AND(NOT(ISNUMBER(C18)),NOT(ISNUMBER(진단!C18))),"",ROUND((IF(ISNUMBER(C18),C18*EVAL_ITEMS,0)+IF(ISNUMBER(진단!C18),진단!C18*DIAG_ITEMS,0))/(IF(ISNUMBER(C18),EVAL_ITEMS,0)+IF(ISNUMBER(진단!C18),DIAG_ITEMS,0)),1)))</f>
        <v/>
      </c>
      <c r="L18" s="8"/>
      <c r="M18" s="8"/>
      <c r="N18" s="8"/>
      <c r="O18" s="8"/>
      <c r="Q18" s="0" t="str">
        <f aca="false">IF(UPPER(TRIM(L18&amp;""))="","",IF(RIGHT(UPPER(TRIM(L18&amp;"")),2)="-N",TRIM(LEFT(UPPER(TRIM(L18&amp;"")),LEN(UPPER(TRIM(L18&amp;"")))-2)),UPPER(TRIM(L18&amp;""))))</f>
        <v/>
      </c>
      <c r="R18" s="0" t="str">
        <f aca="false">IF(Q18="","",IF(ISNUMBER(O18),ROUND(O18,1),IF(AND(ISNUMBER(M18),ISNUMBER(N18)),IF(N18&gt;0,ROUND(M18/N18*100,1),""),"")))</f>
        <v/>
      </c>
      <c r="S18" s="0" t="str">
        <f aca="false">IF(Q18="","",IF(RIGHT(UPPER(TRIM(L18&amp;"")),2)="-N","비경쟁",""))</f>
        <v/>
      </c>
      <c r="T18" s="0" t="str">
        <f aca="false">IF(Q18="","",IF(COUNTIF(참가자!$A$3:$A$52,Q18)=0,"명단에 없는 코드",""))</f>
        <v/>
      </c>
    </row>
    <row r="19" customFormat="false" ht="15" hidden="false" customHeight="false" outlineLevel="0" collapsed="false">
      <c r="A19" s="7" t="str">
        <f aca="false">IF(참가자!A19="","",UPPER(TRIM(참가자!A19)))</f>
        <v/>
      </c>
      <c r="B19" s="7" t="str">
        <f aca="false">IF(A19="","",IF(참가자!B19="","(팀 없음)",TRIM(참가자!B19)))</f>
        <v/>
      </c>
      <c r="C19" s="7" t="str">
        <f aca="false">IF(A19="","",IFERROR(INDEX($R$3:$R$102,MATCH(A19,$Q$3:$Q$102,0)),""))</f>
        <v/>
      </c>
      <c r="D19" s="7" t="str">
        <f aca="false">IF(A19="","",IF(C19="","결석",IF(IFERROR(INDEX($S$3:$S$102,MATCH(A19,$Q$3:$Q$102,0)),"")="비경쟁","비경쟁 응시","응시")))</f>
        <v/>
      </c>
      <c r="E19" s="7" t="str">
        <f aca="false">IF(A19="","",IF(COUNTIF($Q$3:$Q$102,A19)&gt;1,"중복! 확인",""))</f>
        <v/>
      </c>
      <c r="F19" s="7" t="str">
        <f aca="false">IF(A19="","",IF(C19="",IF(ISNUMBER(진단!C19),진단!C19,IF(COUNT($C$3:$C$52)=0,"",ROUND(AVERAGE($C$3:$C$52),1))),IF(AND(USE_DIAG_CHECK=1,ISNUMBER(진단!C19)),IF(ROUND(진단!C19-C19,1)&gt;=DIAG_GAP,ROUND((C19+진단!C19)/2,1),C19),C19)))</f>
        <v/>
      </c>
      <c r="G19" s="7" t="str">
        <f aca="false">IF(A19="","",IF(C19="",IF(F19="","기준점수 없음",IF(ISNUMBER(진단!C19),"진단 대체","응시자 평균")),IF(F19&lt;&gt;C19,"진단 보정","평가A")))</f>
        <v/>
      </c>
      <c r="H19" s="7" t="str">
        <f aca="false">IF(A19="","",IF(AND(NOT(ISNUMBER(C19)),NOT(ISNUMBER(진단!C19))),"",ROUND((IF(ISNUMBER(C19),C19*EVAL_ITEMS,0)+IF(ISNUMBER(진단!C19),진단!C19*DIAG_ITEMS,0))/(IF(ISNUMBER(C19),EVAL_ITEMS,0)+IF(ISNUMBER(진단!C19),DIAG_ITEMS,0)),1)))</f>
        <v/>
      </c>
      <c r="L19" s="8"/>
      <c r="M19" s="8"/>
      <c r="N19" s="8"/>
      <c r="O19" s="8"/>
      <c r="Q19" s="0" t="str">
        <f aca="false">IF(UPPER(TRIM(L19&amp;""))="","",IF(RIGHT(UPPER(TRIM(L19&amp;"")),2)="-N",TRIM(LEFT(UPPER(TRIM(L19&amp;"")),LEN(UPPER(TRIM(L19&amp;"")))-2)),UPPER(TRIM(L19&amp;""))))</f>
        <v/>
      </c>
      <c r="R19" s="0" t="str">
        <f aca="false">IF(Q19="","",IF(ISNUMBER(O19),ROUND(O19,1),IF(AND(ISNUMBER(M19),ISNUMBER(N19)),IF(N19&gt;0,ROUND(M19/N19*100,1),""),"")))</f>
        <v/>
      </c>
      <c r="S19" s="0" t="str">
        <f aca="false">IF(Q19="","",IF(RIGHT(UPPER(TRIM(L19&amp;"")),2)="-N","비경쟁",""))</f>
        <v/>
      </c>
      <c r="T19" s="0" t="str">
        <f aca="false">IF(Q19="","",IF(COUNTIF(참가자!$A$3:$A$52,Q19)=0,"명단에 없는 코드",""))</f>
        <v/>
      </c>
    </row>
    <row r="20" customFormat="false" ht="15" hidden="false" customHeight="false" outlineLevel="0" collapsed="false">
      <c r="A20" s="7" t="str">
        <f aca="false">IF(참가자!A20="","",UPPER(TRIM(참가자!A20)))</f>
        <v/>
      </c>
      <c r="B20" s="7" t="str">
        <f aca="false">IF(A20="","",IF(참가자!B20="","(팀 없음)",TRIM(참가자!B20)))</f>
        <v/>
      </c>
      <c r="C20" s="7" t="str">
        <f aca="false">IF(A20="","",IFERROR(INDEX($R$3:$R$102,MATCH(A20,$Q$3:$Q$102,0)),""))</f>
        <v/>
      </c>
      <c r="D20" s="7" t="str">
        <f aca="false">IF(A20="","",IF(C20="","결석",IF(IFERROR(INDEX($S$3:$S$102,MATCH(A20,$Q$3:$Q$102,0)),"")="비경쟁","비경쟁 응시","응시")))</f>
        <v/>
      </c>
      <c r="E20" s="7" t="str">
        <f aca="false">IF(A20="","",IF(COUNTIF($Q$3:$Q$102,A20)&gt;1,"중복! 확인",""))</f>
        <v/>
      </c>
      <c r="F20" s="7" t="str">
        <f aca="false">IF(A20="","",IF(C20="",IF(ISNUMBER(진단!C20),진단!C20,IF(COUNT($C$3:$C$52)=0,"",ROUND(AVERAGE($C$3:$C$52),1))),IF(AND(USE_DIAG_CHECK=1,ISNUMBER(진단!C20)),IF(ROUND(진단!C20-C20,1)&gt;=DIAG_GAP,ROUND((C20+진단!C20)/2,1),C20),C20)))</f>
        <v/>
      </c>
      <c r="G20" s="7" t="str">
        <f aca="false">IF(A20="","",IF(C20="",IF(F20="","기준점수 없음",IF(ISNUMBER(진단!C20),"진단 대체","응시자 평균")),IF(F20&lt;&gt;C20,"진단 보정","평가A")))</f>
        <v/>
      </c>
      <c r="H20" s="7" t="str">
        <f aca="false">IF(A20="","",IF(AND(NOT(ISNUMBER(C20)),NOT(ISNUMBER(진단!C20))),"",ROUND((IF(ISNUMBER(C20),C20*EVAL_ITEMS,0)+IF(ISNUMBER(진단!C20),진단!C20*DIAG_ITEMS,0))/(IF(ISNUMBER(C20),EVAL_ITEMS,0)+IF(ISNUMBER(진단!C20),DIAG_ITEMS,0)),1)))</f>
        <v/>
      </c>
      <c r="L20" s="8"/>
      <c r="M20" s="8"/>
      <c r="N20" s="8"/>
      <c r="O20" s="8"/>
      <c r="Q20" s="0" t="str">
        <f aca="false">IF(UPPER(TRIM(L20&amp;""))="","",IF(RIGHT(UPPER(TRIM(L20&amp;"")),2)="-N",TRIM(LEFT(UPPER(TRIM(L20&amp;"")),LEN(UPPER(TRIM(L20&amp;"")))-2)),UPPER(TRIM(L20&amp;""))))</f>
        <v/>
      </c>
      <c r="R20" s="0" t="str">
        <f aca="false">IF(Q20="","",IF(ISNUMBER(O20),ROUND(O20,1),IF(AND(ISNUMBER(M20),ISNUMBER(N20)),IF(N20&gt;0,ROUND(M20/N20*100,1),""),"")))</f>
        <v/>
      </c>
      <c r="S20" s="0" t="str">
        <f aca="false">IF(Q20="","",IF(RIGHT(UPPER(TRIM(L20&amp;"")),2)="-N","비경쟁",""))</f>
        <v/>
      </c>
      <c r="T20" s="0" t="str">
        <f aca="false">IF(Q20="","",IF(COUNTIF(참가자!$A$3:$A$52,Q20)=0,"명단에 없는 코드",""))</f>
        <v/>
      </c>
    </row>
    <row r="21" customFormat="false" ht="15" hidden="false" customHeight="false" outlineLevel="0" collapsed="false">
      <c r="A21" s="7" t="str">
        <f aca="false">IF(참가자!A21="","",UPPER(TRIM(참가자!A21)))</f>
        <v/>
      </c>
      <c r="B21" s="7" t="str">
        <f aca="false">IF(A21="","",IF(참가자!B21="","(팀 없음)",TRIM(참가자!B21)))</f>
        <v/>
      </c>
      <c r="C21" s="7" t="str">
        <f aca="false">IF(A21="","",IFERROR(INDEX($R$3:$R$102,MATCH(A21,$Q$3:$Q$102,0)),""))</f>
        <v/>
      </c>
      <c r="D21" s="7" t="str">
        <f aca="false">IF(A21="","",IF(C21="","결석",IF(IFERROR(INDEX($S$3:$S$102,MATCH(A21,$Q$3:$Q$102,0)),"")="비경쟁","비경쟁 응시","응시")))</f>
        <v/>
      </c>
      <c r="E21" s="7" t="str">
        <f aca="false">IF(A21="","",IF(COUNTIF($Q$3:$Q$102,A21)&gt;1,"중복! 확인",""))</f>
        <v/>
      </c>
      <c r="F21" s="7" t="str">
        <f aca="false">IF(A21="","",IF(C21="",IF(ISNUMBER(진단!C21),진단!C21,IF(COUNT($C$3:$C$52)=0,"",ROUND(AVERAGE($C$3:$C$52),1))),IF(AND(USE_DIAG_CHECK=1,ISNUMBER(진단!C21)),IF(ROUND(진단!C21-C21,1)&gt;=DIAG_GAP,ROUND((C21+진단!C21)/2,1),C21),C21)))</f>
        <v/>
      </c>
      <c r="G21" s="7" t="str">
        <f aca="false">IF(A21="","",IF(C21="",IF(F21="","기준점수 없음",IF(ISNUMBER(진단!C21),"진단 대체","응시자 평균")),IF(F21&lt;&gt;C21,"진단 보정","평가A")))</f>
        <v/>
      </c>
      <c r="H21" s="7" t="str">
        <f aca="false">IF(A21="","",IF(AND(NOT(ISNUMBER(C21)),NOT(ISNUMBER(진단!C21))),"",ROUND((IF(ISNUMBER(C21),C21*EVAL_ITEMS,0)+IF(ISNUMBER(진단!C21),진단!C21*DIAG_ITEMS,0))/(IF(ISNUMBER(C21),EVAL_ITEMS,0)+IF(ISNUMBER(진단!C21),DIAG_ITEMS,0)),1)))</f>
        <v/>
      </c>
      <c r="L21" s="8"/>
      <c r="M21" s="8"/>
      <c r="N21" s="8"/>
      <c r="O21" s="8"/>
      <c r="Q21" s="0" t="str">
        <f aca="false">IF(UPPER(TRIM(L21&amp;""))="","",IF(RIGHT(UPPER(TRIM(L21&amp;"")),2)="-N",TRIM(LEFT(UPPER(TRIM(L21&amp;"")),LEN(UPPER(TRIM(L21&amp;"")))-2)),UPPER(TRIM(L21&amp;""))))</f>
        <v/>
      </c>
      <c r="R21" s="0" t="str">
        <f aca="false">IF(Q21="","",IF(ISNUMBER(O21),ROUND(O21,1),IF(AND(ISNUMBER(M21),ISNUMBER(N21)),IF(N21&gt;0,ROUND(M21/N21*100,1),""),"")))</f>
        <v/>
      </c>
      <c r="S21" s="0" t="str">
        <f aca="false">IF(Q21="","",IF(RIGHT(UPPER(TRIM(L21&amp;"")),2)="-N","비경쟁",""))</f>
        <v/>
      </c>
      <c r="T21" s="0" t="str">
        <f aca="false">IF(Q21="","",IF(COUNTIF(참가자!$A$3:$A$52,Q21)=0,"명단에 없는 코드",""))</f>
        <v/>
      </c>
    </row>
    <row r="22" customFormat="false" ht="15" hidden="false" customHeight="false" outlineLevel="0" collapsed="false">
      <c r="A22" s="7" t="str">
        <f aca="false">IF(참가자!A22="","",UPPER(TRIM(참가자!A22)))</f>
        <v/>
      </c>
      <c r="B22" s="7" t="str">
        <f aca="false">IF(A22="","",IF(참가자!B22="","(팀 없음)",TRIM(참가자!B22)))</f>
        <v/>
      </c>
      <c r="C22" s="7" t="str">
        <f aca="false">IF(A22="","",IFERROR(INDEX($R$3:$R$102,MATCH(A22,$Q$3:$Q$102,0)),""))</f>
        <v/>
      </c>
      <c r="D22" s="7" t="str">
        <f aca="false">IF(A22="","",IF(C22="","결석",IF(IFERROR(INDEX($S$3:$S$102,MATCH(A22,$Q$3:$Q$102,0)),"")="비경쟁","비경쟁 응시","응시")))</f>
        <v/>
      </c>
      <c r="E22" s="7" t="str">
        <f aca="false">IF(A22="","",IF(COUNTIF($Q$3:$Q$102,A22)&gt;1,"중복! 확인",""))</f>
        <v/>
      </c>
      <c r="F22" s="7" t="str">
        <f aca="false">IF(A22="","",IF(C22="",IF(ISNUMBER(진단!C22),진단!C22,IF(COUNT($C$3:$C$52)=0,"",ROUND(AVERAGE($C$3:$C$52),1))),IF(AND(USE_DIAG_CHECK=1,ISNUMBER(진단!C22)),IF(ROUND(진단!C22-C22,1)&gt;=DIAG_GAP,ROUND((C22+진단!C22)/2,1),C22),C22)))</f>
        <v/>
      </c>
      <c r="G22" s="7" t="str">
        <f aca="false">IF(A22="","",IF(C22="",IF(F22="","기준점수 없음",IF(ISNUMBER(진단!C22),"진단 대체","응시자 평균")),IF(F22&lt;&gt;C22,"진단 보정","평가A")))</f>
        <v/>
      </c>
      <c r="H22" s="7" t="str">
        <f aca="false">IF(A22="","",IF(AND(NOT(ISNUMBER(C22)),NOT(ISNUMBER(진단!C22))),"",ROUND((IF(ISNUMBER(C22),C22*EVAL_ITEMS,0)+IF(ISNUMBER(진단!C22),진단!C22*DIAG_ITEMS,0))/(IF(ISNUMBER(C22),EVAL_ITEMS,0)+IF(ISNUMBER(진단!C22),DIAG_ITEMS,0)),1)))</f>
        <v/>
      </c>
      <c r="L22" s="8"/>
      <c r="M22" s="8"/>
      <c r="N22" s="8"/>
      <c r="O22" s="8"/>
      <c r="Q22" s="0" t="str">
        <f aca="false">IF(UPPER(TRIM(L22&amp;""))="","",IF(RIGHT(UPPER(TRIM(L22&amp;"")),2)="-N",TRIM(LEFT(UPPER(TRIM(L22&amp;"")),LEN(UPPER(TRIM(L22&amp;"")))-2)),UPPER(TRIM(L22&amp;""))))</f>
        <v/>
      </c>
      <c r="R22" s="0" t="str">
        <f aca="false">IF(Q22="","",IF(ISNUMBER(O22),ROUND(O22,1),IF(AND(ISNUMBER(M22),ISNUMBER(N22)),IF(N22&gt;0,ROUND(M22/N22*100,1),""),"")))</f>
        <v/>
      </c>
      <c r="S22" s="0" t="str">
        <f aca="false">IF(Q22="","",IF(RIGHT(UPPER(TRIM(L22&amp;"")),2)="-N","비경쟁",""))</f>
        <v/>
      </c>
      <c r="T22" s="0" t="str">
        <f aca="false">IF(Q22="","",IF(COUNTIF(참가자!$A$3:$A$52,Q22)=0,"명단에 없는 코드",""))</f>
        <v/>
      </c>
    </row>
    <row r="23" customFormat="false" ht="15" hidden="false" customHeight="false" outlineLevel="0" collapsed="false">
      <c r="A23" s="7" t="str">
        <f aca="false">IF(참가자!A23="","",UPPER(TRIM(참가자!A23)))</f>
        <v/>
      </c>
      <c r="B23" s="7" t="str">
        <f aca="false">IF(A23="","",IF(참가자!B23="","(팀 없음)",TRIM(참가자!B23)))</f>
        <v/>
      </c>
      <c r="C23" s="7" t="str">
        <f aca="false">IF(A23="","",IFERROR(INDEX($R$3:$R$102,MATCH(A23,$Q$3:$Q$102,0)),""))</f>
        <v/>
      </c>
      <c r="D23" s="7" t="str">
        <f aca="false">IF(A23="","",IF(C23="","결석",IF(IFERROR(INDEX($S$3:$S$102,MATCH(A23,$Q$3:$Q$102,0)),"")="비경쟁","비경쟁 응시","응시")))</f>
        <v/>
      </c>
      <c r="E23" s="7" t="str">
        <f aca="false">IF(A23="","",IF(COUNTIF($Q$3:$Q$102,A23)&gt;1,"중복! 확인",""))</f>
        <v/>
      </c>
      <c r="F23" s="7" t="str">
        <f aca="false">IF(A23="","",IF(C23="",IF(ISNUMBER(진단!C23),진단!C23,IF(COUNT($C$3:$C$52)=0,"",ROUND(AVERAGE($C$3:$C$52),1))),IF(AND(USE_DIAG_CHECK=1,ISNUMBER(진단!C23)),IF(ROUND(진단!C23-C23,1)&gt;=DIAG_GAP,ROUND((C23+진단!C23)/2,1),C23),C23)))</f>
        <v/>
      </c>
      <c r="G23" s="7" t="str">
        <f aca="false">IF(A23="","",IF(C23="",IF(F23="","기준점수 없음",IF(ISNUMBER(진단!C23),"진단 대체","응시자 평균")),IF(F23&lt;&gt;C23,"진단 보정","평가A")))</f>
        <v/>
      </c>
      <c r="H23" s="7" t="str">
        <f aca="false">IF(A23="","",IF(AND(NOT(ISNUMBER(C23)),NOT(ISNUMBER(진단!C23))),"",ROUND((IF(ISNUMBER(C23),C23*EVAL_ITEMS,0)+IF(ISNUMBER(진단!C23),진단!C23*DIAG_ITEMS,0))/(IF(ISNUMBER(C23),EVAL_ITEMS,0)+IF(ISNUMBER(진단!C23),DIAG_ITEMS,0)),1)))</f>
        <v/>
      </c>
      <c r="L23" s="8"/>
      <c r="M23" s="8"/>
      <c r="N23" s="8"/>
      <c r="O23" s="8"/>
      <c r="Q23" s="0" t="str">
        <f aca="false">IF(UPPER(TRIM(L23&amp;""))="","",IF(RIGHT(UPPER(TRIM(L23&amp;"")),2)="-N",TRIM(LEFT(UPPER(TRIM(L23&amp;"")),LEN(UPPER(TRIM(L23&amp;"")))-2)),UPPER(TRIM(L23&amp;""))))</f>
        <v/>
      </c>
      <c r="R23" s="0" t="str">
        <f aca="false">IF(Q23="","",IF(ISNUMBER(O23),ROUND(O23,1),IF(AND(ISNUMBER(M23),ISNUMBER(N23)),IF(N23&gt;0,ROUND(M23/N23*100,1),""),"")))</f>
        <v/>
      </c>
      <c r="S23" s="0" t="str">
        <f aca="false">IF(Q23="","",IF(RIGHT(UPPER(TRIM(L23&amp;"")),2)="-N","비경쟁",""))</f>
        <v/>
      </c>
      <c r="T23" s="0" t="str">
        <f aca="false">IF(Q23="","",IF(COUNTIF(참가자!$A$3:$A$52,Q23)=0,"명단에 없는 코드",""))</f>
        <v/>
      </c>
    </row>
    <row r="24" customFormat="false" ht="15" hidden="false" customHeight="false" outlineLevel="0" collapsed="false">
      <c r="A24" s="7" t="str">
        <f aca="false">IF(참가자!A24="","",UPPER(TRIM(참가자!A24)))</f>
        <v/>
      </c>
      <c r="B24" s="7" t="str">
        <f aca="false">IF(A24="","",IF(참가자!B24="","(팀 없음)",TRIM(참가자!B24)))</f>
        <v/>
      </c>
      <c r="C24" s="7" t="str">
        <f aca="false">IF(A24="","",IFERROR(INDEX($R$3:$R$102,MATCH(A24,$Q$3:$Q$102,0)),""))</f>
        <v/>
      </c>
      <c r="D24" s="7" t="str">
        <f aca="false">IF(A24="","",IF(C24="","결석",IF(IFERROR(INDEX($S$3:$S$102,MATCH(A24,$Q$3:$Q$102,0)),"")="비경쟁","비경쟁 응시","응시")))</f>
        <v/>
      </c>
      <c r="E24" s="7" t="str">
        <f aca="false">IF(A24="","",IF(COUNTIF($Q$3:$Q$102,A24)&gt;1,"중복! 확인",""))</f>
        <v/>
      </c>
      <c r="F24" s="7" t="str">
        <f aca="false">IF(A24="","",IF(C24="",IF(ISNUMBER(진단!C24),진단!C24,IF(COUNT($C$3:$C$52)=0,"",ROUND(AVERAGE($C$3:$C$52),1))),IF(AND(USE_DIAG_CHECK=1,ISNUMBER(진단!C24)),IF(ROUND(진단!C24-C24,1)&gt;=DIAG_GAP,ROUND((C24+진단!C24)/2,1),C24),C24)))</f>
        <v/>
      </c>
      <c r="G24" s="7" t="str">
        <f aca="false">IF(A24="","",IF(C24="",IF(F24="","기준점수 없음",IF(ISNUMBER(진단!C24),"진단 대체","응시자 평균")),IF(F24&lt;&gt;C24,"진단 보정","평가A")))</f>
        <v/>
      </c>
      <c r="H24" s="7" t="str">
        <f aca="false">IF(A24="","",IF(AND(NOT(ISNUMBER(C24)),NOT(ISNUMBER(진단!C24))),"",ROUND((IF(ISNUMBER(C24),C24*EVAL_ITEMS,0)+IF(ISNUMBER(진단!C24),진단!C24*DIAG_ITEMS,0))/(IF(ISNUMBER(C24),EVAL_ITEMS,0)+IF(ISNUMBER(진단!C24),DIAG_ITEMS,0)),1)))</f>
        <v/>
      </c>
      <c r="L24" s="8"/>
      <c r="M24" s="8"/>
      <c r="N24" s="8"/>
      <c r="O24" s="8"/>
      <c r="Q24" s="0" t="str">
        <f aca="false">IF(UPPER(TRIM(L24&amp;""))="","",IF(RIGHT(UPPER(TRIM(L24&amp;"")),2)="-N",TRIM(LEFT(UPPER(TRIM(L24&amp;"")),LEN(UPPER(TRIM(L24&amp;"")))-2)),UPPER(TRIM(L24&amp;""))))</f>
        <v/>
      </c>
      <c r="R24" s="0" t="str">
        <f aca="false">IF(Q24="","",IF(ISNUMBER(O24),ROUND(O24,1),IF(AND(ISNUMBER(M24),ISNUMBER(N24)),IF(N24&gt;0,ROUND(M24/N24*100,1),""),"")))</f>
        <v/>
      </c>
      <c r="S24" s="0" t="str">
        <f aca="false">IF(Q24="","",IF(RIGHT(UPPER(TRIM(L24&amp;"")),2)="-N","비경쟁",""))</f>
        <v/>
      </c>
      <c r="T24" s="0" t="str">
        <f aca="false">IF(Q24="","",IF(COUNTIF(참가자!$A$3:$A$52,Q24)=0,"명단에 없는 코드",""))</f>
        <v/>
      </c>
    </row>
    <row r="25" customFormat="false" ht="15" hidden="false" customHeight="false" outlineLevel="0" collapsed="false">
      <c r="A25" s="7" t="str">
        <f aca="false">IF(참가자!A25="","",UPPER(TRIM(참가자!A25)))</f>
        <v/>
      </c>
      <c r="B25" s="7" t="str">
        <f aca="false">IF(A25="","",IF(참가자!B25="","(팀 없음)",TRIM(참가자!B25)))</f>
        <v/>
      </c>
      <c r="C25" s="7" t="str">
        <f aca="false">IF(A25="","",IFERROR(INDEX($R$3:$R$102,MATCH(A25,$Q$3:$Q$102,0)),""))</f>
        <v/>
      </c>
      <c r="D25" s="7" t="str">
        <f aca="false">IF(A25="","",IF(C25="","결석",IF(IFERROR(INDEX($S$3:$S$102,MATCH(A25,$Q$3:$Q$102,0)),"")="비경쟁","비경쟁 응시","응시")))</f>
        <v/>
      </c>
      <c r="E25" s="7" t="str">
        <f aca="false">IF(A25="","",IF(COUNTIF($Q$3:$Q$102,A25)&gt;1,"중복! 확인",""))</f>
        <v/>
      </c>
      <c r="F25" s="7" t="str">
        <f aca="false">IF(A25="","",IF(C25="",IF(ISNUMBER(진단!C25),진단!C25,IF(COUNT($C$3:$C$52)=0,"",ROUND(AVERAGE($C$3:$C$52),1))),IF(AND(USE_DIAG_CHECK=1,ISNUMBER(진단!C25)),IF(ROUND(진단!C25-C25,1)&gt;=DIAG_GAP,ROUND((C25+진단!C25)/2,1),C25),C25)))</f>
        <v/>
      </c>
      <c r="G25" s="7" t="str">
        <f aca="false">IF(A25="","",IF(C25="",IF(F25="","기준점수 없음",IF(ISNUMBER(진단!C25),"진단 대체","응시자 평균")),IF(F25&lt;&gt;C25,"진단 보정","평가A")))</f>
        <v/>
      </c>
      <c r="H25" s="7" t="str">
        <f aca="false">IF(A25="","",IF(AND(NOT(ISNUMBER(C25)),NOT(ISNUMBER(진단!C25))),"",ROUND((IF(ISNUMBER(C25),C25*EVAL_ITEMS,0)+IF(ISNUMBER(진단!C25),진단!C25*DIAG_ITEMS,0))/(IF(ISNUMBER(C25),EVAL_ITEMS,0)+IF(ISNUMBER(진단!C25),DIAG_ITEMS,0)),1)))</f>
        <v/>
      </c>
      <c r="L25" s="8"/>
      <c r="M25" s="8"/>
      <c r="N25" s="8"/>
      <c r="O25" s="8"/>
      <c r="Q25" s="0" t="str">
        <f aca="false">IF(UPPER(TRIM(L25&amp;""))="","",IF(RIGHT(UPPER(TRIM(L25&amp;"")),2)="-N",TRIM(LEFT(UPPER(TRIM(L25&amp;"")),LEN(UPPER(TRIM(L25&amp;"")))-2)),UPPER(TRIM(L25&amp;""))))</f>
        <v/>
      </c>
      <c r="R25" s="0" t="str">
        <f aca="false">IF(Q25="","",IF(ISNUMBER(O25),ROUND(O25,1),IF(AND(ISNUMBER(M25),ISNUMBER(N25)),IF(N25&gt;0,ROUND(M25/N25*100,1),""),"")))</f>
        <v/>
      </c>
      <c r="S25" s="0" t="str">
        <f aca="false">IF(Q25="","",IF(RIGHT(UPPER(TRIM(L25&amp;"")),2)="-N","비경쟁",""))</f>
        <v/>
      </c>
      <c r="T25" s="0" t="str">
        <f aca="false">IF(Q25="","",IF(COUNTIF(참가자!$A$3:$A$52,Q25)=0,"명단에 없는 코드",""))</f>
        <v/>
      </c>
    </row>
    <row r="26" customFormat="false" ht="15" hidden="false" customHeight="false" outlineLevel="0" collapsed="false">
      <c r="A26" s="7" t="str">
        <f aca="false">IF(참가자!A26="","",UPPER(TRIM(참가자!A26)))</f>
        <v/>
      </c>
      <c r="B26" s="7" t="str">
        <f aca="false">IF(A26="","",IF(참가자!B26="","(팀 없음)",TRIM(참가자!B26)))</f>
        <v/>
      </c>
      <c r="C26" s="7" t="str">
        <f aca="false">IF(A26="","",IFERROR(INDEX($R$3:$R$102,MATCH(A26,$Q$3:$Q$102,0)),""))</f>
        <v/>
      </c>
      <c r="D26" s="7" t="str">
        <f aca="false">IF(A26="","",IF(C26="","결석",IF(IFERROR(INDEX($S$3:$S$102,MATCH(A26,$Q$3:$Q$102,0)),"")="비경쟁","비경쟁 응시","응시")))</f>
        <v/>
      </c>
      <c r="E26" s="7" t="str">
        <f aca="false">IF(A26="","",IF(COUNTIF($Q$3:$Q$102,A26)&gt;1,"중복! 확인",""))</f>
        <v/>
      </c>
      <c r="F26" s="7" t="str">
        <f aca="false">IF(A26="","",IF(C26="",IF(ISNUMBER(진단!C26),진단!C26,IF(COUNT($C$3:$C$52)=0,"",ROUND(AVERAGE($C$3:$C$52),1))),IF(AND(USE_DIAG_CHECK=1,ISNUMBER(진단!C26)),IF(ROUND(진단!C26-C26,1)&gt;=DIAG_GAP,ROUND((C26+진단!C26)/2,1),C26),C26)))</f>
        <v/>
      </c>
      <c r="G26" s="7" t="str">
        <f aca="false">IF(A26="","",IF(C26="",IF(F26="","기준점수 없음",IF(ISNUMBER(진단!C26),"진단 대체","응시자 평균")),IF(F26&lt;&gt;C26,"진단 보정","평가A")))</f>
        <v/>
      </c>
      <c r="H26" s="7" t="str">
        <f aca="false">IF(A26="","",IF(AND(NOT(ISNUMBER(C26)),NOT(ISNUMBER(진단!C26))),"",ROUND((IF(ISNUMBER(C26),C26*EVAL_ITEMS,0)+IF(ISNUMBER(진단!C26),진단!C26*DIAG_ITEMS,0))/(IF(ISNUMBER(C26),EVAL_ITEMS,0)+IF(ISNUMBER(진단!C26),DIAG_ITEMS,0)),1)))</f>
        <v/>
      </c>
      <c r="L26" s="8"/>
      <c r="M26" s="8"/>
      <c r="N26" s="8"/>
      <c r="O26" s="8"/>
      <c r="Q26" s="0" t="str">
        <f aca="false">IF(UPPER(TRIM(L26&amp;""))="","",IF(RIGHT(UPPER(TRIM(L26&amp;"")),2)="-N",TRIM(LEFT(UPPER(TRIM(L26&amp;"")),LEN(UPPER(TRIM(L26&amp;"")))-2)),UPPER(TRIM(L26&amp;""))))</f>
        <v/>
      </c>
      <c r="R26" s="0" t="str">
        <f aca="false">IF(Q26="","",IF(ISNUMBER(O26),ROUND(O26,1),IF(AND(ISNUMBER(M26),ISNUMBER(N26)),IF(N26&gt;0,ROUND(M26/N26*100,1),""),"")))</f>
        <v/>
      </c>
      <c r="S26" s="0" t="str">
        <f aca="false">IF(Q26="","",IF(RIGHT(UPPER(TRIM(L26&amp;"")),2)="-N","비경쟁",""))</f>
        <v/>
      </c>
      <c r="T26" s="0" t="str">
        <f aca="false">IF(Q26="","",IF(COUNTIF(참가자!$A$3:$A$52,Q26)=0,"명단에 없는 코드",""))</f>
        <v/>
      </c>
    </row>
    <row r="27" customFormat="false" ht="15" hidden="false" customHeight="false" outlineLevel="0" collapsed="false">
      <c r="A27" s="7" t="str">
        <f aca="false">IF(참가자!A27="","",UPPER(TRIM(참가자!A27)))</f>
        <v/>
      </c>
      <c r="B27" s="7" t="str">
        <f aca="false">IF(A27="","",IF(참가자!B27="","(팀 없음)",TRIM(참가자!B27)))</f>
        <v/>
      </c>
      <c r="C27" s="7" t="str">
        <f aca="false">IF(A27="","",IFERROR(INDEX($R$3:$R$102,MATCH(A27,$Q$3:$Q$102,0)),""))</f>
        <v/>
      </c>
      <c r="D27" s="7" t="str">
        <f aca="false">IF(A27="","",IF(C27="","결석",IF(IFERROR(INDEX($S$3:$S$102,MATCH(A27,$Q$3:$Q$102,0)),"")="비경쟁","비경쟁 응시","응시")))</f>
        <v/>
      </c>
      <c r="E27" s="7" t="str">
        <f aca="false">IF(A27="","",IF(COUNTIF($Q$3:$Q$102,A27)&gt;1,"중복! 확인",""))</f>
        <v/>
      </c>
      <c r="F27" s="7" t="str">
        <f aca="false">IF(A27="","",IF(C27="",IF(ISNUMBER(진단!C27),진단!C27,IF(COUNT($C$3:$C$52)=0,"",ROUND(AVERAGE($C$3:$C$52),1))),IF(AND(USE_DIAG_CHECK=1,ISNUMBER(진단!C27)),IF(ROUND(진단!C27-C27,1)&gt;=DIAG_GAP,ROUND((C27+진단!C27)/2,1),C27),C27)))</f>
        <v/>
      </c>
      <c r="G27" s="7" t="str">
        <f aca="false">IF(A27="","",IF(C27="",IF(F27="","기준점수 없음",IF(ISNUMBER(진단!C27),"진단 대체","응시자 평균")),IF(F27&lt;&gt;C27,"진단 보정","평가A")))</f>
        <v/>
      </c>
      <c r="H27" s="7" t="str">
        <f aca="false">IF(A27="","",IF(AND(NOT(ISNUMBER(C27)),NOT(ISNUMBER(진단!C27))),"",ROUND((IF(ISNUMBER(C27),C27*EVAL_ITEMS,0)+IF(ISNUMBER(진단!C27),진단!C27*DIAG_ITEMS,0))/(IF(ISNUMBER(C27),EVAL_ITEMS,0)+IF(ISNUMBER(진단!C27),DIAG_ITEMS,0)),1)))</f>
        <v/>
      </c>
      <c r="L27" s="8"/>
      <c r="M27" s="8"/>
      <c r="N27" s="8"/>
      <c r="O27" s="8"/>
      <c r="Q27" s="0" t="str">
        <f aca="false">IF(UPPER(TRIM(L27&amp;""))="","",IF(RIGHT(UPPER(TRIM(L27&amp;"")),2)="-N",TRIM(LEFT(UPPER(TRIM(L27&amp;"")),LEN(UPPER(TRIM(L27&amp;"")))-2)),UPPER(TRIM(L27&amp;""))))</f>
        <v/>
      </c>
      <c r="R27" s="0" t="str">
        <f aca="false">IF(Q27="","",IF(ISNUMBER(O27),ROUND(O27,1),IF(AND(ISNUMBER(M27),ISNUMBER(N27)),IF(N27&gt;0,ROUND(M27/N27*100,1),""),"")))</f>
        <v/>
      </c>
      <c r="S27" s="0" t="str">
        <f aca="false">IF(Q27="","",IF(RIGHT(UPPER(TRIM(L27&amp;"")),2)="-N","비경쟁",""))</f>
        <v/>
      </c>
      <c r="T27" s="0" t="str">
        <f aca="false">IF(Q27="","",IF(COUNTIF(참가자!$A$3:$A$52,Q27)=0,"명단에 없는 코드",""))</f>
        <v/>
      </c>
    </row>
    <row r="28" customFormat="false" ht="15" hidden="false" customHeight="false" outlineLevel="0" collapsed="false">
      <c r="A28" s="7" t="str">
        <f aca="false">IF(참가자!A28="","",UPPER(TRIM(참가자!A28)))</f>
        <v/>
      </c>
      <c r="B28" s="7" t="str">
        <f aca="false">IF(A28="","",IF(참가자!B28="","(팀 없음)",TRIM(참가자!B28)))</f>
        <v/>
      </c>
      <c r="C28" s="7" t="str">
        <f aca="false">IF(A28="","",IFERROR(INDEX($R$3:$R$102,MATCH(A28,$Q$3:$Q$102,0)),""))</f>
        <v/>
      </c>
      <c r="D28" s="7" t="str">
        <f aca="false">IF(A28="","",IF(C28="","결석",IF(IFERROR(INDEX($S$3:$S$102,MATCH(A28,$Q$3:$Q$102,0)),"")="비경쟁","비경쟁 응시","응시")))</f>
        <v/>
      </c>
      <c r="E28" s="7" t="str">
        <f aca="false">IF(A28="","",IF(COUNTIF($Q$3:$Q$102,A28)&gt;1,"중복! 확인",""))</f>
        <v/>
      </c>
      <c r="F28" s="7" t="str">
        <f aca="false">IF(A28="","",IF(C28="",IF(ISNUMBER(진단!C28),진단!C28,IF(COUNT($C$3:$C$52)=0,"",ROUND(AVERAGE($C$3:$C$52),1))),IF(AND(USE_DIAG_CHECK=1,ISNUMBER(진단!C28)),IF(ROUND(진단!C28-C28,1)&gt;=DIAG_GAP,ROUND((C28+진단!C28)/2,1),C28),C28)))</f>
        <v/>
      </c>
      <c r="G28" s="7" t="str">
        <f aca="false">IF(A28="","",IF(C28="",IF(F28="","기준점수 없음",IF(ISNUMBER(진단!C28),"진단 대체","응시자 평균")),IF(F28&lt;&gt;C28,"진단 보정","평가A")))</f>
        <v/>
      </c>
      <c r="H28" s="7" t="str">
        <f aca="false">IF(A28="","",IF(AND(NOT(ISNUMBER(C28)),NOT(ISNUMBER(진단!C28))),"",ROUND((IF(ISNUMBER(C28),C28*EVAL_ITEMS,0)+IF(ISNUMBER(진단!C28),진단!C28*DIAG_ITEMS,0))/(IF(ISNUMBER(C28),EVAL_ITEMS,0)+IF(ISNUMBER(진단!C28),DIAG_ITEMS,0)),1)))</f>
        <v/>
      </c>
      <c r="L28" s="8"/>
      <c r="M28" s="8"/>
      <c r="N28" s="8"/>
      <c r="O28" s="8"/>
      <c r="Q28" s="0" t="str">
        <f aca="false">IF(UPPER(TRIM(L28&amp;""))="","",IF(RIGHT(UPPER(TRIM(L28&amp;"")),2)="-N",TRIM(LEFT(UPPER(TRIM(L28&amp;"")),LEN(UPPER(TRIM(L28&amp;"")))-2)),UPPER(TRIM(L28&amp;""))))</f>
        <v/>
      </c>
      <c r="R28" s="0" t="str">
        <f aca="false">IF(Q28="","",IF(ISNUMBER(O28),ROUND(O28,1),IF(AND(ISNUMBER(M28),ISNUMBER(N28)),IF(N28&gt;0,ROUND(M28/N28*100,1),""),"")))</f>
        <v/>
      </c>
      <c r="S28" s="0" t="str">
        <f aca="false">IF(Q28="","",IF(RIGHT(UPPER(TRIM(L28&amp;"")),2)="-N","비경쟁",""))</f>
        <v/>
      </c>
      <c r="T28" s="0" t="str">
        <f aca="false">IF(Q28="","",IF(COUNTIF(참가자!$A$3:$A$52,Q28)=0,"명단에 없는 코드",""))</f>
        <v/>
      </c>
    </row>
    <row r="29" customFormat="false" ht="15" hidden="false" customHeight="false" outlineLevel="0" collapsed="false">
      <c r="A29" s="7" t="str">
        <f aca="false">IF(참가자!A29="","",UPPER(TRIM(참가자!A29)))</f>
        <v/>
      </c>
      <c r="B29" s="7" t="str">
        <f aca="false">IF(A29="","",IF(참가자!B29="","(팀 없음)",TRIM(참가자!B29)))</f>
        <v/>
      </c>
      <c r="C29" s="7" t="str">
        <f aca="false">IF(A29="","",IFERROR(INDEX($R$3:$R$102,MATCH(A29,$Q$3:$Q$102,0)),""))</f>
        <v/>
      </c>
      <c r="D29" s="7" t="str">
        <f aca="false">IF(A29="","",IF(C29="","결석",IF(IFERROR(INDEX($S$3:$S$102,MATCH(A29,$Q$3:$Q$102,0)),"")="비경쟁","비경쟁 응시","응시")))</f>
        <v/>
      </c>
      <c r="E29" s="7" t="str">
        <f aca="false">IF(A29="","",IF(COUNTIF($Q$3:$Q$102,A29)&gt;1,"중복! 확인",""))</f>
        <v/>
      </c>
      <c r="F29" s="7" t="str">
        <f aca="false">IF(A29="","",IF(C29="",IF(ISNUMBER(진단!C29),진단!C29,IF(COUNT($C$3:$C$52)=0,"",ROUND(AVERAGE($C$3:$C$52),1))),IF(AND(USE_DIAG_CHECK=1,ISNUMBER(진단!C29)),IF(ROUND(진단!C29-C29,1)&gt;=DIAG_GAP,ROUND((C29+진단!C29)/2,1),C29),C29)))</f>
        <v/>
      </c>
      <c r="G29" s="7" t="str">
        <f aca="false">IF(A29="","",IF(C29="",IF(F29="","기준점수 없음",IF(ISNUMBER(진단!C29),"진단 대체","응시자 평균")),IF(F29&lt;&gt;C29,"진단 보정","평가A")))</f>
        <v/>
      </c>
      <c r="H29" s="7" t="str">
        <f aca="false">IF(A29="","",IF(AND(NOT(ISNUMBER(C29)),NOT(ISNUMBER(진단!C29))),"",ROUND((IF(ISNUMBER(C29),C29*EVAL_ITEMS,0)+IF(ISNUMBER(진단!C29),진단!C29*DIAG_ITEMS,0))/(IF(ISNUMBER(C29),EVAL_ITEMS,0)+IF(ISNUMBER(진단!C29),DIAG_ITEMS,0)),1)))</f>
        <v/>
      </c>
      <c r="L29" s="8"/>
      <c r="M29" s="8"/>
      <c r="N29" s="8"/>
      <c r="O29" s="8"/>
      <c r="Q29" s="0" t="str">
        <f aca="false">IF(UPPER(TRIM(L29&amp;""))="","",IF(RIGHT(UPPER(TRIM(L29&amp;"")),2)="-N",TRIM(LEFT(UPPER(TRIM(L29&amp;"")),LEN(UPPER(TRIM(L29&amp;"")))-2)),UPPER(TRIM(L29&amp;""))))</f>
        <v/>
      </c>
      <c r="R29" s="0" t="str">
        <f aca="false">IF(Q29="","",IF(ISNUMBER(O29),ROUND(O29,1),IF(AND(ISNUMBER(M29),ISNUMBER(N29)),IF(N29&gt;0,ROUND(M29/N29*100,1),""),"")))</f>
        <v/>
      </c>
      <c r="S29" s="0" t="str">
        <f aca="false">IF(Q29="","",IF(RIGHT(UPPER(TRIM(L29&amp;"")),2)="-N","비경쟁",""))</f>
        <v/>
      </c>
      <c r="T29" s="0" t="str">
        <f aca="false">IF(Q29="","",IF(COUNTIF(참가자!$A$3:$A$52,Q29)=0,"명단에 없는 코드",""))</f>
        <v/>
      </c>
    </row>
    <row r="30" customFormat="false" ht="15" hidden="false" customHeight="false" outlineLevel="0" collapsed="false">
      <c r="A30" s="7" t="str">
        <f aca="false">IF(참가자!A30="","",UPPER(TRIM(참가자!A30)))</f>
        <v/>
      </c>
      <c r="B30" s="7" t="str">
        <f aca="false">IF(A30="","",IF(참가자!B30="","(팀 없음)",TRIM(참가자!B30)))</f>
        <v/>
      </c>
      <c r="C30" s="7" t="str">
        <f aca="false">IF(A30="","",IFERROR(INDEX($R$3:$R$102,MATCH(A30,$Q$3:$Q$102,0)),""))</f>
        <v/>
      </c>
      <c r="D30" s="7" t="str">
        <f aca="false">IF(A30="","",IF(C30="","결석",IF(IFERROR(INDEX($S$3:$S$102,MATCH(A30,$Q$3:$Q$102,0)),"")="비경쟁","비경쟁 응시","응시")))</f>
        <v/>
      </c>
      <c r="E30" s="7" t="str">
        <f aca="false">IF(A30="","",IF(COUNTIF($Q$3:$Q$102,A30)&gt;1,"중복! 확인",""))</f>
        <v/>
      </c>
      <c r="F30" s="7" t="str">
        <f aca="false">IF(A30="","",IF(C30="",IF(ISNUMBER(진단!C30),진단!C30,IF(COUNT($C$3:$C$52)=0,"",ROUND(AVERAGE($C$3:$C$52),1))),IF(AND(USE_DIAG_CHECK=1,ISNUMBER(진단!C30)),IF(ROUND(진단!C30-C30,1)&gt;=DIAG_GAP,ROUND((C30+진단!C30)/2,1),C30),C30)))</f>
        <v/>
      </c>
      <c r="G30" s="7" t="str">
        <f aca="false">IF(A30="","",IF(C30="",IF(F30="","기준점수 없음",IF(ISNUMBER(진단!C30),"진단 대체","응시자 평균")),IF(F30&lt;&gt;C30,"진단 보정","평가A")))</f>
        <v/>
      </c>
      <c r="H30" s="7" t="str">
        <f aca="false">IF(A30="","",IF(AND(NOT(ISNUMBER(C30)),NOT(ISNUMBER(진단!C30))),"",ROUND((IF(ISNUMBER(C30),C30*EVAL_ITEMS,0)+IF(ISNUMBER(진단!C30),진단!C30*DIAG_ITEMS,0))/(IF(ISNUMBER(C30),EVAL_ITEMS,0)+IF(ISNUMBER(진단!C30),DIAG_ITEMS,0)),1)))</f>
        <v/>
      </c>
      <c r="L30" s="8"/>
      <c r="M30" s="8"/>
      <c r="N30" s="8"/>
      <c r="O30" s="8"/>
      <c r="Q30" s="0" t="str">
        <f aca="false">IF(UPPER(TRIM(L30&amp;""))="","",IF(RIGHT(UPPER(TRIM(L30&amp;"")),2)="-N",TRIM(LEFT(UPPER(TRIM(L30&amp;"")),LEN(UPPER(TRIM(L30&amp;"")))-2)),UPPER(TRIM(L30&amp;""))))</f>
        <v/>
      </c>
      <c r="R30" s="0" t="str">
        <f aca="false">IF(Q30="","",IF(ISNUMBER(O30),ROUND(O30,1),IF(AND(ISNUMBER(M30),ISNUMBER(N30)),IF(N30&gt;0,ROUND(M30/N30*100,1),""),"")))</f>
        <v/>
      </c>
      <c r="S30" s="0" t="str">
        <f aca="false">IF(Q30="","",IF(RIGHT(UPPER(TRIM(L30&amp;"")),2)="-N","비경쟁",""))</f>
        <v/>
      </c>
      <c r="T30" s="0" t="str">
        <f aca="false">IF(Q30="","",IF(COUNTIF(참가자!$A$3:$A$52,Q30)=0,"명단에 없는 코드",""))</f>
        <v/>
      </c>
    </row>
    <row r="31" customFormat="false" ht="15" hidden="false" customHeight="false" outlineLevel="0" collapsed="false">
      <c r="A31" s="7" t="str">
        <f aca="false">IF(참가자!A31="","",UPPER(TRIM(참가자!A31)))</f>
        <v/>
      </c>
      <c r="B31" s="7" t="str">
        <f aca="false">IF(A31="","",IF(참가자!B31="","(팀 없음)",TRIM(참가자!B31)))</f>
        <v/>
      </c>
      <c r="C31" s="7" t="str">
        <f aca="false">IF(A31="","",IFERROR(INDEX($R$3:$R$102,MATCH(A31,$Q$3:$Q$102,0)),""))</f>
        <v/>
      </c>
      <c r="D31" s="7" t="str">
        <f aca="false">IF(A31="","",IF(C31="","결석",IF(IFERROR(INDEX($S$3:$S$102,MATCH(A31,$Q$3:$Q$102,0)),"")="비경쟁","비경쟁 응시","응시")))</f>
        <v/>
      </c>
      <c r="E31" s="7" t="str">
        <f aca="false">IF(A31="","",IF(COUNTIF($Q$3:$Q$102,A31)&gt;1,"중복! 확인",""))</f>
        <v/>
      </c>
      <c r="F31" s="7" t="str">
        <f aca="false">IF(A31="","",IF(C31="",IF(ISNUMBER(진단!C31),진단!C31,IF(COUNT($C$3:$C$52)=0,"",ROUND(AVERAGE($C$3:$C$52),1))),IF(AND(USE_DIAG_CHECK=1,ISNUMBER(진단!C31)),IF(ROUND(진단!C31-C31,1)&gt;=DIAG_GAP,ROUND((C31+진단!C31)/2,1),C31),C31)))</f>
        <v/>
      </c>
      <c r="G31" s="7" t="str">
        <f aca="false">IF(A31="","",IF(C31="",IF(F31="","기준점수 없음",IF(ISNUMBER(진단!C31),"진단 대체","응시자 평균")),IF(F31&lt;&gt;C31,"진단 보정","평가A")))</f>
        <v/>
      </c>
      <c r="H31" s="7" t="str">
        <f aca="false">IF(A31="","",IF(AND(NOT(ISNUMBER(C31)),NOT(ISNUMBER(진단!C31))),"",ROUND((IF(ISNUMBER(C31),C31*EVAL_ITEMS,0)+IF(ISNUMBER(진단!C31),진단!C31*DIAG_ITEMS,0))/(IF(ISNUMBER(C31),EVAL_ITEMS,0)+IF(ISNUMBER(진단!C31),DIAG_ITEMS,0)),1)))</f>
        <v/>
      </c>
      <c r="L31" s="8"/>
      <c r="M31" s="8"/>
      <c r="N31" s="8"/>
      <c r="O31" s="8"/>
      <c r="Q31" s="0" t="str">
        <f aca="false">IF(UPPER(TRIM(L31&amp;""))="","",IF(RIGHT(UPPER(TRIM(L31&amp;"")),2)="-N",TRIM(LEFT(UPPER(TRIM(L31&amp;"")),LEN(UPPER(TRIM(L31&amp;"")))-2)),UPPER(TRIM(L31&amp;""))))</f>
        <v/>
      </c>
      <c r="R31" s="0" t="str">
        <f aca="false">IF(Q31="","",IF(ISNUMBER(O31),ROUND(O31,1),IF(AND(ISNUMBER(M31),ISNUMBER(N31)),IF(N31&gt;0,ROUND(M31/N31*100,1),""),"")))</f>
        <v/>
      </c>
      <c r="S31" s="0" t="str">
        <f aca="false">IF(Q31="","",IF(RIGHT(UPPER(TRIM(L31&amp;"")),2)="-N","비경쟁",""))</f>
        <v/>
      </c>
      <c r="T31" s="0" t="str">
        <f aca="false">IF(Q31="","",IF(COUNTIF(참가자!$A$3:$A$52,Q31)=0,"명단에 없는 코드",""))</f>
        <v/>
      </c>
    </row>
    <row r="32" customFormat="false" ht="15" hidden="false" customHeight="false" outlineLevel="0" collapsed="false">
      <c r="A32" s="7" t="str">
        <f aca="false">IF(참가자!A32="","",UPPER(TRIM(참가자!A32)))</f>
        <v/>
      </c>
      <c r="B32" s="7" t="str">
        <f aca="false">IF(A32="","",IF(참가자!B32="","(팀 없음)",TRIM(참가자!B32)))</f>
        <v/>
      </c>
      <c r="C32" s="7" t="str">
        <f aca="false">IF(A32="","",IFERROR(INDEX($R$3:$R$102,MATCH(A32,$Q$3:$Q$102,0)),""))</f>
        <v/>
      </c>
      <c r="D32" s="7" t="str">
        <f aca="false">IF(A32="","",IF(C32="","결석",IF(IFERROR(INDEX($S$3:$S$102,MATCH(A32,$Q$3:$Q$102,0)),"")="비경쟁","비경쟁 응시","응시")))</f>
        <v/>
      </c>
      <c r="E32" s="7" t="str">
        <f aca="false">IF(A32="","",IF(COUNTIF($Q$3:$Q$102,A32)&gt;1,"중복! 확인",""))</f>
        <v/>
      </c>
      <c r="F32" s="7" t="str">
        <f aca="false">IF(A32="","",IF(C32="",IF(ISNUMBER(진단!C32),진단!C32,IF(COUNT($C$3:$C$52)=0,"",ROUND(AVERAGE($C$3:$C$52),1))),IF(AND(USE_DIAG_CHECK=1,ISNUMBER(진단!C32)),IF(ROUND(진단!C32-C32,1)&gt;=DIAG_GAP,ROUND((C32+진단!C32)/2,1),C32),C32)))</f>
        <v/>
      </c>
      <c r="G32" s="7" t="str">
        <f aca="false">IF(A32="","",IF(C32="",IF(F32="","기준점수 없음",IF(ISNUMBER(진단!C32),"진단 대체","응시자 평균")),IF(F32&lt;&gt;C32,"진단 보정","평가A")))</f>
        <v/>
      </c>
      <c r="H32" s="7" t="str">
        <f aca="false">IF(A32="","",IF(AND(NOT(ISNUMBER(C32)),NOT(ISNUMBER(진단!C32))),"",ROUND((IF(ISNUMBER(C32),C32*EVAL_ITEMS,0)+IF(ISNUMBER(진단!C32),진단!C32*DIAG_ITEMS,0))/(IF(ISNUMBER(C32),EVAL_ITEMS,0)+IF(ISNUMBER(진단!C32),DIAG_ITEMS,0)),1)))</f>
        <v/>
      </c>
      <c r="L32" s="8"/>
      <c r="M32" s="8"/>
      <c r="N32" s="8"/>
      <c r="O32" s="8"/>
      <c r="Q32" s="0" t="str">
        <f aca="false">IF(UPPER(TRIM(L32&amp;""))="","",IF(RIGHT(UPPER(TRIM(L32&amp;"")),2)="-N",TRIM(LEFT(UPPER(TRIM(L32&amp;"")),LEN(UPPER(TRIM(L32&amp;"")))-2)),UPPER(TRIM(L32&amp;""))))</f>
        <v/>
      </c>
      <c r="R32" s="0" t="str">
        <f aca="false">IF(Q32="","",IF(ISNUMBER(O32),ROUND(O32,1),IF(AND(ISNUMBER(M32),ISNUMBER(N32)),IF(N32&gt;0,ROUND(M32/N32*100,1),""),"")))</f>
        <v/>
      </c>
      <c r="S32" s="0" t="str">
        <f aca="false">IF(Q32="","",IF(RIGHT(UPPER(TRIM(L32&amp;"")),2)="-N","비경쟁",""))</f>
        <v/>
      </c>
      <c r="T32" s="0" t="str">
        <f aca="false">IF(Q32="","",IF(COUNTIF(참가자!$A$3:$A$52,Q32)=0,"명단에 없는 코드",""))</f>
        <v/>
      </c>
    </row>
    <row r="33" customFormat="false" ht="15" hidden="false" customHeight="false" outlineLevel="0" collapsed="false">
      <c r="A33" s="7" t="str">
        <f aca="false">IF(참가자!A33="","",UPPER(TRIM(참가자!A33)))</f>
        <v/>
      </c>
      <c r="B33" s="7" t="str">
        <f aca="false">IF(A33="","",IF(참가자!B33="","(팀 없음)",TRIM(참가자!B33)))</f>
        <v/>
      </c>
      <c r="C33" s="7" t="str">
        <f aca="false">IF(A33="","",IFERROR(INDEX($R$3:$R$102,MATCH(A33,$Q$3:$Q$102,0)),""))</f>
        <v/>
      </c>
      <c r="D33" s="7" t="str">
        <f aca="false">IF(A33="","",IF(C33="","결석",IF(IFERROR(INDEX($S$3:$S$102,MATCH(A33,$Q$3:$Q$102,0)),"")="비경쟁","비경쟁 응시","응시")))</f>
        <v/>
      </c>
      <c r="E33" s="7" t="str">
        <f aca="false">IF(A33="","",IF(COUNTIF($Q$3:$Q$102,A33)&gt;1,"중복! 확인",""))</f>
        <v/>
      </c>
      <c r="F33" s="7" t="str">
        <f aca="false">IF(A33="","",IF(C33="",IF(ISNUMBER(진단!C33),진단!C33,IF(COUNT($C$3:$C$52)=0,"",ROUND(AVERAGE($C$3:$C$52),1))),IF(AND(USE_DIAG_CHECK=1,ISNUMBER(진단!C33)),IF(ROUND(진단!C33-C33,1)&gt;=DIAG_GAP,ROUND((C33+진단!C33)/2,1),C33),C33)))</f>
        <v/>
      </c>
      <c r="G33" s="7" t="str">
        <f aca="false">IF(A33="","",IF(C33="",IF(F33="","기준점수 없음",IF(ISNUMBER(진단!C33),"진단 대체","응시자 평균")),IF(F33&lt;&gt;C33,"진단 보정","평가A")))</f>
        <v/>
      </c>
      <c r="H33" s="7" t="str">
        <f aca="false">IF(A33="","",IF(AND(NOT(ISNUMBER(C33)),NOT(ISNUMBER(진단!C33))),"",ROUND((IF(ISNUMBER(C33),C33*EVAL_ITEMS,0)+IF(ISNUMBER(진단!C33),진단!C33*DIAG_ITEMS,0))/(IF(ISNUMBER(C33),EVAL_ITEMS,0)+IF(ISNUMBER(진단!C33),DIAG_ITEMS,0)),1)))</f>
        <v/>
      </c>
      <c r="L33" s="8"/>
      <c r="M33" s="8"/>
      <c r="N33" s="8"/>
      <c r="O33" s="8"/>
      <c r="Q33" s="0" t="str">
        <f aca="false">IF(UPPER(TRIM(L33&amp;""))="","",IF(RIGHT(UPPER(TRIM(L33&amp;"")),2)="-N",TRIM(LEFT(UPPER(TRIM(L33&amp;"")),LEN(UPPER(TRIM(L33&amp;"")))-2)),UPPER(TRIM(L33&amp;""))))</f>
        <v/>
      </c>
      <c r="R33" s="0" t="str">
        <f aca="false">IF(Q33="","",IF(ISNUMBER(O33),ROUND(O33,1),IF(AND(ISNUMBER(M33),ISNUMBER(N33)),IF(N33&gt;0,ROUND(M33/N33*100,1),""),"")))</f>
        <v/>
      </c>
      <c r="S33" s="0" t="str">
        <f aca="false">IF(Q33="","",IF(RIGHT(UPPER(TRIM(L33&amp;"")),2)="-N","비경쟁",""))</f>
        <v/>
      </c>
      <c r="T33" s="0" t="str">
        <f aca="false">IF(Q33="","",IF(COUNTIF(참가자!$A$3:$A$52,Q33)=0,"명단에 없는 코드",""))</f>
        <v/>
      </c>
    </row>
    <row r="34" customFormat="false" ht="15" hidden="false" customHeight="false" outlineLevel="0" collapsed="false">
      <c r="A34" s="7" t="str">
        <f aca="false">IF(참가자!A34="","",UPPER(TRIM(참가자!A34)))</f>
        <v/>
      </c>
      <c r="B34" s="7" t="str">
        <f aca="false">IF(A34="","",IF(참가자!B34="","(팀 없음)",TRIM(참가자!B34)))</f>
        <v/>
      </c>
      <c r="C34" s="7" t="str">
        <f aca="false">IF(A34="","",IFERROR(INDEX($R$3:$R$102,MATCH(A34,$Q$3:$Q$102,0)),""))</f>
        <v/>
      </c>
      <c r="D34" s="7" t="str">
        <f aca="false">IF(A34="","",IF(C34="","결석",IF(IFERROR(INDEX($S$3:$S$102,MATCH(A34,$Q$3:$Q$102,0)),"")="비경쟁","비경쟁 응시","응시")))</f>
        <v/>
      </c>
      <c r="E34" s="7" t="str">
        <f aca="false">IF(A34="","",IF(COUNTIF($Q$3:$Q$102,A34)&gt;1,"중복! 확인",""))</f>
        <v/>
      </c>
      <c r="F34" s="7" t="str">
        <f aca="false">IF(A34="","",IF(C34="",IF(ISNUMBER(진단!C34),진단!C34,IF(COUNT($C$3:$C$52)=0,"",ROUND(AVERAGE($C$3:$C$52),1))),IF(AND(USE_DIAG_CHECK=1,ISNUMBER(진단!C34)),IF(ROUND(진단!C34-C34,1)&gt;=DIAG_GAP,ROUND((C34+진단!C34)/2,1),C34),C34)))</f>
        <v/>
      </c>
      <c r="G34" s="7" t="str">
        <f aca="false">IF(A34="","",IF(C34="",IF(F34="","기준점수 없음",IF(ISNUMBER(진단!C34),"진단 대체","응시자 평균")),IF(F34&lt;&gt;C34,"진단 보정","평가A")))</f>
        <v/>
      </c>
      <c r="H34" s="7" t="str">
        <f aca="false">IF(A34="","",IF(AND(NOT(ISNUMBER(C34)),NOT(ISNUMBER(진단!C34))),"",ROUND((IF(ISNUMBER(C34),C34*EVAL_ITEMS,0)+IF(ISNUMBER(진단!C34),진단!C34*DIAG_ITEMS,0))/(IF(ISNUMBER(C34),EVAL_ITEMS,0)+IF(ISNUMBER(진단!C34),DIAG_ITEMS,0)),1)))</f>
        <v/>
      </c>
      <c r="L34" s="8"/>
      <c r="M34" s="8"/>
      <c r="N34" s="8"/>
      <c r="O34" s="8"/>
      <c r="Q34" s="0" t="str">
        <f aca="false">IF(UPPER(TRIM(L34&amp;""))="","",IF(RIGHT(UPPER(TRIM(L34&amp;"")),2)="-N",TRIM(LEFT(UPPER(TRIM(L34&amp;"")),LEN(UPPER(TRIM(L34&amp;"")))-2)),UPPER(TRIM(L34&amp;""))))</f>
        <v/>
      </c>
      <c r="R34" s="0" t="str">
        <f aca="false">IF(Q34="","",IF(ISNUMBER(O34),ROUND(O34,1),IF(AND(ISNUMBER(M34),ISNUMBER(N34)),IF(N34&gt;0,ROUND(M34/N34*100,1),""),"")))</f>
        <v/>
      </c>
      <c r="S34" s="0" t="str">
        <f aca="false">IF(Q34="","",IF(RIGHT(UPPER(TRIM(L34&amp;"")),2)="-N","비경쟁",""))</f>
        <v/>
      </c>
      <c r="T34" s="0" t="str">
        <f aca="false">IF(Q34="","",IF(COUNTIF(참가자!$A$3:$A$52,Q34)=0,"명단에 없는 코드",""))</f>
        <v/>
      </c>
    </row>
    <row r="35" customFormat="false" ht="15" hidden="false" customHeight="false" outlineLevel="0" collapsed="false">
      <c r="A35" s="7" t="str">
        <f aca="false">IF(참가자!A35="","",UPPER(TRIM(참가자!A35)))</f>
        <v/>
      </c>
      <c r="B35" s="7" t="str">
        <f aca="false">IF(A35="","",IF(참가자!B35="","(팀 없음)",TRIM(참가자!B35)))</f>
        <v/>
      </c>
      <c r="C35" s="7" t="str">
        <f aca="false">IF(A35="","",IFERROR(INDEX($R$3:$R$102,MATCH(A35,$Q$3:$Q$102,0)),""))</f>
        <v/>
      </c>
      <c r="D35" s="7" t="str">
        <f aca="false">IF(A35="","",IF(C35="","결석",IF(IFERROR(INDEX($S$3:$S$102,MATCH(A35,$Q$3:$Q$102,0)),"")="비경쟁","비경쟁 응시","응시")))</f>
        <v/>
      </c>
      <c r="E35" s="7" t="str">
        <f aca="false">IF(A35="","",IF(COUNTIF($Q$3:$Q$102,A35)&gt;1,"중복! 확인",""))</f>
        <v/>
      </c>
      <c r="F35" s="7" t="str">
        <f aca="false">IF(A35="","",IF(C35="",IF(ISNUMBER(진단!C35),진단!C35,IF(COUNT($C$3:$C$52)=0,"",ROUND(AVERAGE($C$3:$C$52),1))),IF(AND(USE_DIAG_CHECK=1,ISNUMBER(진단!C35)),IF(ROUND(진단!C35-C35,1)&gt;=DIAG_GAP,ROUND((C35+진단!C35)/2,1),C35),C35)))</f>
        <v/>
      </c>
      <c r="G35" s="7" t="str">
        <f aca="false">IF(A35="","",IF(C35="",IF(F35="","기준점수 없음",IF(ISNUMBER(진단!C35),"진단 대체","응시자 평균")),IF(F35&lt;&gt;C35,"진단 보정","평가A")))</f>
        <v/>
      </c>
      <c r="H35" s="7" t="str">
        <f aca="false">IF(A35="","",IF(AND(NOT(ISNUMBER(C35)),NOT(ISNUMBER(진단!C35))),"",ROUND((IF(ISNUMBER(C35),C35*EVAL_ITEMS,0)+IF(ISNUMBER(진단!C35),진단!C35*DIAG_ITEMS,0))/(IF(ISNUMBER(C35),EVAL_ITEMS,0)+IF(ISNUMBER(진단!C35),DIAG_ITEMS,0)),1)))</f>
        <v/>
      </c>
      <c r="L35" s="8"/>
      <c r="M35" s="8"/>
      <c r="N35" s="8"/>
      <c r="O35" s="8"/>
      <c r="Q35" s="0" t="str">
        <f aca="false">IF(UPPER(TRIM(L35&amp;""))="","",IF(RIGHT(UPPER(TRIM(L35&amp;"")),2)="-N",TRIM(LEFT(UPPER(TRIM(L35&amp;"")),LEN(UPPER(TRIM(L35&amp;"")))-2)),UPPER(TRIM(L35&amp;""))))</f>
        <v/>
      </c>
      <c r="R35" s="0" t="str">
        <f aca="false">IF(Q35="","",IF(ISNUMBER(O35),ROUND(O35,1),IF(AND(ISNUMBER(M35),ISNUMBER(N35)),IF(N35&gt;0,ROUND(M35/N35*100,1),""),"")))</f>
        <v/>
      </c>
      <c r="S35" s="0" t="str">
        <f aca="false">IF(Q35="","",IF(RIGHT(UPPER(TRIM(L35&amp;"")),2)="-N","비경쟁",""))</f>
        <v/>
      </c>
      <c r="T35" s="0" t="str">
        <f aca="false">IF(Q35="","",IF(COUNTIF(참가자!$A$3:$A$52,Q35)=0,"명단에 없는 코드",""))</f>
        <v/>
      </c>
    </row>
    <row r="36" customFormat="false" ht="15" hidden="false" customHeight="false" outlineLevel="0" collapsed="false">
      <c r="A36" s="7" t="str">
        <f aca="false">IF(참가자!A36="","",UPPER(TRIM(참가자!A36)))</f>
        <v/>
      </c>
      <c r="B36" s="7" t="str">
        <f aca="false">IF(A36="","",IF(참가자!B36="","(팀 없음)",TRIM(참가자!B36)))</f>
        <v/>
      </c>
      <c r="C36" s="7" t="str">
        <f aca="false">IF(A36="","",IFERROR(INDEX($R$3:$R$102,MATCH(A36,$Q$3:$Q$102,0)),""))</f>
        <v/>
      </c>
      <c r="D36" s="7" t="str">
        <f aca="false">IF(A36="","",IF(C36="","결석",IF(IFERROR(INDEX($S$3:$S$102,MATCH(A36,$Q$3:$Q$102,0)),"")="비경쟁","비경쟁 응시","응시")))</f>
        <v/>
      </c>
      <c r="E36" s="7" t="str">
        <f aca="false">IF(A36="","",IF(COUNTIF($Q$3:$Q$102,A36)&gt;1,"중복! 확인",""))</f>
        <v/>
      </c>
      <c r="F36" s="7" t="str">
        <f aca="false">IF(A36="","",IF(C36="",IF(ISNUMBER(진단!C36),진단!C36,IF(COUNT($C$3:$C$52)=0,"",ROUND(AVERAGE($C$3:$C$52),1))),IF(AND(USE_DIAG_CHECK=1,ISNUMBER(진단!C36)),IF(ROUND(진단!C36-C36,1)&gt;=DIAG_GAP,ROUND((C36+진단!C36)/2,1),C36),C36)))</f>
        <v/>
      </c>
      <c r="G36" s="7" t="str">
        <f aca="false">IF(A36="","",IF(C36="",IF(F36="","기준점수 없음",IF(ISNUMBER(진단!C36),"진단 대체","응시자 평균")),IF(F36&lt;&gt;C36,"진단 보정","평가A")))</f>
        <v/>
      </c>
      <c r="H36" s="7" t="str">
        <f aca="false">IF(A36="","",IF(AND(NOT(ISNUMBER(C36)),NOT(ISNUMBER(진단!C36))),"",ROUND((IF(ISNUMBER(C36),C36*EVAL_ITEMS,0)+IF(ISNUMBER(진단!C36),진단!C36*DIAG_ITEMS,0))/(IF(ISNUMBER(C36),EVAL_ITEMS,0)+IF(ISNUMBER(진단!C36),DIAG_ITEMS,0)),1)))</f>
        <v/>
      </c>
      <c r="L36" s="8"/>
      <c r="M36" s="8"/>
      <c r="N36" s="8"/>
      <c r="O36" s="8"/>
      <c r="Q36" s="0" t="str">
        <f aca="false">IF(UPPER(TRIM(L36&amp;""))="","",IF(RIGHT(UPPER(TRIM(L36&amp;"")),2)="-N",TRIM(LEFT(UPPER(TRIM(L36&amp;"")),LEN(UPPER(TRIM(L36&amp;"")))-2)),UPPER(TRIM(L36&amp;""))))</f>
        <v/>
      </c>
      <c r="R36" s="0" t="str">
        <f aca="false">IF(Q36="","",IF(ISNUMBER(O36),ROUND(O36,1),IF(AND(ISNUMBER(M36),ISNUMBER(N36)),IF(N36&gt;0,ROUND(M36/N36*100,1),""),"")))</f>
        <v/>
      </c>
      <c r="S36" s="0" t="str">
        <f aca="false">IF(Q36="","",IF(RIGHT(UPPER(TRIM(L36&amp;"")),2)="-N","비경쟁",""))</f>
        <v/>
      </c>
      <c r="T36" s="0" t="str">
        <f aca="false">IF(Q36="","",IF(COUNTIF(참가자!$A$3:$A$52,Q36)=0,"명단에 없는 코드",""))</f>
        <v/>
      </c>
    </row>
    <row r="37" customFormat="false" ht="15" hidden="false" customHeight="false" outlineLevel="0" collapsed="false">
      <c r="A37" s="7" t="str">
        <f aca="false">IF(참가자!A37="","",UPPER(TRIM(참가자!A37)))</f>
        <v/>
      </c>
      <c r="B37" s="7" t="str">
        <f aca="false">IF(A37="","",IF(참가자!B37="","(팀 없음)",TRIM(참가자!B37)))</f>
        <v/>
      </c>
      <c r="C37" s="7" t="str">
        <f aca="false">IF(A37="","",IFERROR(INDEX($R$3:$R$102,MATCH(A37,$Q$3:$Q$102,0)),""))</f>
        <v/>
      </c>
      <c r="D37" s="7" t="str">
        <f aca="false">IF(A37="","",IF(C37="","결석",IF(IFERROR(INDEX($S$3:$S$102,MATCH(A37,$Q$3:$Q$102,0)),"")="비경쟁","비경쟁 응시","응시")))</f>
        <v/>
      </c>
      <c r="E37" s="7" t="str">
        <f aca="false">IF(A37="","",IF(COUNTIF($Q$3:$Q$102,A37)&gt;1,"중복! 확인",""))</f>
        <v/>
      </c>
      <c r="F37" s="7" t="str">
        <f aca="false">IF(A37="","",IF(C37="",IF(ISNUMBER(진단!C37),진단!C37,IF(COUNT($C$3:$C$52)=0,"",ROUND(AVERAGE($C$3:$C$52),1))),IF(AND(USE_DIAG_CHECK=1,ISNUMBER(진단!C37)),IF(ROUND(진단!C37-C37,1)&gt;=DIAG_GAP,ROUND((C37+진단!C37)/2,1),C37),C37)))</f>
        <v/>
      </c>
      <c r="G37" s="7" t="str">
        <f aca="false">IF(A37="","",IF(C37="",IF(F37="","기준점수 없음",IF(ISNUMBER(진단!C37),"진단 대체","응시자 평균")),IF(F37&lt;&gt;C37,"진단 보정","평가A")))</f>
        <v/>
      </c>
      <c r="H37" s="7" t="str">
        <f aca="false">IF(A37="","",IF(AND(NOT(ISNUMBER(C37)),NOT(ISNUMBER(진단!C37))),"",ROUND((IF(ISNUMBER(C37),C37*EVAL_ITEMS,0)+IF(ISNUMBER(진단!C37),진단!C37*DIAG_ITEMS,0))/(IF(ISNUMBER(C37),EVAL_ITEMS,0)+IF(ISNUMBER(진단!C37),DIAG_ITEMS,0)),1)))</f>
        <v/>
      </c>
      <c r="L37" s="8"/>
      <c r="M37" s="8"/>
      <c r="N37" s="8"/>
      <c r="O37" s="8"/>
      <c r="Q37" s="0" t="str">
        <f aca="false">IF(UPPER(TRIM(L37&amp;""))="","",IF(RIGHT(UPPER(TRIM(L37&amp;"")),2)="-N",TRIM(LEFT(UPPER(TRIM(L37&amp;"")),LEN(UPPER(TRIM(L37&amp;"")))-2)),UPPER(TRIM(L37&amp;""))))</f>
        <v/>
      </c>
      <c r="R37" s="0" t="str">
        <f aca="false">IF(Q37="","",IF(ISNUMBER(O37),ROUND(O37,1),IF(AND(ISNUMBER(M37),ISNUMBER(N37)),IF(N37&gt;0,ROUND(M37/N37*100,1),""),"")))</f>
        <v/>
      </c>
      <c r="S37" s="0" t="str">
        <f aca="false">IF(Q37="","",IF(RIGHT(UPPER(TRIM(L37&amp;"")),2)="-N","비경쟁",""))</f>
        <v/>
      </c>
      <c r="T37" s="0" t="str">
        <f aca="false">IF(Q37="","",IF(COUNTIF(참가자!$A$3:$A$52,Q37)=0,"명단에 없는 코드",""))</f>
        <v/>
      </c>
    </row>
    <row r="38" customFormat="false" ht="15" hidden="false" customHeight="false" outlineLevel="0" collapsed="false">
      <c r="A38" s="7" t="str">
        <f aca="false">IF(참가자!A38="","",UPPER(TRIM(참가자!A38)))</f>
        <v/>
      </c>
      <c r="B38" s="7" t="str">
        <f aca="false">IF(A38="","",IF(참가자!B38="","(팀 없음)",TRIM(참가자!B38)))</f>
        <v/>
      </c>
      <c r="C38" s="7" t="str">
        <f aca="false">IF(A38="","",IFERROR(INDEX($R$3:$R$102,MATCH(A38,$Q$3:$Q$102,0)),""))</f>
        <v/>
      </c>
      <c r="D38" s="7" t="str">
        <f aca="false">IF(A38="","",IF(C38="","결석",IF(IFERROR(INDEX($S$3:$S$102,MATCH(A38,$Q$3:$Q$102,0)),"")="비경쟁","비경쟁 응시","응시")))</f>
        <v/>
      </c>
      <c r="E38" s="7" t="str">
        <f aca="false">IF(A38="","",IF(COUNTIF($Q$3:$Q$102,A38)&gt;1,"중복! 확인",""))</f>
        <v/>
      </c>
      <c r="F38" s="7" t="str">
        <f aca="false">IF(A38="","",IF(C38="",IF(ISNUMBER(진단!C38),진단!C38,IF(COUNT($C$3:$C$52)=0,"",ROUND(AVERAGE($C$3:$C$52),1))),IF(AND(USE_DIAG_CHECK=1,ISNUMBER(진단!C38)),IF(ROUND(진단!C38-C38,1)&gt;=DIAG_GAP,ROUND((C38+진단!C38)/2,1),C38),C38)))</f>
        <v/>
      </c>
      <c r="G38" s="7" t="str">
        <f aca="false">IF(A38="","",IF(C38="",IF(F38="","기준점수 없음",IF(ISNUMBER(진단!C38),"진단 대체","응시자 평균")),IF(F38&lt;&gt;C38,"진단 보정","평가A")))</f>
        <v/>
      </c>
      <c r="H38" s="7" t="str">
        <f aca="false">IF(A38="","",IF(AND(NOT(ISNUMBER(C38)),NOT(ISNUMBER(진단!C38))),"",ROUND((IF(ISNUMBER(C38),C38*EVAL_ITEMS,0)+IF(ISNUMBER(진단!C38),진단!C38*DIAG_ITEMS,0))/(IF(ISNUMBER(C38),EVAL_ITEMS,0)+IF(ISNUMBER(진단!C38),DIAG_ITEMS,0)),1)))</f>
        <v/>
      </c>
      <c r="L38" s="8"/>
      <c r="M38" s="8"/>
      <c r="N38" s="8"/>
      <c r="O38" s="8"/>
      <c r="Q38" s="0" t="str">
        <f aca="false">IF(UPPER(TRIM(L38&amp;""))="","",IF(RIGHT(UPPER(TRIM(L38&amp;"")),2)="-N",TRIM(LEFT(UPPER(TRIM(L38&amp;"")),LEN(UPPER(TRIM(L38&amp;"")))-2)),UPPER(TRIM(L38&amp;""))))</f>
        <v/>
      </c>
      <c r="R38" s="0" t="str">
        <f aca="false">IF(Q38="","",IF(ISNUMBER(O38),ROUND(O38,1),IF(AND(ISNUMBER(M38),ISNUMBER(N38)),IF(N38&gt;0,ROUND(M38/N38*100,1),""),"")))</f>
        <v/>
      </c>
      <c r="S38" s="0" t="str">
        <f aca="false">IF(Q38="","",IF(RIGHT(UPPER(TRIM(L38&amp;"")),2)="-N","비경쟁",""))</f>
        <v/>
      </c>
      <c r="T38" s="0" t="str">
        <f aca="false">IF(Q38="","",IF(COUNTIF(참가자!$A$3:$A$52,Q38)=0,"명단에 없는 코드",""))</f>
        <v/>
      </c>
    </row>
    <row r="39" customFormat="false" ht="15" hidden="false" customHeight="false" outlineLevel="0" collapsed="false">
      <c r="A39" s="7" t="str">
        <f aca="false">IF(참가자!A39="","",UPPER(TRIM(참가자!A39)))</f>
        <v/>
      </c>
      <c r="B39" s="7" t="str">
        <f aca="false">IF(A39="","",IF(참가자!B39="","(팀 없음)",TRIM(참가자!B39)))</f>
        <v/>
      </c>
      <c r="C39" s="7" t="str">
        <f aca="false">IF(A39="","",IFERROR(INDEX($R$3:$R$102,MATCH(A39,$Q$3:$Q$102,0)),""))</f>
        <v/>
      </c>
      <c r="D39" s="7" t="str">
        <f aca="false">IF(A39="","",IF(C39="","결석",IF(IFERROR(INDEX($S$3:$S$102,MATCH(A39,$Q$3:$Q$102,0)),"")="비경쟁","비경쟁 응시","응시")))</f>
        <v/>
      </c>
      <c r="E39" s="7" t="str">
        <f aca="false">IF(A39="","",IF(COUNTIF($Q$3:$Q$102,A39)&gt;1,"중복! 확인",""))</f>
        <v/>
      </c>
      <c r="F39" s="7" t="str">
        <f aca="false">IF(A39="","",IF(C39="",IF(ISNUMBER(진단!C39),진단!C39,IF(COUNT($C$3:$C$52)=0,"",ROUND(AVERAGE($C$3:$C$52),1))),IF(AND(USE_DIAG_CHECK=1,ISNUMBER(진단!C39)),IF(ROUND(진단!C39-C39,1)&gt;=DIAG_GAP,ROUND((C39+진단!C39)/2,1),C39),C39)))</f>
        <v/>
      </c>
      <c r="G39" s="7" t="str">
        <f aca="false">IF(A39="","",IF(C39="",IF(F39="","기준점수 없음",IF(ISNUMBER(진단!C39),"진단 대체","응시자 평균")),IF(F39&lt;&gt;C39,"진단 보정","평가A")))</f>
        <v/>
      </c>
      <c r="H39" s="7" t="str">
        <f aca="false">IF(A39="","",IF(AND(NOT(ISNUMBER(C39)),NOT(ISNUMBER(진단!C39))),"",ROUND((IF(ISNUMBER(C39),C39*EVAL_ITEMS,0)+IF(ISNUMBER(진단!C39),진단!C39*DIAG_ITEMS,0))/(IF(ISNUMBER(C39),EVAL_ITEMS,0)+IF(ISNUMBER(진단!C39),DIAG_ITEMS,0)),1)))</f>
        <v/>
      </c>
      <c r="L39" s="8"/>
      <c r="M39" s="8"/>
      <c r="N39" s="8"/>
      <c r="O39" s="8"/>
      <c r="Q39" s="0" t="str">
        <f aca="false">IF(UPPER(TRIM(L39&amp;""))="","",IF(RIGHT(UPPER(TRIM(L39&amp;"")),2)="-N",TRIM(LEFT(UPPER(TRIM(L39&amp;"")),LEN(UPPER(TRIM(L39&amp;"")))-2)),UPPER(TRIM(L39&amp;""))))</f>
        <v/>
      </c>
      <c r="R39" s="0" t="str">
        <f aca="false">IF(Q39="","",IF(ISNUMBER(O39),ROUND(O39,1),IF(AND(ISNUMBER(M39),ISNUMBER(N39)),IF(N39&gt;0,ROUND(M39/N39*100,1),""),"")))</f>
        <v/>
      </c>
      <c r="S39" s="0" t="str">
        <f aca="false">IF(Q39="","",IF(RIGHT(UPPER(TRIM(L39&amp;"")),2)="-N","비경쟁",""))</f>
        <v/>
      </c>
      <c r="T39" s="0" t="str">
        <f aca="false">IF(Q39="","",IF(COUNTIF(참가자!$A$3:$A$52,Q39)=0,"명단에 없는 코드",""))</f>
        <v/>
      </c>
    </row>
    <row r="40" customFormat="false" ht="15" hidden="false" customHeight="false" outlineLevel="0" collapsed="false">
      <c r="A40" s="7" t="str">
        <f aca="false">IF(참가자!A40="","",UPPER(TRIM(참가자!A40)))</f>
        <v/>
      </c>
      <c r="B40" s="7" t="str">
        <f aca="false">IF(A40="","",IF(참가자!B40="","(팀 없음)",TRIM(참가자!B40)))</f>
        <v/>
      </c>
      <c r="C40" s="7" t="str">
        <f aca="false">IF(A40="","",IFERROR(INDEX($R$3:$R$102,MATCH(A40,$Q$3:$Q$102,0)),""))</f>
        <v/>
      </c>
      <c r="D40" s="7" t="str">
        <f aca="false">IF(A40="","",IF(C40="","결석",IF(IFERROR(INDEX($S$3:$S$102,MATCH(A40,$Q$3:$Q$102,0)),"")="비경쟁","비경쟁 응시","응시")))</f>
        <v/>
      </c>
      <c r="E40" s="7" t="str">
        <f aca="false">IF(A40="","",IF(COUNTIF($Q$3:$Q$102,A40)&gt;1,"중복! 확인",""))</f>
        <v/>
      </c>
      <c r="F40" s="7" t="str">
        <f aca="false">IF(A40="","",IF(C40="",IF(ISNUMBER(진단!C40),진단!C40,IF(COUNT($C$3:$C$52)=0,"",ROUND(AVERAGE($C$3:$C$52),1))),IF(AND(USE_DIAG_CHECK=1,ISNUMBER(진단!C40)),IF(ROUND(진단!C40-C40,1)&gt;=DIAG_GAP,ROUND((C40+진단!C40)/2,1),C40),C40)))</f>
        <v/>
      </c>
      <c r="G40" s="7" t="str">
        <f aca="false">IF(A40="","",IF(C40="",IF(F40="","기준점수 없음",IF(ISNUMBER(진단!C40),"진단 대체","응시자 평균")),IF(F40&lt;&gt;C40,"진단 보정","평가A")))</f>
        <v/>
      </c>
      <c r="H40" s="7" t="str">
        <f aca="false">IF(A40="","",IF(AND(NOT(ISNUMBER(C40)),NOT(ISNUMBER(진단!C40))),"",ROUND((IF(ISNUMBER(C40),C40*EVAL_ITEMS,0)+IF(ISNUMBER(진단!C40),진단!C40*DIAG_ITEMS,0))/(IF(ISNUMBER(C40),EVAL_ITEMS,0)+IF(ISNUMBER(진단!C40),DIAG_ITEMS,0)),1)))</f>
        <v/>
      </c>
      <c r="L40" s="8"/>
      <c r="M40" s="8"/>
      <c r="N40" s="8"/>
      <c r="O40" s="8"/>
      <c r="Q40" s="0" t="str">
        <f aca="false">IF(UPPER(TRIM(L40&amp;""))="","",IF(RIGHT(UPPER(TRIM(L40&amp;"")),2)="-N",TRIM(LEFT(UPPER(TRIM(L40&amp;"")),LEN(UPPER(TRIM(L40&amp;"")))-2)),UPPER(TRIM(L40&amp;""))))</f>
        <v/>
      </c>
      <c r="R40" s="0" t="str">
        <f aca="false">IF(Q40="","",IF(ISNUMBER(O40),ROUND(O40,1),IF(AND(ISNUMBER(M40),ISNUMBER(N40)),IF(N40&gt;0,ROUND(M40/N40*100,1),""),"")))</f>
        <v/>
      </c>
      <c r="S40" s="0" t="str">
        <f aca="false">IF(Q40="","",IF(RIGHT(UPPER(TRIM(L40&amp;"")),2)="-N","비경쟁",""))</f>
        <v/>
      </c>
      <c r="T40" s="0" t="str">
        <f aca="false">IF(Q40="","",IF(COUNTIF(참가자!$A$3:$A$52,Q40)=0,"명단에 없는 코드",""))</f>
        <v/>
      </c>
    </row>
    <row r="41" customFormat="false" ht="15" hidden="false" customHeight="false" outlineLevel="0" collapsed="false">
      <c r="A41" s="7" t="str">
        <f aca="false">IF(참가자!A41="","",UPPER(TRIM(참가자!A41)))</f>
        <v/>
      </c>
      <c r="B41" s="7" t="str">
        <f aca="false">IF(A41="","",IF(참가자!B41="","(팀 없음)",TRIM(참가자!B41)))</f>
        <v/>
      </c>
      <c r="C41" s="7" t="str">
        <f aca="false">IF(A41="","",IFERROR(INDEX($R$3:$R$102,MATCH(A41,$Q$3:$Q$102,0)),""))</f>
        <v/>
      </c>
      <c r="D41" s="7" t="str">
        <f aca="false">IF(A41="","",IF(C41="","결석",IF(IFERROR(INDEX($S$3:$S$102,MATCH(A41,$Q$3:$Q$102,0)),"")="비경쟁","비경쟁 응시","응시")))</f>
        <v/>
      </c>
      <c r="E41" s="7" t="str">
        <f aca="false">IF(A41="","",IF(COUNTIF($Q$3:$Q$102,A41)&gt;1,"중복! 확인",""))</f>
        <v/>
      </c>
      <c r="F41" s="7" t="str">
        <f aca="false">IF(A41="","",IF(C41="",IF(ISNUMBER(진단!C41),진단!C41,IF(COUNT($C$3:$C$52)=0,"",ROUND(AVERAGE($C$3:$C$52),1))),IF(AND(USE_DIAG_CHECK=1,ISNUMBER(진단!C41)),IF(ROUND(진단!C41-C41,1)&gt;=DIAG_GAP,ROUND((C41+진단!C41)/2,1),C41),C41)))</f>
        <v/>
      </c>
      <c r="G41" s="7" t="str">
        <f aca="false">IF(A41="","",IF(C41="",IF(F41="","기준점수 없음",IF(ISNUMBER(진단!C41),"진단 대체","응시자 평균")),IF(F41&lt;&gt;C41,"진단 보정","평가A")))</f>
        <v/>
      </c>
      <c r="H41" s="7" t="str">
        <f aca="false">IF(A41="","",IF(AND(NOT(ISNUMBER(C41)),NOT(ISNUMBER(진단!C41))),"",ROUND((IF(ISNUMBER(C41),C41*EVAL_ITEMS,0)+IF(ISNUMBER(진단!C41),진단!C41*DIAG_ITEMS,0))/(IF(ISNUMBER(C41),EVAL_ITEMS,0)+IF(ISNUMBER(진단!C41),DIAG_ITEMS,0)),1)))</f>
        <v/>
      </c>
      <c r="L41" s="8"/>
      <c r="M41" s="8"/>
      <c r="N41" s="8"/>
      <c r="O41" s="8"/>
      <c r="Q41" s="0" t="str">
        <f aca="false">IF(UPPER(TRIM(L41&amp;""))="","",IF(RIGHT(UPPER(TRIM(L41&amp;"")),2)="-N",TRIM(LEFT(UPPER(TRIM(L41&amp;"")),LEN(UPPER(TRIM(L41&amp;"")))-2)),UPPER(TRIM(L41&amp;""))))</f>
        <v/>
      </c>
      <c r="R41" s="0" t="str">
        <f aca="false">IF(Q41="","",IF(ISNUMBER(O41),ROUND(O41,1),IF(AND(ISNUMBER(M41),ISNUMBER(N41)),IF(N41&gt;0,ROUND(M41/N41*100,1),""),"")))</f>
        <v/>
      </c>
      <c r="S41" s="0" t="str">
        <f aca="false">IF(Q41="","",IF(RIGHT(UPPER(TRIM(L41&amp;"")),2)="-N","비경쟁",""))</f>
        <v/>
      </c>
      <c r="T41" s="0" t="str">
        <f aca="false">IF(Q41="","",IF(COUNTIF(참가자!$A$3:$A$52,Q41)=0,"명단에 없는 코드",""))</f>
        <v/>
      </c>
    </row>
    <row r="42" customFormat="false" ht="15" hidden="false" customHeight="false" outlineLevel="0" collapsed="false">
      <c r="A42" s="7" t="str">
        <f aca="false">IF(참가자!A42="","",UPPER(TRIM(참가자!A42)))</f>
        <v/>
      </c>
      <c r="B42" s="7" t="str">
        <f aca="false">IF(A42="","",IF(참가자!B42="","(팀 없음)",TRIM(참가자!B42)))</f>
        <v/>
      </c>
      <c r="C42" s="7" t="str">
        <f aca="false">IF(A42="","",IFERROR(INDEX($R$3:$R$102,MATCH(A42,$Q$3:$Q$102,0)),""))</f>
        <v/>
      </c>
      <c r="D42" s="7" t="str">
        <f aca="false">IF(A42="","",IF(C42="","결석",IF(IFERROR(INDEX($S$3:$S$102,MATCH(A42,$Q$3:$Q$102,0)),"")="비경쟁","비경쟁 응시","응시")))</f>
        <v/>
      </c>
      <c r="E42" s="7" t="str">
        <f aca="false">IF(A42="","",IF(COUNTIF($Q$3:$Q$102,A42)&gt;1,"중복! 확인",""))</f>
        <v/>
      </c>
      <c r="F42" s="7" t="str">
        <f aca="false">IF(A42="","",IF(C42="",IF(ISNUMBER(진단!C42),진단!C42,IF(COUNT($C$3:$C$52)=0,"",ROUND(AVERAGE($C$3:$C$52),1))),IF(AND(USE_DIAG_CHECK=1,ISNUMBER(진단!C42)),IF(ROUND(진단!C42-C42,1)&gt;=DIAG_GAP,ROUND((C42+진단!C42)/2,1),C42),C42)))</f>
        <v/>
      </c>
      <c r="G42" s="7" t="str">
        <f aca="false">IF(A42="","",IF(C42="",IF(F42="","기준점수 없음",IF(ISNUMBER(진단!C42),"진단 대체","응시자 평균")),IF(F42&lt;&gt;C42,"진단 보정","평가A")))</f>
        <v/>
      </c>
      <c r="H42" s="7" t="str">
        <f aca="false">IF(A42="","",IF(AND(NOT(ISNUMBER(C42)),NOT(ISNUMBER(진단!C42))),"",ROUND((IF(ISNUMBER(C42),C42*EVAL_ITEMS,0)+IF(ISNUMBER(진단!C42),진단!C42*DIAG_ITEMS,0))/(IF(ISNUMBER(C42),EVAL_ITEMS,0)+IF(ISNUMBER(진단!C42),DIAG_ITEMS,0)),1)))</f>
        <v/>
      </c>
      <c r="L42" s="8"/>
      <c r="M42" s="8"/>
      <c r="N42" s="8"/>
      <c r="O42" s="8"/>
      <c r="Q42" s="0" t="str">
        <f aca="false">IF(UPPER(TRIM(L42&amp;""))="","",IF(RIGHT(UPPER(TRIM(L42&amp;"")),2)="-N",TRIM(LEFT(UPPER(TRIM(L42&amp;"")),LEN(UPPER(TRIM(L42&amp;"")))-2)),UPPER(TRIM(L42&amp;""))))</f>
        <v/>
      </c>
      <c r="R42" s="0" t="str">
        <f aca="false">IF(Q42="","",IF(ISNUMBER(O42),ROUND(O42,1),IF(AND(ISNUMBER(M42),ISNUMBER(N42)),IF(N42&gt;0,ROUND(M42/N42*100,1),""),"")))</f>
        <v/>
      </c>
      <c r="S42" s="0" t="str">
        <f aca="false">IF(Q42="","",IF(RIGHT(UPPER(TRIM(L42&amp;"")),2)="-N","비경쟁",""))</f>
        <v/>
      </c>
      <c r="T42" s="0" t="str">
        <f aca="false">IF(Q42="","",IF(COUNTIF(참가자!$A$3:$A$52,Q42)=0,"명단에 없는 코드",""))</f>
        <v/>
      </c>
    </row>
    <row r="43" customFormat="false" ht="15" hidden="false" customHeight="false" outlineLevel="0" collapsed="false">
      <c r="A43" s="7" t="str">
        <f aca="false">IF(참가자!A43="","",UPPER(TRIM(참가자!A43)))</f>
        <v/>
      </c>
      <c r="B43" s="7" t="str">
        <f aca="false">IF(A43="","",IF(참가자!B43="","(팀 없음)",TRIM(참가자!B43)))</f>
        <v/>
      </c>
      <c r="C43" s="7" t="str">
        <f aca="false">IF(A43="","",IFERROR(INDEX($R$3:$R$102,MATCH(A43,$Q$3:$Q$102,0)),""))</f>
        <v/>
      </c>
      <c r="D43" s="7" t="str">
        <f aca="false">IF(A43="","",IF(C43="","결석",IF(IFERROR(INDEX($S$3:$S$102,MATCH(A43,$Q$3:$Q$102,0)),"")="비경쟁","비경쟁 응시","응시")))</f>
        <v/>
      </c>
      <c r="E43" s="7" t="str">
        <f aca="false">IF(A43="","",IF(COUNTIF($Q$3:$Q$102,A43)&gt;1,"중복! 확인",""))</f>
        <v/>
      </c>
      <c r="F43" s="7" t="str">
        <f aca="false">IF(A43="","",IF(C43="",IF(ISNUMBER(진단!C43),진단!C43,IF(COUNT($C$3:$C$52)=0,"",ROUND(AVERAGE($C$3:$C$52),1))),IF(AND(USE_DIAG_CHECK=1,ISNUMBER(진단!C43)),IF(ROUND(진단!C43-C43,1)&gt;=DIAG_GAP,ROUND((C43+진단!C43)/2,1),C43),C43)))</f>
        <v/>
      </c>
      <c r="G43" s="7" t="str">
        <f aca="false">IF(A43="","",IF(C43="",IF(F43="","기준점수 없음",IF(ISNUMBER(진단!C43),"진단 대체","응시자 평균")),IF(F43&lt;&gt;C43,"진단 보정","평가A")))</f>
        <v/>
      </c>
      <c r="H43" s="7" t="str">
        <f aca="false">IF(A43="","",IF(AND(NOT(ISNUMBER(C43)),NOT(ISNUMBER(진단!C43))),"",ROUND((IF(ISNUMBER(C43),C43*EVAL_ITEMS,0)+IF(ISNUMBER(진단!C43),진단!C43*DIAG_ITEMS,0))/(IF(ISNUMBER(C43),EVAL_ITEMS,0)+IF(ISNUMBER(진단!C43),DIAG_ITEMS,0)),1)))</f>
        <v/>
      </c>
      <c r="L43" s="8"/>
      <c r="M43" s="8"/>
      <c r="N43" s="8"/>
      <c r="O43" s="8"/>
      <c r="Q43" s="0" t="str">
        <f aca="false">IF(UPPER(TRIM(L43&amp;""))="","",IF(RIGHT(UPPER(TRIM(L43&amp;"")),2)="-N",TRIM(LEFT(UPPER(TRIM(L43&amp;"")),LEN(UPPER(TRIM(L43&amp;"")))-2)),UPPER(TRIM(L43&amp;""))))</f>
        <v/>
      </c>
      <c r="R43" s="0" t="str">
        <f aca="false">IF(Q43="","",IF(ISNUMBER(O43),ROUND(O43,1),IF(AND(ISNUMBER(M43),ISNUMBER(N43)),IF(N43&gt;0,ROUND(M43/N43*100,1),""),"")))</f>
        <v/>
      </c>
      <c r="S43" s="0" t="str">
        <f aca="false">IF(Q43="","",IF(RIGHT(UPPER(TRIM(L43&amp;"")),2)="-N","비경쟁",""))</f>
        <v/>
      </c>
      <c r="T43" s="0" t="str">
        <f aca="false">IF(Q43="","",IF(COUNTIF(참가자!$A$3:$A$52,Q43)=0,"명단에 없는 코드",""))</f>
        <v/>
      </c>
    </row>
    <row r="44" customFormat="false" ht="15" hidden="false" customHeight="false" outlineLevel="0" collapsed="false">
      <c r="A44" s="7" t="str">
        <f aca="false">IF(참가자!A44="","",UPPER(TRIM(참가자!A44)))</f>
        <v/>
      </c>
      <c r="B44" s="7" t="str">
        <f aca="false">IF(A44="","",IF(참가자!B44="","(팀 없음)",TRIM(참가자!B44)))</f>
        <v/>
      </c>
      <c r="C44" s="7" t="str">
        <f aca="false">IF(A44="","",IFERROR(INDEX($R$3:$R$102,MATCH(A44,$Q$3:$Q$102,0)),""))</f>
        <v/>
      </c>
      <c r="D44" s="7" t="str">
        <f aca="false">IF(A44="","",IF(C44="","결석",IF(IFERROR(INDEX($S$3:$S$102,MATCH(A44,$Q$3:$Q$102,0)),"")="비경쟁","비경쟁 응시","응시")))</f>
        <v/>
      </c>
      <c r="E44" s="7" t="str">
        <f aca="false">IF(A44="","",IF(COUNTIF($Q$3:$Q$102,A44)&gt;1,"중복! 확인",""))</f>
        <v/>
      </c>
      <c r="F44" s="7" t="str">
        <f aca="false">IF(A44="","",IF(C44="",IF(ISNUMBER(진단!C44),진단!C44,IF(COUNT($C$3:$C$52)=0,"",ROUND(AVERAGE($C$3:$C$52),1))),IF(AND(USE_DIAG_CHECK=1,ISNUMBER(진단!C44)),IF(ROUND(진단!C44-C44,1)&gt;=DIAG_GAP,ROUND((C44+진단!C44)/2,1),C44),C44)))</f>
        <v/>
      </c>
      <c r="G44" s="7" t="str">
        <f aca="false">IF(A44="","",IF(C44="",IF(F44="","기준점수 없음",IF(ISNUMBER(진단!C44),"진단 대체","응시자 평균")),IF(F44&lt;&gt;C44,"진단 보정","평가A")))</f>
        <v/>
      </c>
      <c r="H44" s="7" t="str">
        <f aca="false">IF(A44="","",IF(AND(NOT(ISNUMBER(C44)),NOT(ISNUMBER(진단!C44))),"",ROUND((IF(ISNUMBER(C44),C44*EVAL_ITEMS,0)+IF(ISNUMBER(진단!C44),진단!C44*DIAG_ITEMS,0))/(IF(ISNUMBER(C44),EVAL_ITEMS,0)+IF(ISNUMBER(진단!C44),DIAG_ITEMS,0)),1)))</f>
        <v/>
      </c>
      <c r="L44" s="8"/>
      <c r="M44" s="8"/>
      <c r="N44" s="8"/>
      <c r="O44" s="8"/>
      <c r="Q44" s="0" t="str">
        <f aca="false">IF(UPPER(TRIM(L44&amp;""))="","",IF(RIGHT(UPPER(TRIM(L44&amp;"")),2)="-N",TRIM(LEFT(UPPER(TRIM(L44&amp;"")),LEN(UPPER(TRIM(L44&amp;"")))-2)),UPPER(TRIM(L44&amp;""))))</f>
        <v/>
      </c>
      <c r="R44" s="0" t="str">
        <f aca="false">IF(Q44="","",IF(ISNUMBER(O44),ROUND(O44,1),IF(AND(ISNUMBER(M44),ISNUMBER(N44)),IF(N44&gt;0,ROUND(M44/N44*100,1),""),"")))</f>
        <v/>
      </c>
      <c r="S44" s="0" t="str">
        <f aca="false">IF(Q44="","",IF(RIGHT(UPPER(TRIM(L44&amp;"")),2)="-N","비경쟁",""))</f>
        <v/>
      </c>
      <c r="T44" s="0" t="str">
        <f aca="false">IF(Q44="","",IF(COUNTIF(참가자!$A$3:$A$52,Q44)=0,"명단에 없는 코드",""))</f>
        <v/>
      </c>
    </row>
    <row r="45" customFormat="false" ht="15" hidden="false" customHeight="false" outlineLevel="0" collapsed="false">
      <c r="A45" s="7" t="str">
        <f aca="false">IF(참가자!A45="","",UPPER(TRIM(참가자!A45)))</f>
        <v/>
      </c>
      <c r="B45" s="7" t="str">
        <f aca="false">IF(A45="","",IF(참가자!B45="","(팀 없음)",TRIM(참가자!B45)))</f>
        <v/>
      </c>
      <c r="C45" s="7" t="str">
        <f aca="false">IF(A45="","",IFERROR(INDEX($R$3:$R$102,MATCH(A45,$Q$3:$Q$102,0)),""))</f>
        <v/>
      </c>
      <c r="D45" s="7" t="str">
        <f aca="false">IF(A45="","",IF(C45="","결석",IF(IFERROR(INDEX($S$3:$S$102,MATCH(A45,$Q$3:$Q$102,0)),"")="비경쟁","비경쟁 응시","응시")))</f>
        <v/>
      </c>
      <c r="E45" s="7" t="str">
        <f aca="false">IF(A45="","",IF(COUNTIF($Q$3:$Q$102,A45)&gt;1,"중복! 확인",""))</f>
        <v/>
      </c>
      <c r="F45" s="7" t="str">
        <f aca="false">IF(A45="","",IF(C45="",IF(ISNUMBER(진단!C45),진단!C45,IF(COUNT($C$3:$C$52)=0,"",ROUND(AVERAGE($C$3:$C$52),1))),IF(AND(USE_DIAG_CHECK=1,ISNUMBER(진단!C45)),IF(ROUND(진단!C45-C45,1)&gt;=DIAG_GAP,ROUND((C45+진단!C45)/2,1),C45),C45)))</f>
        <v/>
      </c>
      <c r="G45" s="7" t="str">
        <f aca="false">IF(A45="","",IF(C45="",IF(F45="","기준점수 없음",IF(ISNUMBER(진단!C45),"진단 대체","응시자 평균")),IF(F45&lt;&gt;C45,"진단 보정","평가A")))</f>
        <v/>
      </c>
      <c r="H45" s="7" t="str">
        <f aca="false">IF(A45="","",IF(AND(NOT(ISNUMBER(C45)),NOT(ISNUMBER(진단!C45))),"",ROUND((IF(ISNUMBER(C45),C45*EVAL_ITEMS,0)+IF(ISNUMBER(진단!C45),진단!C45*DIAG_ITEMS,0))/(IF(ISNUMBER(C45),EVAL_ITEMS,0)+IF(ISNUMBER(진단!C45),DIAG_ITEMS,0)),1)))</f>
        <v/>
      </c>
      <c r="L45" s="8"/>
      <c r="M45" s="8"/>
      <c r="N45" s="8"/>
      <c r="O45" s="8"/>
      <c r="Q45" s="0" t="str">
        <f aca="false">IF(UPPER(TRIM(L45&amp;""))="","",IF(RIGHT(UPPER(TRIM(L45&amp;"")),2)="-N",TRIM(LEFT(UPPER(TRIM(L45&amp;"")),LEN(UPPER(TRIM(L45&amp;"")))-2)),UPPER(TRIM(L45&amp;""))))</f>
        <v/>
      </c>
      <c r="R45" s="0" t="str">
        <f aca="false">IF(Q45="","",IF(ISNUMBER(O45),ROUND(O45,1),IF(AND(ISNUMBER(M45),ISNUMBER(N45)),IF(N45&gt;0,ROUND(M45/N45*100,1),""),"")))</f>
        <v/>
      </c>
      <c r="S45" s="0" t="str">
        <f aca="false">IF(Q45="","",IF(RIGHT(UPPER(TRIM(L45&amp;"")),2)="-N","비경쟁",""))</f>
        <v/>
      </c>
      <c r="T45" s="0" t="str">
        <f aca="false">IF(Q45="","",IF(COUNTIF(참가자!$A$3:$A$52,Q45)=0,"명단에 없는 코드",""))</f>
        <v/>
      </c>
    </row>
    <row r="46" customFormat="false" ht="15" hidden="false" customHeight="false" outlineLevel="0" collapsed="false">
      <c r="A46" s="7" t="str">
        <f aca="false">IF(참가자!A46="","",UPPER(TRIM(참가자!A46)))</f>
        <v/>
      </c>
      <c r="B46" s="7" t="str">
        <f aca="false">IF(A46="","",IF(참가자!B46="","(팀 없음)",TRIM(참가자!B46)))</f>
        <v/>
      </c>
      <c r="C46" s="7" t="str">
        <f aca="false">IF(A46="","",IFERROR(INDEX($R$3:$R$102,MATCH(A46,$Q$3:$Q$102,0)),""))</f>
        <v/>
      </c>
      <c r="D46" s="7" t="str">
        <f aca="false">IF(A46="","",IF(C46="","결석",IF(IFERROR(INDEX($S$3:$S$102,MATCH(A46,$Q$3:$Q$102,0)),"")="비경쟁","비경쟁 응시","응시")))</f>
        <v/>
      </c>
      <c r="E46" s="7" t="str">
        <f aca="false">IF(A46="","",IF(COUNTIF($Q$3:$Q$102,A46)&gt;1,"중복! 확인",""))</f>
        <v/>
      </c>
      <c r="F46" s="7" t="str">
        <f aca="false">IF(A46="","",IF(C46="",IF(ISNUMBER(진단!C46),진단!C46,IF(COUNT($C$3:$C$52)=0,"",ROUND(AVERAGE($C$3:$C$52),1))),IF(AND(USE_DIAG_CHECK=1,ISNUMBER(진단!C46)),IF(ROUND(진단!C46-C46,1)&gt;=DIAG_GAP,ROUND((C46+진단!C46)/2,1),C46),C46)))</f>
        <v/>
      </c>
      <c r="G46" s="7" t="str">
        <f aca="false">IF(A46="","",IF(C46="",IF(F46="","기준점수 없음",IF(ISNUMBER(진단!C46),"진단 대체","응시자 평균")),IF(F46&lt;&gt;C46,"진단 보정","평가A")))</f>
        <v/>
      </c>
      <c r="H46" s="7" t="str">
        <f aca="false">IF(A46="","",IF(AND(NOT(ISNUMBER(C46)),NOT(ISNUMBER(진단!C46))),"",ROUND((IF(ISNUMBER(C46),C46*EVAL_ITEMS,0)+IF(ISNUMBER(진단!C46),진단!C46*DIAG_ITEMS,0))/(IF(ISNUMBER(C46),EVAL_ITEMS,0)+IF(ISNUMBER(진단!C46),DIAG_ITEMS,0)),1)))</f>
        <v/>
      </c>
      <c r="L46" s="8"/>
      <c r="M46" s="8"/>
      <c r="N46" s="8"/>
      <c r="O46" s="8"/>
      <c r="Q46" s="0" t="str">
        <f aca="false">IF(UPPER(TRIM(L46&amp;""))="","",IF(RIGHT(UPPER(TRIM(L46&amp;"")),2)="-N",TRIM(LEFT(UPPER(TRIM(L46&amp;"")),LEN(UPPER(TRIM(L46&amp;"")))-2)),UPPER(TRIM(L46&amp;""))))</f>
        <v/>
      </c>
      <c r="R46" s="0" t="str">
        <f aca="false">IF(Q46="","",IF(ISNUMBER(O46),ROUND(O46,1),IF(AND(ISNUMBER(M46),ISNUMBER(N46)),IF(N46&gt;0,ROUND(M46/N46*100,1),""),"")))</f>
        <v/>
      </c>
      <c r="S46" s="0" t="str">
        <f aca="false">IF(Q46="","",IF(RIGHT(UPPER(TRIM(L46&amp;"")),2)="-N","비경쟁",""))</f>
        <v/>
      </c>
      <c r="T46" s="0" t="str">
        <f aca="false">IF(Q46="","",IF(COUNTIF(참가자!$A$3:$A$52,Q46)=0,"명단에 없는 코드",""))</f>
        <v/>
      </c>
    </row>
    <row r="47" customFormat="false" ht="15" hidden="false" customHeight="false" outlineLevel="0" collapsed="false">
      <c r="A47" s="7" t="str">
        <f aca="false">IF(참가자!A47="","",UPPER(TRIM(참가자!A47)))</f>
        <v/>
      </c>
      <c r="B47" s="7" t="str">
        <f aca="false">IF(A47="","",IF(참가자!B47="","(팀 없음)",TRIM(참가자!B47)))</f>
        <v/>
      </c>
      <c r="C47" s="7" t="str">
        <f aca="false">IF(A47="","",IFERROR(INDEX($R$3:$R$102,MATCH(A47,$Q$3:$Q$102,0)),""))</f>
        <v/>
      </c>
      <c r="D47" s="7" t="str">
        <f aca="false">IF(A47="","",IF(C47="","결석",IF(IFERROR(INDEX($S$3:$S$102,MATCH(A47,$Q$3:$Q$102,0)),"")="비경쟁","비경쟁 응시","응시")))</f>
        <v/>
      </c>
      <c r="E47" s="7" t="str">
        <f aca="false">IF(A47="","",IF(COUNTIF($Q$3:$Q$102,A47)&gt;1,"중복! 확인",""))</f>
        <v/>
      </c>
      <c r="F47" s="7" t="str">
        <f aca="false">IF(A47="","",IF(C47="",IF(ISNUMBER(진단!C47),진단!C47,IF(COUNT($C$3:$C$52)=0,"",ROUND(AVERAGE($C$3:$C$52),1))),IF(AND(USE_DIAG_CHECK=1,ISNUMBER(진단!C47)),IF(ROUND(진단!C47-C47,1)&gt;=DIAG_GAP,ROUND((C47+진단!C47)/2,1),C47),C47)))</f>
        <v/>
      </c>
      <c r="G47" s="7" t="str">
        <f aca="false">IF(A47="","",IF(C47="",IF(F47="","기준점수 없음",IF(ISNUMBER(진단!C47),"진단 대체","응시자 평균")),IF(F47&lt;&gt;C47,"진단 보정","평가A")))</f>
        <v/>
      </c>
      <c r="H47" s="7" t="str">
        <f aca="false">IF(A47="","",IF(AND(NOT(ISNUMBER(C47)),NOT(ISNUMBER(진단!C47))),"",ROUND((IF(ISNUMBER(C47),C47*EVAL_ITEMS,0)+IF(ISNUMBER(진단!C47),진단!C47*DIAG_ITEMS,0))/(IF(ISNUMBER(C47),EVAL_ITEMS,0)+IF(ISNUMBER(진단!C47),DIAG_ITEMS,0)),1)))</f>
        <v/>
      </c>
      <c r="L47" s="8"/>
      <c r="M47" s="8"/>
      <c r="N47" s="8"/>
      <c r="O47" s="8"/>
      <c r="Q47" s="0" t="str">
        <f aca="false">IF(UPPER(TRIM(L47&amp;""))="","",IF(RIGHT(UPPER(TRIM(L47&amp;"")),2)="-N",TRIM(LEFT(UPPER(TRIM(L47&amp;"")),LEN(UPPER(TRIM(L47&amp;"")))-2)),UPPER(TRIM(L47&amp;""))))</f>
        <v/>
      </c>
      <c r="R47" s="0" t="str">
        <f aca="false">IF(Q47="","",IF(ISNUMBER(O47),ROUND(O47,1),IF(AND(ISNUMBER(M47),ISNUMBER(N47)),IF(N47&gt;0,ROUND(M47/N47*100,1),""),"")))</f>
        <v/>
      </c>
      <c r="S47" s="0" t="str">
        <f aca="false">IF(Q47="","",IF(RIGHT(UPPER(TRIM(L47&amp;"")),2)="-N","비경쟁",""))</f>
        <v/>
      </c>
      <c r="T47" s="0" t="str">
        <f aca="false">IF(Q47="","",IF(COUNTIF(참가자!$A$3:$A$52,Q47)=0,"명단에 없는 코드",""))</f>
        <v/>
      </c>
    </row>
    <row r="48" customFormat="false" ht="15" hidden="false" customHeight="false" outlineLevel="0" collapsed="false">
      <c r="A48" s="7" t="str">
        <f aca="false">IF(참가자!A48="","",UPPER(TRIM(참가자!A48)))</f>
        <v/>
      </c>
      <c r="B48" s="7" t="str">
        <f aca="false">IF(A48="","",IF(참가자!B48="","(팀 없음)",TRIM(참가자!B48)))</f>
        <v/>
      </c>
      <c r="C48" s="7" t="str">
        <f aca="false">IF(A48="","",IFERROR(INDEX($R$3:$R$102,MATCH(A48,$Q$3:$Q$102,0)),""))</f>
        <v/>
      </c>
      <c r="D48" s="7" t="str">
        <f aca="false">IF(A48="","",IF(C48="","결석",IF(IFERROR(INDEX($S$3:$S$102,MATCH(A48,$Q$3:$Q$102,0)),"")="비경쟁","비경쟁 응시","응시")))</f>
        <v/>
      </c>
      <c r="E48" s="7" t="str">
        <f aca="false">IF(A48="","",IF(COUNTIF($Q$3:$Q$102,A48)&gt;1,"중복! 확인",""))</f>
        <v/>
      </c>
      <c r="F48" s="7" t="str">
        <f aca="false">IF(A48="","",IF(C48="",IF(ISNUMBER(진단!C48),진단!C48,IF(COUNT($C$3:$C$52)=0,"",ROUND(AVERAGE($C$3:$C$52),1))),IF(AND(USE_DIAG_CHECK=1,ISNUMBER(진단!C48)),IF(ROUND(진단!C48-C48,1)&gt;=DIAG_GAP,ROUND((C48+진단!C48)/2,1),C48),C48)))</f>
        <v/>
      </c>
      <c r="G48" s="7" t="str">
        <f aca="false">IF(A48="","",IF(C48="",IF(F48="","기준점수 없음",IF(ISNUMBER(진단!C48),"진단 대체","응시자 평균")),IF(F48&lt;&gt;C48,"진단 보정","평가A")))</f>
        <v/>
      </c>
      <c r="H48" s="7" t="str">
        <f aca="false">IF(A48="","",IF(AND(NOT(ISNUMBER(C48)),NOT(ISNUMBER(진단!C48))),"",ROUND((IF(ISNUMBER(C48),C48*EVAL_ITEMS,0)+IF(ISNUMBER(진단!C48),진단!C48*DIAG_ITEMS,0))/(IF(ISNUMBER(C48),EVAL_ITEMS,0)+IF(ISNUMBER(진단!C48),DIAG_ITEMS,0)),1)))</f>
        <v/>
      </c>
      <c r="L48" s="8"/>
      <c r="M48" s="8"/>
      <c r="N48" s="8"/>
      <c r="O48" s="8"/>
      <c r="Q48" s="0" t="str">
        <f aca="false">IF(UPPER(TRIM(L48&amp;""))="","",IF(RIGHT(UPPER(TRIM(L48&amp;"")),2)="-N",TRIM(LEFT(UPPER(TRIM(L48&amp;"")),LEN(UPPER(TRIM(L48&amp;"")))-2)),UPPER(TRIM(L48&amp;""))))</f>
        <v/>
      </c>
      <c r="R48" s="0" t="str">
        <f aca="false">IF(Q48="","",IF(ISNUMBER(O48),ROUND(O48,1),IF(AND(ISNUMBER(M48),ISNUMBER(N48)),IF(N48&gt;0,ROUND(M48/N48*100,1),""),"")))</f>
        <v/>
      </c>
      <c r="S48" s="0" t="str">
        <f aca="false">IF(Q48="","",IF(RIGHT(UPPER(TRIM(L48&amp;"")),2)="-N","비경쟁",""))</f>
        <v/>
      </c>
      <c r="T48" s="0" t="str">
        <f aca="false">IF(Q48="","",IF(COUNTIF(참가자!$A$3:$A$52,Q48)=0,"명단에 없는 코드",""))</f>
        <v/>
      </c>
    </row>
    <row r="49" customFormat="false" ht="15" hidden="false" customHeight="false" outlineLevel="0" collapsed="false">
      <c r="A49" s="7" t="str">
        <f aca="false">IF(참가자!A49="","",UPPER(TRIM(참가자!A49)))</f>
        <v/>
      </c>
      <c r="B49" s="7" t="str">
        <f aca="false">IF(A49="","",IF(참가자!B49="","(팀 없음)",TRIM(참가자!B49)))</f>
        <v/>
      </c>
      <c r="C49" s="7" t="str">
        <f aca="false">IF(A49="","",IFERROR(INDEX($R$3:$R$102,MATCH(A49,$Q$3:$Q$102,0)),""))</f>
        <v/>
      </c>
      <c r="D49" s="7" t="str">
        <f aca="false">IF(A49="","",IF(C49="","결석",IF(IFERROR(INDEX($S$3:$S$102,MATCH(A49,$Q$3:$Q$102,0)),"")="비경쟁","비경쟁 응시","응시")))</f>
        <v/>
      </c>
      <c r="E49" s="7" t="str">
        <f aca="false">IF(A49="","",IF(COUNTIF($Q$3:$Q$102,A49)&gt;1,"중복! 확인",""))</f>
        <v/>
      </c>
      <c r="F49" s="7" t="str">
        <f aca="false">IF(A49="","",IF(C49="",IF(ISNUMBER(진단!C49),진단!C49,IF(COUNT($C$3:$C$52)=0,"",ROUND(AVERAGE($C$3:$C$52),1))),IF(AND(USE_DIAG_CHECK=1,ISNUMBER(진단!C49)),IF(ROUND(진단!C49-C49,1)&gt;=DIAG_GAP,ROUND((C49+진단!C49)/2,1),C49),C49)))</f>
        <v/>
      </c>
      <c r="G49" s="7" t="str">
        <f aca="false">IF(A49="","",IF(C49="",IF(F49="","기준점수 없음",IF(ISNUMBER(진단!C49),"진단 대체","응시자 평균")),IF(F49&lt;&gt;C49,"진단 보정","평가A")))</f>
        <v/>
      </c>
      <c r="H49" s="7" t="str">
        <f aca="false">IF(A49="","",IF(AND(NOT(ISNUMBER(C49)),NOT(ISNUMBER(진단!C49))),"",ROUND((IF(ISNUMBER(C49),C49*EVAL_ITEMS,0)+IF(ISNUMBER(진단!C49),진단!C49*DIAG_ITEMS,0))/(IF(ISNUMBER(C49),EVAL_ITEMS,0)+IF(ISNUMBER(진단!C49),DIAG_ITEMS,0)),1)))</f>
        <v/>
      </c>
      <c r="L49" s="8"/>
      <c r="M49" s="8"/>
      <c r="N49" s="8"/>
      <c r="O49" s="8"/>
      <c r="Q49" s="0" t="str">
        <f aca="false">IF(UPPER(TRIM(L49&amp;""))="","",IF(RIGHT(UPPER(TRIM(L49&amp;"")),2)="-N",TRIM(LEFT(UPPER(TRIM(L49&amp;"")),LEN(UPPER(TRIM(L49&amp;"")))-2)),UPPER(TRIM(L49&amp;""))))</f>
        <v/>
      </c>
      <c r="R49" s="0" t="str">
        <f aca="false">IF(Q49="","",IF(ISNUMBER(O49),ROUND(O49,1),IF(AND(ISNUMBER(M49),ISNUMBER(N49)),IF(N49&gt;0,ROUND(M49/N49*100,1),""),"")))</f>
        <v/>
      </c>
      <c r="S49" s="0" t="str">
        <f aca="false">IF(Q49="","",IF(RIGHT(UPPER(TRIM(L49&amp;"")),2)="-N","비경쟁",""))</f>
        <v/>
      </c>
      <c r="T49" s="0" t="str">
        <f aca="false">IF(Q49="","",IF(COUNTIF(참가자!$A$3:$A$52,Q49)=0,"명단에 없는 코드",""))</f>
        <v/>
      </c>
    </row>
    <row r="50" customFormat="false" ht="15" hidden="false" customHeight="false" outlineLevel="0" collapsed="false">
      <c r="A50" s="7" t="str">
        <f aca="false">IF(참가자!A50="","",UPPER(TRIM(참가자!A50)))</f>
        <v/>
      </c>
      <c r="B50" s="7" t="str">
        <f aca="false">IF(A50="","",IF(참가자!B50="","(팀 없음)",TRIM(참가자!B50)))</f>
        <v/>
      </c>
      <c r="C50" s="7" t="str">
        <f aca="false">IF(A50="","",IFERROR(INDEX($R$3:$R$102,MATCH(A50,$Q$3:$Q$102,0)),""))</f>
        <v/>
      </c>
      <c r="D50" s="7" t="str">
        <f aca="false">IF(A50="","",IF(C50="","결석",IF(IFERROR(INDEX($S$3:$S$102,MATCH(A50,$Q$3:$Q$102,0)),"")="비경쟁","비경쟁 응시","응시")))</f>
        <v/>
      </c>
      <c r="E50" s="7" t="str">
        <f aca="false">IF(A50="","",IF(COUNTIF($Q$3:$Q$102,A50)&gt;1,"중복! 확인",""))</f>
        <v/>
      </c>
      <c r="F50" s="7" t="str">
        <f aca="false">IF(A50="","",IF(C50="",IF(ISNUMBER(진단!C50),진단!C50,IF(COUNT($C$3:$C$52)=0,"",ROUND(AVERAGE($C$3:$C$52),1))),IF(AND(USE_DIAG_CHECK=1,ISNUMBER(진단!C50)),IF(ROUND(진단!C50-C50,1)&gt;=DIAG_GAP,ROUND((C50+진단!C50)/2,1),C50),C50)))</f>
        <v/>
      </c>
      <c r="G50" s="7" t="str">
        <f aca="false">IF(A50="","",IF(C50="",IF(F50="","기준점수 없음",IF(ISNUMBER(진단!C50),"진단 대체","응시자 평균")),IF(F50&lt;&gt;C50,"진단 보정","평가A")))</f>
        <v/>
      </c>
      <c r="H50" s="7" t="str">
        <f aca="false">IF(A50="","",IF(AND(NOT(ISNUMBER(C50)),NOT(ISNUMBER(진단!C50))),"",ROUND((IF(ISNUMBER(C50),C50*EVAL_ITEMS,0)+IF(ISNUMBER(진단!C50),진단!C50*DIAG_ITEMS,0))/(IF(ISNUMBER(C50),EVAL_ITEMS,0)+IF(ISNUMBER(진단!C50),DIAG_ITEMS,0)),1)))</f>
        <v/>
      </c>
      <c r="L50" s="8"/>
      <c r="M50" s="8"/>
      <c r="N50" s="8"/>
      <c r="O50" s="8"/>
      <c r="Q50" s="0" t="str">
        <f aca="false">IF(UPPER(TRIM(L50&amp;""))="","",IF(RIGHT(UPPER(TRIM(L50&amp;"")),2)="-N",TRIM(LEFT(UPPER(TRIM(L50&amp;"")),LEN(UPPER(TRIM(L50&amp;"")))-2)),UPPER(TRIM(L50&amp;""))))</f>
        <v/>
      </c>
      <c r="R50" s="0" t="str">
        <f aca="false">IF(Q50="","",IF(ISNUMBER(O50),ROUND(O50,1),IF(AND(ISNUMBER(M50),ISNUMBER(N50)),IF(N50&gt;0,ROUND(M50/N50*100,1),""),"")))</f>
        <v/>
      </c>
      <c r="S50" s="0" t="str">
        <f aca="false">IF(Q50="","",IF(RIGHT(UPPER(TRIM(L50&amp;"")),2)="-N","비경쟁",""))</f>
        <v/>
      </c>
      <c r="T50" s="0" t="str">
        <f aca="false">IF(Q50="","",IF(COUNTIF(참가자!$A$3:$A$52,Q50)=0,"명단에 없는 코드",""))</f>
        <v/>
      </c>
    </row>
    <row r="51" customFormat="false" ht="15" hidden="false" customHeight="false" outlineLevel="0" collapsed="false">
      <c r="A51" s="7" t="str">
        <f aca="false">IF(참가자!A51="","",UPPER(TRIM(참가자!A51)))</f>
        <v/>
      </c>
      <c r="B51" s="7" t="str">
        <f aca="false">IF(A51="","",IF(참가자!B51="","(팀 없음)",TRIM(참가자!B51)))</f>
        <v/>
      </c>
      <c r="C51" s="7" t="str">
        <f aca="false">IF(A51="","",IFERROR(INDEX($R$3:$R$102,MATCH(A51,$Q$3:$Q$102,0)),""))</f>
        <v/>
      </c>
      <c r="D51" s="7" t="str">
        <f aca="false">IF(A51="","",IF(C51="","결석",IF(IFERROR(INDEX($S$3:$S$102,MATCH(A51,$Q$3:$Q$102,0)),"")="비경쟁","비경쟁 응시","응시")))</f>
        <v/>
      </c>
      <c r="E51" s="7" t="str">
        <f aca="false">IF(A51="","",IF(COUNTIF($Q$3:$Q$102,A51)&gt;1,"중복! 확인",""))</f>
        <v/>
      </c>
      <c r="F51" s="7" t="str">
        <f aca="false">IF(A51="","",IF(C51="",IF(ISNUMBER(진단!C51),진단!C51,IF(COUNT($C$3:$C$52)=0,"",ROUND(AVERAGE($C$3:$C$52),1))),IF(AND(USE_DIAG_CHECK=1,ISNUMBER(진단!C51)),IF(ROUND(진단!C51-C51,1)&gt;=DIAG_GAP,ROUND((C51+진단!C51)/2,1),C51),C51)))</f>
        <v/>
      </c>
      <c r="G51" s="7" t="str">
        <f aca="false">IF(A51="","",IF(C51="",IF(F51="","기준점수 없음",IF(ISNUMBER(진단!C51),"진단 대체","응시자 평균")),IF(F51&lt;&gt;C51,"진단 보정","평가A")))</f>
        <v/>
      </c>
      <c r="H51" s="7" t="str">
        <f aca="false">IF(A51="","",IF(AND(NOT(ISNUMBER(C51)),NOT(ISNUMBER(진단!C51))),"",ROUND((IF(ISNUMBER(C51),C51*EVAL_ITEMS,0)+IF(ISNUMBER(진단!C51),진단!C51*DIAG_ITEMS,0))/(IF(ISNUMBER(C51),EVAL_ITEMS,0)+IF(ISNUMBER(진단!C51),DIAG_ITEMS,0)),1)))</f>
        <v/>
      </c>
      <c r="L51" s="8"/>
      <c r="M51" s="8"/>
      <c r="N51" s="8"/>
      <c r="O51" s="8"/>
      <c r="Q51" s="0" t="str">
        <f aca="false">IF(UPPER(TRIM(L51&amp;""))="","",IF(RIGHT(UPPER(TRIM(L51&amp;"")),2)="-N",TRIM(LEFT(UPPER(TRIM(L51&amp;"")),LEN(UPPER(TRIM(L51&amp;"")))-2)),UPPER(TRIM(L51&amp;""))))</f>
        <v/>
      </c>
      <c r="R51" s="0" t="str">
        <f aca="false">IF(Q51="","",IF(ISNUMBER(O51),ROUND(O51,1),IF(AND(ISNUMBER(M51),ISNUMBER(N51)),IF(N51&gt;0,ROUND(M51/N51*100,1),""),"")))</f>
        <v/>
      </c>
      <c r="S51" s="0" t="str">
        <f aca="false">IF(Q51="","",IF(RIGHT(UPPER(TRIM(L51&amp;"")),2)="-N","비경쟁",""))</f>
        <v/>
      </c>
      <c r="T51" s="0" t="str">
        <f aca="false">IF(Q51="","",IF(COUNTIF(참가자!$A$3:$A$52,Q51)=0,"명단에 없는 코드",""))</f>
        <v/>
      </c>
    </row>
    <row r="52" customFormat="false" ht="15" hidden="false" customHeight="false" outlineLevel="0" collapsed="false">
      <c r="A52" s="7" t="str">
        <f aca="false">IF(참가자!A52="","",UPPER(TRIM(참가자!A52)))</f>
        <v/>
      </c>
      <c r="B52" s="7" t="str">
        <f aca="false">IF(A52="","",IF(참가자!B52="","(팀 없음)",TRIM(참가자!B52)))</f>
        <v/>
      </c>
      <c r="C52" s="7" t="str">
        <f aca="false">IF(A52="","",IFERROR(INDEX($R$3:$R$102,MATCH(A52,$Q$3:$Q$102,0)),""))</f>
        <v/>
      </c>
      <c r="D52" s="7" t="str">
        <f aca="false">IF(A52="","",IF(C52="","결석",IF(IFERROR(INDEX($S$3:$S$102,MATCH(A52,$Q$3:$Q$102,0)),"")="비경쟁","비경쟁 응시","응시")))</f>
        <v/>
      </c>
      <c r="E52" s="7" t="str">
        <f aca="false">IF(A52="","",IF(COUNTIF($Q$3:$Q$102,A52)&gt;1,"중복! 확인",""))</f>
        <v/>
      </c>
      <c r="F52" s="7" t="str">
        <f aca="false">IF(A52="","",IF(C52="",IF(ISNUMBER(진단!C52),진단!C52,IF(COUNT($C$3:$C$52)=0,"",ROUND(AVERAGE($C$3:$C$52),1))),IF(AND(USE_DIAG_CHECK=1,ISNUMBER(진단!C52)),IF(ROUND(진단!C52-C52,1)&gt;=DIAG_GAP,ROUND((C52+진단!C52)/2,1),C52),C52)))</f>
        <v/>
      </c>
      <c r="G52" s="7" t="str">
        <f aca="false">IF(A52="","",IF(C52="",IF(F52="","기준점수 없음",IF(ISNUMBER(진단!C52),"진단 대체","응시자 평균")),IF(F52&lt;&gt;C52,"진단 보정","평가A")))</f>
        <v/>
      </c>
      <c r="H52" s="7" t="str">
        <f aca="false">IF(A52="","",IF(AND(NOT(ISNUMBER(C52)),NOT(ISNUMBER(진단!C52))),"",ROUND((IF(ISNUMBER(C52),C52*EVAL_ITEMS,0)+IF(ISNUMBER(진단!C52),진단!C52*DIAG_ITEMS,0))/(IF(ISNUMBER(C52),EVAL_ITEMS,0)+IF(ISNUMBER(진단!C52),DIAG_ITEMS,0)),1)))</f>
        <v/>
      </c>
      <c r="L52" s="8"/>
      <c r="M52" s="8"/>
      <c r="N52" s="8"/>
      <c r="O52" s="8"/>
      <c r="Q52" s="0" t="str">
        <f aca="false">IF(UPPER(TRIM(L52&amp;""))="","",IF(RIGHT(UPPER(TRIM(L52&amp;"")),2)="-N",TRIM(LEFT(UPPER(TRIM(L52&amp;"")),LEN(UPPER(TRIM(L52&amp;"")))-2)),UPPER(TRIM(L52&amp;""))))</f>
        <v/>
      </c>
      <c r="R52" s="0" t="str">
        <f aca="false">IF(Q52="","",IF(ISNUMBER(O52),ROUND(O52,1),IF(AND(ISNUMBER(M52),ISNUMBER(N52)),IF(N52&gt;0,ROUND(M52/N52*100,1),""),"")))</f>
        <v/>
      </c>
      <c r="S52" s="0" t="str">
        <f aca="false">IF(Q52="","",IF(RIGHT(UPPER(TRIM(L52&amp;"")),2)="-N","비경쟁",""))</f>
        <v/>
      </c>
      <c r="T52" s="0" t="str">
        <f aca="false">IF(Q52="","",IF(COUNTIF(참가자!$A$3:$A$52,Q52)=0,"명단에 없는 코드",""))</f>
        <v/>
      </c>
    </row>
    <row r="53" customFormat="false" ht="15" hidden="false" customHeight="false" outlineLevel="0" collapsed="false">
      <c r="L53" s="8"/>
      <c r="M53" s="8"/>
      <c r="N53" s="8"/>
      <c r="O53" s="8"/>
      <c r="Q53" s="0" t="str">
        <f aca="false">IF(UPPER(TRIM(L53&amp;""))="","",IF(RIGHT(UPPER(TRIM(L53&amp;"")),2)="-N",TRIM(LEFT(UPPER(TRIM(L53&amp;"")),LEN(UPPER(TRIM(L53&amp;"")))-2)),UPPER(TRIM(L53&amp;""))))</f>
        <v/>
      </c>
      <c r="R53" s="0" t="str">
        <f aca="false">IF(Q53="","",IF(ISNUMBER(O53),ROUND(O53,1),IF(AND(ISNUMBER(M53),ISNUMBER(N53)),IF(N53&gt;0,ROUND(M53/N53*100,1),""),"")))</f>
        <v/>
      </c>
      <c r="S53" s="0" t="str">
        <f aca="false">IF(Q53="","",IF(RIGHT(UPPER(TRIM(L53&amp;"")),2)="-N","비경쟁",""))</f>
        <v/>
      </c>
      <c r="T53" s="0" t="str">
        <f aca="false">IF(Q53="","",IF(COUNTIF(참가자!$A$3:$A$52,Q53)=0,"명단에 없는 코드",""))</f>
        <v/>
      </c>
    </row>
    <row r="54" customFormat="false" ht="15" hidden="false" customHeight="false" outlineLevel="0" collapsed="false">
      <c r="L54" s="8"/>
      <c r="M54" s="8"/>
      <c r="N54" s="8"/>
      <c r="O54" s="8"/>
      <c r="Q54" s="0" t="str">
        <f aca="false">IF(UPPER(TRIM(L54&amp;""))="","",IF(RIGHT(UPPER(TRIM(L54&amp;"")),2)="-N",TRIM(LEFT(UPPER(TRIM(L54&amp;"")),LEN(UPPER(TRIM(L54&amp;"")))-2)),UPPER(TRIM(L54&amp;""))))</f>
        <v/>
      </c>
      <c r="R54" s="0" t="str">
        <f aca="false">IF(Q54="","",IF(ISNUMBER(O54),ROUND(O54,1),IF(AND(ISNUMBER(M54),ISNUMBER(N54)),IF(N54&gt;0,ROUND(M54/N54*100,1),""),"")))</f>
        <v/>
      </c>
      <c r="S54" s="0" t="str">
        <f aca="false">IF(Q54="","",IF(RIGHT(UPPER(TRIM(L54&amp;"")),2)="-N","비경쟁",""))</f>
        <v/>
      </c>
      <c r="T54" s="0" t="str">
        <f aca="false">IF(Q54="","",IF(COUNTIF(참가자!$A$3:$A$52,Q54)=0,"명단에 없는 코드",""))</f>
        <v/>
      </c>
    </row>
    <row r="55" customFormat="false" ht="15" hidden="false" customHeight="false" outlineLevel="0" collapsed="false">
      <c r="L55" s="8"/>
      <c r="M55" s="8"/>
      <c r="N55" s="8"/>
      <c r="O55" s="8"/>
      <c r="Q55" s="0" t="str">
        <f aca="false">IF(UPPER(TRIM(L55&amp;""))="","",IF(RIGHT(UPPER(TRIM(L55&amp;"")),2)="-N",TRIM(LEFT(UPPER(TRIM(L55&amp;"")),LEN(UPPER(TRIM(L55&amp;"")))-2)),UPPER(TRIM(L55&amp;""))))</f>
        <v/>
      </c>
      <c r="R55" s="0" t="str">
        <f aca="false">IF(Q55="","",IF(ISNUMBER(O55),ROUND(O55,1),IF(AND(ISNUMBER(M55),ISNUMBER(N55)),IF(N55&gt;0,ROUND(M55/N55*100,1),""),"")))</f>
        <v/>
      </c>
      <c r="S55" s="0" t="str">
        <f aca="false">IF(Q55="","",IF(RIGHT(UPPER(TRIM(L55&amp;"")),2)="-N","비경쟁",""))</f>
        <v/>
      </c>
      <c r="T55" s="0" t="str">
        <f aca="false">IF(Q55="","",IF(COUNTIF(참가자!$A$3:$A$52,Q55)=0,"명단에 없는 코드",""))</f>
        <v/>
      </c>
    </row>
    <row r="56" customFormat="false" ht="15" hidden="false" customHeight="false" outlineLevel="0" collapsed="false">
      <c r="L56" s="8"/>
      <c r="M56" s="8"/>
      <c r="N56" s="8"/>
      <c r="O56" s="8"/>
      <c r="Q56" s="0" t="str">
        <f aca="false">IF(UPPER(TRIM(L56&amp;""))="","",IF(RIGHT(UPPER(TRIM(L56&amp;"")),2)="-N",TRIM(LEFT(UPPER(TRIM(L56&amp;"")),LEN(UPPER(TRIM(L56&amp;"")))-2)),UPPER(TRIM(L56&amp;""))))</f>
        <v/>
      </c>
      <c r="R56" s="0" t="str">
        <f aca="false">IF(Q56="","",IF(ISNUMBER(O56),ROUND(O56,1),IF(AND(ISNUMBER(M56),ISNUMBER(N56)),IF(N56&gt;0,ROUND(M56/N56*100,1),""),"")))</f>
        <v/>
      </c>
      <c r="S56" s="0" t="str">
        <f aca="false">IF(Q56="","",IF(RIGHT(UPPER(TRIM(L56&amp;"")),2)="-N","비경쟁",""))</f>
        <v/>
      </c>
      <c r="T56" s="0" t="str">
        <f aca="false">IF(Q56="","",IF(COUNTIF(참가자!$A$3:$A$52,Q56)=0,"명단에 없는 코드",""))</f>
        <v/>
      </c>
    </row>
    <row r="57" customFormat="false" ht="15" hidden="false" customHeight="false" outlineLevel="0" collapsed="false">
      <c r="L57" s="8"/>
      <c r="M57" s="8"/>
      <c r="N57" s="8"/>
      <c r="O57" s="8"/>
      <c r="Q57" s="0" t="str">
        <f aca="false">IF(UPPER(TRIM(L57&amp;""))="","",IF(RIGHT(UPPER(TRIM(L57&amp;"")),2)="-N",TRIM(LEFT(UPPER(TRIM(L57&amp;"")),LEN(UPPER(TRIM(L57&amp;"")))-2)),UPPER(TRIM(L57&amp;""))))</f>
        <v/>
      </c>
      <c r="R57" s="0" t="str">
        <f aca="false">IF(Q57="","",IF(ISNUMBER(O57),ROUND(O57,1),IF(AND(ISNUMBER(M57),ISNUMBER(N57)),IF(N57&gt;0,ROUND(M57/N57*100,1),""),"")))</f>
        <v/>
      </c>
      <c r="S57" s="0" t="str">
        <f aca="false">IF(Q57="","",IF(RIGHT(UPPER(TRIM(L57&amp;"")),2)="-N","비경쟁",""))</f>
        <v/>
      </c>
      <c r="T57" s="0" t="str">
        <f aca="false">IF(Q57="","",IF(COUNTIF(참가자!$A$3:$A$52,Q57)=0,"명단에 없는 코드",""))</f>
        <v/>
      </c>
    </row>
    <row r="58" customFormat="false" ht="15" hidden="false" customHeight="false" outlineLevel="0" collapsed="false">
      <c r="L58" s="8"/>
      <c r="M58" s="8"/>
      <c r="N58" s="8"/>
      <c r="O58" s="8"/>
      <c r="Q58" s="0" t="str">
        <f aca="false">IF(UPPER(TRIM(L58&amp;""))="","",IF(RIGHT(UPPER(TRIM(L58&amp;"")),2)="-N",TRIM(LEFT(UPPER(TRIM(L58&amp;"")),LEN(UPPER(TRIM(L58&amp;"")))-2)),UPPER(TRIM(L58&amp;""))))</f>
        <v/>
      </c>
      <c r="R58" s="0" t="str">
        <f aca="false">IF(Q58="","",IF(ISNUMBER(O58),ROUND(O58,1),IF(AND(ISNUMBER(M58),ISNUMBER(N58)),IF(N58&gt;0,ROUND(M58/N58*100,1),""),"")))</f>
        <v/>
      </c>
      <c r="S58" s="0" t="str">
        <f aca="false">IF(Q58="","",IF(RIGHT(UPPER(TRIM(L58&amp;"")),2)="-N","비경쟁",""))</f>
        <v/>
      </c>
      <c r="T58" s="0" t="str">
        <f aca="false">IF(Q58="","",IF(COUNTIF(참가자!$A$3:$A$52,Q58)=0,"명단에 없는 코드",""))</f>
        <v/>
      </c>
    </row>
    <row r="59" customFormat="false" ht="15" hidden="false" customHeight="false" outlineLevel="0" collapsed="false">
      <c r="L59" s="8"/>
      <c r="M59" s="8"/>
      <c r="N59" s="8"/>
      <c r="O59" s="8"/>
      <c r="Q59" s="0" t="str">
        <f aca="false">IF(UPPER(TRIM(L59&amp;""))="","",IF(RIGHT(UPPER(TRIM(L59&amp;"")),2)="-N",TRIM(LEFT(UPPER(TRIM(L59&amp;"")),LEN(UPPER(TRIM(L59&amp;"")))-2)),UPPER(TRIM(L59&amp;""))))</f>
        <v/>
      </c>
      <c r="R59" s="0" t="str">
        <f aca="false">IF(Q59="","",IF(ISNUMBER(O59),ROUND(O59,1),IF(AND(ISNUMBER(M59),ISNUMBER(N59)),IF(N59&gt;0,ROUND(M59/N59*100,1),""),"")))</f>
        <v/>
      </c>
      <c r="S59" s="0" t="str">
        <f aca="false">IF(Q59="","",IF(RIGHT(UPPER(TRIM(L59&amp;"")),2)="-N","비경쟁",""))</f>
        <v/>
      </c>
      <c r="T59" s="0" t="str">
        <f aca="false">IF(Q59="","",IF(COUNTIF(참가자!$A$3:$A$52,Q59)=0,"명단에 없는 코드",""))</f>
        <v/>
      </c>
    </row>
    <row r="60" customFormat="false" ht="15" hidden="false" customHeight="false" outlineLevel="0" collapsed="false">
      <c r="L60" s="8"/>
      <c r="M60" s="8"/>
      <c r="N60" s="8"/>
      <c r="O60" s="8"/>
      <c r="Q60" s="0" t="str">
        <f aca="false">IF(UPPER(TRIM(L60&amp;""))="","",IF(RIGHT(UPPER(TRIM(L60&amp;"")),2)="-N",TRIM(LEFT(UPPER(TRIM(L60&amp;"")),LEN(UPPER(TRIM(L60&amp;"")))-2)),UPPER(TRIM(L60&amp;""))))</f>
        <v/>
      </c>
      <c r="R60" s="0" t="str">
        <f aca="false">IF(Q60="","",IF(ISNUMBER(O60),ROUND(O60,1),IF(AND(ISNUMBER(M60),ISNUMBER(N60)),IF(N60&gt;0,ROUND(M60/N60*100,1),""),"")))</f>
        <v/>
      </c>
      <c r="S60" s="0" t="str">
        <f aca="false">IF(Q60="","",IF(RIGHT(UPPER(TRIM(L60&amp;"")),2)="-N","비경쟁",""))</f>
        <v/>
      </c>
      <c r="T60" s="0" t="str">
        <f aca="false">IF(Q60="","",IF(COUNTIF(참가자!$A$3:$A$52,Q60)=0,"명단에 없는 코드",""))</f>
        <v/>
      </c>
    </row>
    <row r="61" customFormat="false" ht="15" hidden="false" customHeight="false" outlineLevel="0" collapsed="false">
      <c r="L61" s="8"/>
      <c r="M61" s="8"/>
      <c r="N61" s="8"/>
      <c r="O61" s="8"/>
      <c r="Q61" s="0" t="str">
        <f aca="false">IF(UPPER(TRIM(L61&amp;""))="","",IF(RIGHT(UPPER(TRIM(L61&amp;"")),2)="-N",TRIM(LEFT(UPPER(TRIM(L61&amp;"")),LEN(UPPER(TRIM(L61&amp;"")))-2)),UPPER(TRIM(L61&amp;""))))</f>
        <v/>
      </c>
      <c r="R61" s="0" t="str">
        <f aca="false">IF(Q61="","",IF(ISNUMBER(O61),ROUND(O61,1),IF(AND(ISNUMBER(M61),ISNUMBER(N61)),IF(N61&gt;0,ROUND(M61/N61*100,1),""),"")))</f>
        <v/>
      </c>
      <c r="S61" s="0" t="str">
        <f aca="false">IF(Q61="","",IF(RIGHT(UPPER(TRIM(L61&amp;"")),2)="-N","비경쟁",""))</f>
        <v/>
      </c>
      <c r="T61" s="0" t="str">
        <f aca="false">IF(Q61="","",IF(COUNTIF(참가자!$A$3:$A$52,Q61)=0,"명단에 없는 코드",""))</f>
        <v/>
      </c>
    </row>
    <row r="62" customFormat="false" ht="15" hidden="false" customHeight="false" outlineLevel="0" collapsed="false">
      <c r="L62" s="8"/>
      <c r="M62" s="8"/>
      <c r="N62" s="8"/>
      <c r="O62" s="8"/>
      <c r="Q62" s="0" t="str">
        <f aca="false">IF(UPPER(TRIM(L62&amp;""))="","",IF(RIGHT(UPPER(TRIM(L62&amp;"")),2)="-N",TRIM(LEFT(UPPER(TRIM(L62&amp;"")),LEN(UPPER(TRIM(L62&amp;"")))-2)),UPPER(TRIM(L62&amp;""))))</f>
        <v/>
      </c>
      <c r="R62" s="0" t="str">
        <f aca="false">IF(Q62="","",IF(ISNUMBER(O62),ROUND(O62,1),IF(AND(ISNUMBER(M62),ISNUMBER(N62)),IF(N62&gt;0,ROUND(M62/N62*100,1),""),"")))</f>
        <v/>
      </c>
      <c r="S62" s="0" t="str">
        <f aca="false">IF(Q62="","",IF(RIGHT(UPPER(TRIM(L62&amp;"")),2)="-N","비경쟁",""))</f>
        <v/>
      </c>
      <c r="T62" s="0" t="str">
        <f aca="false">IF(Q62="","",IF(COUNTIF(참가자!$A$3:$A$52,Q62)=0,"명단에 없는 코드",""))</f>
        <v/>
      </c>
    </row>
    <row r="63" customFormat="false" ht="15" hidden="false" customHeight="false" outlineLevel="0" collapsed="false">
      <c r="L63" s="8"/>
      <c r="M63" s="8"/>
      <c r="N63" s="8"/>
      <c r="O63" s="8"/>
      <c r="Q63" s="0" t="str">
        <f aca="false">IF(UPPER(TRIM(L63&amp;""))="","",IF(RIGHT(UPPER(TRIM(L63&amp;"")),2)="-N",TRIM(LEFT(UPPER(TRIM(L63&amp;"")),LEN(UPPER(TRIM(L63&amp;"")))-2)),UPPER(TRIM(L63&amp;""))))</f>
        <v/>
      </c>
      <c r="R63" s="0" t="str">
        <f aca="false">IF(Q63="","",IF(ISNUMBER(O63),ROUND(O63,1),IF(AND(ISNUMBER(M63),ISNUMBER(N63)),IF(N63&gt;0,ROUND(M63/N63*100,1),""),"")))</f>
        <v/>
      </c>
      <c r="S63" s="0" t="str">
        <f aca="false">IF(Q63="","",IF(RIGHT(UPPER(TRIM(L63&amp;"")),2)="-N","비경쟁",""))</f>
        <v/>
      </c>
      <c r="T63" s="0" t="str">
        <f aca="false">IF(Q63="","",IF(COUNTIF(참가자!$A$3:$A$52,Q63)=0,"명단에 없는 코드",""))</f>
        <v/>
      </c>
    </row>
    <row r="64" customFormat="false" ht="15" hidden="false" customHeight="false" outlineLevel="0" collapsed="false">
      <c r="L64" s="8"/>
      <c r="M64" s="8"/>
      <c r="N64" s="8"/>
      <c r="O64" s="8"/>
      <c r="Q64" s="0" t="str">
        <f aca="false">IF(UPPER(TRIM(L64&amp;""))="","",IF(RIGHT(UPPER(TRIM(L64&amp;"")),2)="-N",TRIM(LEFT(UPPER(TRIM(L64&amp;"")),LEN(UPPER(TRIM(L64&amp;"")))-2)),UPPER(TRIM(L64&amp;""))))</f>
        <v/>
      </c>
      <c r="R64" s="0" t="str">
        <f aca="false">IF(Q64="","",IF(ISNUMBER(O64),ROUND(O64,1),IF(AND(ISNUMBER(M64),ISNUMBER(N64)),IF(N64&gt;0,ROUND(M64/N64*100,1),""),"")))</f>
        <v/>
      </c>
      <c r="S64" s="0" t="str">
        <f aca="false">IF(Q64="","",IF(RIGHT(UPPER(TRIM(L64&amp;"")),2)="-N","비경쟁",""))</f>
        <v/>
      </c>
      <c r="T64" s="0" t="str">
        <f aca="false">IF(Q64="","",IF(COUNTIF(참가자!$A$3:$A$52,Q64)=0,"명단에 없는 코드",""))</f>
        <v/>
      </c>
    </row>
    <row r="65" customFormat="false" ht="15" hidden="false" customHeight="false" outlineLevel="0" collapsed="false">
      <c r="L65" s="8"/>
      <c r="M65" s="8"/>
      <c r="N65" s="8"/>
      <c r="O65" s="8"/>
      <c r="Q65" s="0" t="str">
        <f aca="false">IF(UPPER(TRIM(L65&amp;""))="","",IF(RIGHT(UPPER(TRIM(L65&amp;"")),2)="-N",TRIM(LEFT(UPPER(TRIM(L65&amp;"")),LEN(UPPER(TRIM(L65&amp;"")))-2)),UPPER(TRIM(L65&amp;""))))</f>
        <v/>
      </c>
      <c r="R65" s="0" t="str">
        <f aca="false">IF(Q65="","",IF(ISNUMBER(O65),ROUND(O65,1),IF(AND(ISNUMBER(M65),ISNUMBER(N65)),IF(N65&gt;0,ROUND(M65/N65*100,1),""),"")))</f>
        <v/>
      </c>
      <c r="S65" s="0" t="str">
        <f aca="false">IF(Q65="","",IF(RIGHT(UPPER(TRIM(L65&amp;"")),2)="-N","비경쟁",""))</f>
        <v/>
      </c>
      <c r="T65" s="0" t="str">
        <f aca="false">IF(Q65="","",IF(COUNTIF(참가자!$A$3:$A$52,Q65)=0,"명단에 없는 코드",""))</f>
        <v/>
      </c>
    </row>
    <row r="66" customFormat="false" ht="15" hidden="false" customHeight="false" outlineLevel="0" collapsed="false">
      <c r="L66" s="8"/>
      <c r="M66" s="8"/>
      <c r="N66" s="8"/>
      <c r="O66" s="8"/>
      <c r="Q66" s="0" t="str">
        <f aca="false">IF(UPPER(TRIM(L66&amp;""))="","",IF(RIGHT(UPPER(TRIM(L66&amp;"")),2)="-N",TRIM(LEFT(UPPER(TRIM(L66&amp;"")),LEN(UPPER(TRIM(L66&amp;"")))-2)),UPPER(TRIM(L66&amp;""))))</f>
        <v/>
      </c>
      <c r="R66" s="0" t="str">
        <f aca="false">IF(Q66="","",IF(ISNUMBER(O66),ROUND(O66,1),IF(AND(ISNUMBER(M66),ISNUMBER(N66)),IF(N66&gt;0,ROUND(M66/N66*100,1),""),"")))</f>
        <v/>
      </c>
      <c r="S66" s="0" t="str">
        <f aca="false">IF(Q66="","",IF(RIGHT(UPPER(TRIM(L66&amp;"")),2)="-N","비경쟁",""))</f>
        <v/>
      </c>
      <c r="T66" s="0" t="str">
        <f aca="false">IF(Q66="","",IF(COUNTIF(참가자!$A$3:$A$52,Q66)=0,"명단에 없는 코드",""))</f>
        <v/>
      </c>
    </row>
    <row r="67" customFormat="false" ht="15" hidden="false" customHeight="false" outlineLevel="0" collapsed="false">
      <c r="L67" s="8"/>
      <c r="M67" s="8"/>
      <c r="N67" s="8"/>
      <c r="O67" s="8"/>
      <c r="Q67" s="0" t="str">
        <f aca="false">IF(UPPER(TRIM(L67&amp;""))="","",IF(RIGHT(UPPER(TRIM(L67&amp;"")),2)="-N",TRIM(LEFT(UPPER(TRIM(L67&amp;"")),LEN(UPPER(TRIM(L67&amp;"")))-2)),UPPER(TRIM(L67&amp;""))))</f>
        <v/>
      </c>
      <c r="R67" s="0" t="str">
        <f aca="false">IF(Q67="","",IF(ISNUMBER(O67),ROUND(O67,1),IF(AND(ISNUMBER(M67),ISNUMBER(N67)),IF(N67&gt;0,ROUND(M67/N67*100,1),""),"")))</f>
        <v/>
      </c>
      <c r="S67" s="0" t="str">
        <f aca="false">IF(Q67="","",IF(RIGHT(UPPER(TRIM(L67&amp;"")),2)="-N","비경쟁",""))</f>
        <v/>
      </c>
      <c r="T67" s="0" t="str">
        <f aca="false">IF(Q67="","",IF(COUNTIF(참가자!$A$3:$A$52,Q67)=0,"명단에 없는 코드",""))</f>
        <v/>
      </c>
    </row>
    <row r="68" customFormat="false" ht="15" hidden="false" customHeight="false" outlineLevel="0" collapsed="false">
      <c r="L68" s="8"/>
      <c r="M68" s="8"/>
      <c r="N68" s="8"/>
      <c r="O68" s="8"/>
      <c r="Q68" s="0" t="str">
        <f aca="false">IF(UPPER(TRIM(L68&amp;""))="","",IF(RIGHT(UPPER(TRIM(L68&amp;"")),2)="-N",TRIM(LEFT(UPPER(TRIM(L68&amp;"")),LEN(UPPER(TRIM(L68&amp;"")))-2)),UPPER(TRIM(L68&amp;""))))</f>
        <v/>
      </c>
      <c r="R68" s="0" t="str">
        <f aca="false">IF(Q68="","",IF(ISNUMBER(O68),ROUND(O68,1),IF(AND(ISNUMBER(M68),ISNUMBER(N68)),IF(N68&gt;0,ROUND(M68/N68*100,1),""),"")))</f>
        <v/>
      </c>
      <c r="S68" s="0" t="str">
        <f aca="false">IF(Q68="","",IF(RIGHT(UPPER(TRIM(L68&amp;"")),2)="-N","비경쟁",""))</f>
        <v/>
      </c>
      <c r="T68" s="0" t="str">
        <f aca="false">IF(Q68="","",IF(COUNTIF(참가자!$A$3:$A$52,Q68)=0,"명단에 없는 코드",""))</f>
        <v/>
      </c>
    </row>
    <row r="69" customFormat="false" ht="15" hidden="false" customHeight="false" outlineLevel="0" collapsed="false">
      <c r="L69" s="8"/>
      <c r="M69" s="8"/>
      <c r="N69" s="8"/>
      <c r="O69" s="8"/>
      <c r="Q69" s="0" t="str">
        <f aca="false">IF(UPPER(TRIM(L69&amp;""))="","",IF(RIGHT(UPPER(TRIM(L69&amp;"")),2)="-N",TRIM(LEFT(UPPER(TRIM(L69&amp;"")),LEN(UPPER(TRIM(L69&amp;"")))-2)),UPPER(TRIM(L69&amp;""))))</f>
        <v/>
      </c>
      <c r="R69" s="0" t="str">
        <f aca="false">IF(Q69="","",IF(ISNUMBER(O69),ROUND(O69,1),IF(AND(ISNUMBER(M69),ISNUMBER(N69)),IF(N69&gt;0,ROUND(M69/N69*100,1),""),"")))</f>
        <v/>
      </c>
      <c r="S69" s="0" t="str">
        <f aca="false">IF(Q69="","",IF(RIGHT(UPPER(TRIM(L69&amp;"")),2)="-N","비경쟁",""))</f>
        <v/>
      </c>
      <c r="T69" s="0" t="str">
        <f aca="false">IF(Q69="","",IF(COUNTIF(참가자!$A$3:$A$52,Q69)=0,"명단에 없는 코드",""))</f>
        <v/>
      </c>
    </row>
    <row r="70" customFormat="false" ht="15" hidden="false" customHeight="false" outlineLevel="0" collapsed="false">
      <c r="L70" s="8"/>
      <c r="M70" s="8"/>
      <c r="N70" s="8"/>
      <c r="O70" s="8"/>
      <c r="Q70" s="0" t="str">
        <f aca="false">IF(UPPER(TRIM(L70&amp;""))="","",IF(RIGHT(UPPER(TRIM(L70&amp;"")),2)="-N",TRIM(LEFT(UPPER(TRIM(L70&amp;"")),LEN(UPPER(TRIM(L70&amp;"")))-2)),UPPER(TRIM(L70&amp;""))))</f>
        <v/>
      </c>
      <c r="R70" s="0" t="str">
        <f aca="false">IF(Q70="","",IF(ISNUMBER(O70),ROUND(O70,1),IF(AND(ISNUMBER(M70),ISNUMBER(N70)),IF(N70&gt;0,ROUND(M70/N70*100,1),""),"")))</f>
        <v/>
      </c>
      <c r="S70" s="0" t="str">
        <f aca="false">IF(Q70="","",IF(RIGHT(UPPER(TRIM(L70&amp;"")),2)="-N","비경쟁",""))</f>
        <v/>
      </c>
      <c r="T70" s="0" t="str">
        <f aca="false">IF(Q70="","",IF(COUNTIF(참가자!$A$3:$A$52,Q70)=0,"명단에 없는 코드",""))</f>
        <v/>
      </c>
    </row>
    <row r="71" customFormat="false" ht="15" hidden="false" customHeight="false" outlineLevel="0" collapsed="false">
      <c r="L71" s="8"/>
      <c r="M71" s="8"/>
      <c r="N71" s="8"/>
      <c r="O71" s="8"/>
      <c r="Q71" s="0" t="str">
        <f aca="false">IF(UPPER(TRIM(L71&amp;""))="","",IF(RIGHT(UPPER(TRIM(L71&amp;"")),2)="-N",TRIM(LEFT(UPPER(TRIM(L71&amp;"")),LEN(UPPER(TRIM(L71&amp;"")))-2)),UPPER(TRIM(L71&amp;""))))</f>
        <v/>
      </c>
      <c r="R71" s="0" t="str">
        <f aca="false">IF(Q71="","",IF(ISNUMBER(O71),ROUND(O71,1),IF(AND(ISNUMBER(M71),ISNUMBER(N71)),IF(N71&gt;0,ROUND(M71/N71*100,1),""),"")))</f>
        <v/>
      </c>
      <c r="S71" s="0" t="str">
        <f aca="false">IF(Q71="","",IF(RIGHT(UPPER(TRIM(L71&amp;"")),2)="-N","비경쟁",""))</f>
        <v/>
      </c>
      <c r="T71" s="0" t="str">
        <f aca="false">IF(Q71="","",IF(COUNTIF(참가자!$A$3:$A$52,Q71)=0,"명단에 없는 코드",""))</f>
        <v/>
      </c>
    </row>
    <row r="72" customFormat="false" ht="15" hidden="false" customHeight="false" outlineLevel="0" collapsed="false">
      <c r="L72" s="8"/>
      <c r="M72" s="8"/>
      <c r="N72" s="8"/>
      <c r="O72" s="8"/>
      <c r="Q72" s="0" t="str">
        <f aca="false">IF(UPPER(TRIM(L72&amp;""))="","",IF(RIGHT(UPPER(TRIM(L72&amp;"")),2)="-N",TRIM(LEFT(UPPER(TRIM(L72&amp;"")),LEN(UPPER(TRIM(L72&amp;"")))-2)),UPPER(TRIM(L72&amp;""))))</f>
        <v/>
      </c>
      <c r="R72" s="0" t="str">
        <f aca="false">IF(Q72="","",IF(ISNUMBER(O72),ROUND(O72,1),IF(AND(ISNUMBER(M72),ISNUMBER(N72)),IF(N72&gt;0,ROUND(M72/N72*100,1),""),"")))</f>
        <v/>
      </c>
      <c r="S72" s="0" t="str">
        <f aca="false">IF(Q72="","",IF(RIGHT(UPPER(TRIM(L72&amp;"")),2)="-N","비경쟁",""))</f>
        <v/>
      </c>
      <c r="T72" s="0" t="str">
        <f aca="false">IF(Q72="","",IF(COUNTIF(참가자!$A$3:$A$52,Q72)=0,"명단에 없는 코드",""))</f>
        <v/>
      </c>
    </row>
    <row r="73" customFormat="false" ht="15" hidden="false" customHeight="false" outlineLevel="0" collapsed="false">
      <c r="L73" s="8"/>
      <c r="M73" s="8"/>
      <c r="N73" s="8"/>
      <c r="O73" s="8"/>
      <c r="Q73" s="0" t="str">
        <f aca="false">IF(UPPER(TRIM(L73&amp;""))="","",IF(RIGHT(UPPER(TRIM(L73&amp;"")),2)="-N",TRIM(LEFT(UPPER(TRIM(L73&amp;"")),LEN(UPPER(TRIM(L73&amp;"")))-2)),UPPER(TRIM(L73&amp;""))))</f>
        <v/>
      </c>
      <c r="R73" s="0" t="str">
        <f aca="false">IF(Q73="","",IF(ISNUMBER(O73),ROUND(O73,1),IF(AND(ISNUMBER(M73),ISNUMBER(N73)),IF(N73&gt;0,ROUND(M73/N73*100,1),""),"")))</f>
        <v/>
      </c>
      <c r="S73" s="0" t="str">
        <f aca="false">IF(Q73="","",IF(RIGHT(UPPER(TRIM(L73&amp;"")),2)="-N","비경쟁",""))</f>
        <v/>
      </c>
      <c r="T73" s="0" t="str">
        <f aca="false">IF(Q73="","",IF(COUNTIF(참가자!$A$3:$A$52,Q73)=0,"명단에 없는 코드",""))</f>
        <v/>
      </c>
    </row>
    <row r="74" customFormat="false" ht="15" hidden="false" customHeight="false" outlineLevel="0" collapsed="false">
      <c r="L74" s="8"/>
      <c r="M74" s="8"/>
      <c r="N74" s="8"/>
      <c r="O74" s="8"/>
      <c r="Q74" s="0" t="str">
        <f aca="false">IF(UPPER(TRIM(L74&amp;""))="","",IF(RIGHT(UPPER(TRIM(L74&amp;"")),2)="-N",TRIM(LEFT(UPPER(TRIM(L74&amp;"")),LEN(UPPER(TRIM(L74&amp;"")))-2)),UPPER(TRIM(L74&amp;""))))</f>
        <v/>
      </c>
      <c r="R74" s="0" t="str">
        <f aca="false">IF(Q74="","",IF(ISNUMBER(O74),ROUND(O74,1),IF(AND(ISNUMBER(M74),ISNUMBER(N74)),IF(N74&gt;0,ROUND(M74/N74*100,1),""),"")))</f>
        <v/>
      </c>
      <c r="S74" s="0" t="str">
        <f aca="false">IF(Q74="","",IF(RIGHT(UPPER(TRIM(L74&amp;"")),2)="-N","비경쟁",""))</f>
        <v/>
      </c>
      <c r="T74" s="0" t="str">
        <f aca="false">IF(Q74="","",IF(COUNTIF(참가자!$A$3:$A$52,Q74)=0,"명단에 없는 코드",""))</f>
        <v/>
      </c>
    </row>
    <row r="75" customFormat="false" ht="15" hidden="false" customHeight="false" outlineLevel="0" collapsed="false">
      <c r="L75" s="8"/>
      <c r="M75" s="8"/>
      <c r="N75" s="8"/>
      <c r="O75" s="8"/>
      <c r="Q75" s="0" t="str">
        <f aca="false">IF(UPPER(TRIM(L75&amp;""))="","",IF(RIGHT(UPPER(TRIM(L75&amp;"")),2)="-N",TRIM(LEFT(UPPER(TRIM(L75&amp;"")),LEN(UPPER(TRIM(L75&amp;"")))-2)),UPPER(TRIM(L75&amp;""))))</f>
        <v/>
      </c>
      <c r="R75" s="0" t="str">
        <f aca="false">IF(Q75="","",IF(ISNUMBER(O75),ROUND(O75,1),IF(AND(ISNUMBER(M75),ISNUMBER(N75)),IF(N75&gt;0,ROUND(M75/N75*100,1),""),"")))</f>
        <v/>
      </c>
      <c r="S75" s="0" t="str">
        <f aca="false">IF(Q75="","",IF(RIGHT(UPPER(TRIM(L75&amp;"")),2)="-N","비경쟁",""))</f>
        <v/>
      </c>
      <c r="T75" s="0" t="str">
        <f aca="false">IF(Q75="","",IF(COUNTIF(참가자!$A$3:$A$52,Q75)=0,"명단에 없는 코드",""))</f>
        <v/>
      </c>
    </row>
    <row r="76" customFormat="false" ht="15" hidden="false" customHeight="false" outlineLevel="0" collapsed="false">
      <c r="L76" s="8"/>
      <c r="M76" s="8"/>
      <c r="N76" s="8"/>
      <c r="O76" s="8"/>
      <c r="Q76" s="0" t="str">
        <f aca="false">IF(UPPER(TRIM(L76&amp;""))="","",IF(RIGHT(UPPER(TRIM(L76&amp;"")),2)="-N",TRIM(LEFT(UPPER(TRIM(L76&amp;"")),LEN(UPPER(TRIM(L76&amp;"")))-2)),UPPER(TRIM(L76&amp;""))))</f>
        <v/>
      </c>
      <c r="R76" s="0" t="str">
        <f aca="false">IF(Q76="","",IF(ISNUMBER(O76),ROUND(O76,1),IF(AND(ISNUMBER(M76),ISNUMBER(N76)),IF(N76&gt;0,ROUND(M76/N76*100,1),""),"")))</f>
        <v/>
      </c>
      <c r="S76" s="0" t="str">
        <f aca="false">IF(Q76="","",IF(RIGHT(UPPER(TRIM(L76&amp;"")),2)="-N","비경쟁",""))</f>
        <v/>
      </c>
      <c r="T76" s="0" t="str">
        <f aca="false">IF(Q76="","",IF(COUNTIF(참가자!$A$3:$A$52,Q76)=0,"명단에 없는 코드",""))</f>
        <v/>
      </c>
    </row>
    <row r="77" customFormat="false" ht="15" hidden="false" customHeight="false" outlineLevel="0" collapsed="false">
      <c r="L77" s="8"/>
      <c r="M77" s="8"/>
      <c r="N77" s="8"/>
      <c r="O77" s="8"/>
      <c r="Q77" s="0" t="str">
        <f aca="false">IF(UPPER(TRIM(L77&amp;""))="","",IF(RIGHT(UPPER(TRIM(L77&amp;"")),2)="-N",TRIM(LEFT(UPPER(TRIM(L77&amp;"")),LEN(UPPER(TRIM(L77&amp;"")))-2)),UPPER(TRIM(L77&amp;""))))</f>
        <v/>
      </c>
      <c r="R77" s="0" t="str">
        <f aca="false">IF(Q77="","",IF(ISNUMBER(O77),ROUND(O77,1),IF(AND(ISNUMBER(M77),ISNUMBER(N77)),IF(N77&gt;0,ROUND(M77/N77*100,1),""),"")))</f>
        <v/>
      </c>
      <c r="S77" s="0" t="str">
        <f aca="false">IF(Q77="","",IF(RIGHT(UPPER(TRIM(L77&amp;"")),2)="-N","비경쟁",""))</f>
        <v/>
      </c>
      <c r="T77" s="0" t="str">
        <f aca="false">IF(Q77="","",IF(COUNTIF(참가자!$A$3:$A$52,Q77)=0,"명단에 없는 코드",""))</f>
        <v/>
      </c>
    </row>
    <row r="78" customFormat="false" ht="15" hidden="false" customHeight="false" outlineLevel="0" collapsed="false">
      <c r="L78" s="8"/>
      <c r="M78" s="8"/>
      <c r="N78" s="8"/>
      <c r="O78" s="8"/>
      <c r="Q78" s="0" t="str">
        <f aca="false">IF(UPPER(TRIM(L78&amp;""))="","",IF(RIGHT(UPPER(TRIM(L78&amp;"")),2)="-N",TRIM(LEFT(UPPER(TRIM(L78&amp;"")),LEN(UPPER(TRIM(L78&amp;"")))-2)),UPPER(TRIM(L78&amp;""))))</f>
        <v/>
      </c>
      <c r="R78" s="0" t="str">
        <f aca="false">IF(Q78="","",IF(ISNUMBER(O78),ROUND(O78,1),IF(AND(ISNUMBER(M78),ISNUMBER(N78)),IF(N78&gt;0,ROUND(M78/N78*100,1),""),"")))</f>
        <v/>
      </c>
      <c r="S78" s="0" t="str">
        <f aca="false">IF(Q78="","",IF(RIGHT(UPPER(TRIM(L78&amp;"")),2)="-N","비경쟁",""))</f>
        <v/>
      </c>
      <c r="T78" s="0" t="str">
        <f aca="false">IF(Q78="","",IF(COUNTIF(참가자!$A$3:$A$52,Q78)=0,"명단에 없는 코드",""))</f>
        <v/>
      </c>
    </row>
    <row r="79" customFormat="false" ht="15" hidden="false" customHeight="false" outlineLevel="0" collapsed="false">
      <c r="L79" s="8"/>
      <c r="M79" s="8"/>
      <c r="N79" s="8"/>
      <c r="O79" s="8"/>
      <c r="Q79" s="0" t="str">
        <f aca="false">IF(UPPER(TRIM(L79&amp;""))="","",IF(RIGHT(UPPER(TRIM(L79&amp;"")),2)="-N",TRIM(LEFT(UPPER(TRIM(L79&amp;"")),LEN(UPPER(TRIM(L79&amp;"")))-2)),UPPER(TRIM(L79&amp;""))))</f>
        <v/>
      </c>
      <c r="R79" s="0" t="str">
        <f aca="false">IF(Q79="","",IF(ISNUMBER(O79),ROUND(O79,1),IF(AND(ISNUMBER(M79),ISNUMBER(N79)),IF(N79&gt;0,ROUND(M79/N79*100,1),""),"")))</f>
        <v/>
      </c>
      <c r="S79" s="0" t="str">
        <f aca="false">IF(Q79="","",IF(RIGHT(UPPER(TRIM(L79&amp;"")),2)="-N","비경쟁",""))</f>
        <v/>
      </c>
      <c r="T79" s="0" t="str">
        <f aca="false">IF(Q79="","",IF(COUNTIF(참가자!$A$3:$A$52,Q79)=0,"명단에 없는 코드",""))</f>
        <v/>
      </c>
    </row>
    <row r="80" customFormat="false" ht="15" hidden="false" customHeight="false" outlineLevel="0" collapsed="false">
      <c r="L80" s="8"/>
      <c r="M80" s="8"/>
      <c r="N80" s="8"/>
      <c r="O80" s="8"/>
      <c r="Q80" s="0" t="str">
        <f aca="false">IF(UPPER(TRIM(L80&amp;""))="","",IF(RIGHT(UPPER(TRIM(L80&amp;"")),2)="-N",TRIM(LEFT(UPPER(TRIM(L80&amp;"")),LEN(UPPER(TRIM(L80&amp;"")))-2)),UPPER(TRIM(L80&amp;""))))</f>
        <v/>
      </c>
      <c r="R80" s="0" t="str">
        <f aca="false">IF(Q80="","",IF(ISNUMBER(O80),ROUND(O80,1),IF(AND(ISNUMBER(M80),ISNUMBER(N80)),IF(N80&gt;0,ROUND(M80/N80*100,1),""),"")))</f>
        <v/>
      </c>
      <c r="S80" s="0" t="str">
        <f aca="false">IF(Q80="","",IF(RIGHT(UPPER(TRIM(L80&amp;"")),2)="-N","비경쟁",""))</f>
        <v/>
      </c>
      <c r="T80" s="0" t="str">
        <f aca="false">IF(Q80="","",IF(COUNTIF(참가자!$A$3:$A$52,Q80)=0,"명단에 없는 코드",""))</f>
        <v/>
      </c>
    </row>
    <row r="81" customFormat="false" ht="15" hidden="false" customHeight="false" outlineLevel="0" collapsed="false">
      <c r="L81" s="8"/>
      <c r="M81" s="8"/>
      <c r="N81" s="8"/>
      <c r="O81" s="8"/>
      <c r="Q81" s="0" t="str">
        <f aca="false">IF(UPPER(TRIM(L81&amp;""))="","",IF(RIGHT(UPPER(TRIM(L81&amp;"")),2)="-N",TRIM(LEFT(UPPER(TRIM(L81&amp;"")),LEN(UPPER(TRIM(L81&amp;"")))-2)),UPPER(TRIM(L81&amp;""))))</f>
        <v/>
      </c>
      <c r="R81" s="0" t="str">
        <f aca="false">IF(Q81="","",IF(ISNUMBER(O81),ROUND(O81,1),IF(AND(ISNUMBER(M81),ISNUMBER(N81)),IF(N81&gt;0,ROUND(M81/N81*100,1),""),"")))</f>
        <v/>
      </c>
      <c r="S81" s="0" t="str">
        <f aca="false">IF(Q81="","",IF(RIGHT(UPPER(TRIM(L81&amp;"")),2)="-N","비경쟁",""))</f>
        <v/>
      </c>
      <c r="T81" s="0" t="str">
        <f aca="false">IF(Q81="","",IF(COUNTIF(참가자!$A$3:$A$52,Q81)=0,"명단에 없는 코드",""))</f>
        <v/>
      </c>
    </row>
    <row r="82" customFormat="false" ht="15" hidden="false" customHeight="false" outlineLevel="0" collapsed="false">
      <c r="L82" s="8"/>
      <c r="M82" s="8"/>
      <c r="N82" s="8"/>
      <c r="O82" s="8"/>
      <c r="Q82" s="0" t="str">
        <f aca="false">IF(UPPER(TRIM(L82&amp;""))="","",IF(RIGHT(UPPER(TRIM(L82&amp;"")),2)="-N",TRIM(LEFT(UPPER(TRIM(L82&amp;"")),LEN(UPPER(TRIM(L82&amp;"")))-2)),UPPER(TRIM(L82&amp;""))))</f>
        <v/>
      </c>
      <c r="R82" s="0" t="str">
        <f aca="false">IF(Q82="","",IF(ISNUMBER(O82),ROUND(O82,1),IF(AND(ISNUMBER(M82),ISNUMBER(N82)),IF(N82&gt;0,ROUND(M82/N82*100,1),""),"")))</f>
        <v/>
      </c>
      <c r="S82" s="0" t="str">
        <f aca="false">IF(Q82="","",IF(RIGHT(UPPER(TRIM(L82&amp;"")),2)="-N","비경쟁",""))</f>
        <v/>
      </c>
      <c r="T82" s="0" t="str">
        <f aca="false">IF(Q82="","",IF(COUNTIF(참가자!$A$3:$A$52,Q82)=0,"명단에 없는 코드",""))</f>
        <v/>
      </c>
    </row>
    <row r="83" customFormat="false" ht="15" hidden="false" customHeight="false" outlineLevel="0" collapsed="false">
      <c r="L83" s="8"/>
      <c r="M83" s="8"/>
      <c r="N83" s="8"/>
      <c r="O83" s="8"/>
      <c r="Q83" s="0" t="str">
        <f aca="false">IF(UPPER(TRIM(L83&amp;""))="","",IF(RIGHT(UPPER(TRIM(L83&amp;"")),2)="-N",TRIM(LEFT(UPPER(TRIM(L83&amp;"")),LEN(UPPER(TRIM(L83&amp;"")))-2)),UPPER(TRIM(L83&amp;""))))</f>
        <v/>
      </c>
      <c r="R83" s="0" t="str">
        <f aca="false">IF(Q83="","",IF(ISNUMBER(O83),ROUND(O83,1),IF(AND(ISNUMBER(M83),ISNUMBER(N83)),IF(N83&gt;0,ROUND(M83/N83*100,1),""),"")))</f>
        <v/>
      </c>
      <c r="S83" s="0" t="str">
        <f aca="false">IF(Q83="","",IF(RIGHT(UPPER(TRIM(L83&amp;"")),2)="-N","비경쟁",""))</f>
        <v/>
      </c>
      <c r="T83" s="0" t="str">
        <f aca="false">IF(Q83="","",IF(COUNTIF(참가자!$A$3:$A$52,Q83)=0,"명단에 없는 코드",""))</f>
        <v/>
      </c>
    </row>
    <row r="84" customFormat="false" ht="15" hidden="false" customHeight="false" outlineLevel="0" collapsed="false">
      <c r="L84" s="8"/>
      <c r="M84" s="8"/>
      <c r="N84" s="8"/>
      <c r="O84" s="8"/>
      <c r="Q84" s="0" t="str">
        <f aca="false">IF(UPPER(TRIM(L84&amp;""))="","",IF(RIGHT(UPPER(TRIM(L84&amp;"")),2)="-N",TRIM(LEFT(UPPER(TRIM(L84&amp;"")),LEN(UPPER(TRIM(L84&amp;"")))-2)),UPPER(TRIM(L84&amp;""))))</f>
        <v/>
      </c>
      <c r="R84" s="0" t="str">
        <f aca="false">IF(Q84="","",IF(ISNUMBER(O84),ROUND(O84,1),IF(AND(ISNUMBER(M84),ISNUMBER(N84)),IF(N84&gt;0,ROUND(M84/N84*100,1),""),"")))</f>
        <v/>
      </c>
      <c r="S84" s="0" t="str">
        <f aca="false">IF(Q84="","",IF(RIGHT(UPPER(TRIM(L84&amp;"")),2)="-N","비경쟁",""))</f>
        <v/>
      </c>
      <c r="T84" s="0" t="str">
        <f aca="false">IF(Q84="","",IF(COUNTIF(참가자!$A$3:$A$52,Q84)=0,"명단에 없는 코드",""))</f>
        <v/>
      </c>
    </row>
    <row r="85" customFormat="false" ht="15" hidden="false" customHeight="false" outlineLevel="0" collapsed="false">
      <c r="L85" s="8"/>
      <c r="M85" s="8"/>
      <c r="N85" s="8"/>
      <c r="O85" s="8"/>
      <c r="Q85" s="0" t="str">
        <f aca="false">IF(UPPER(TRIM(L85&amp;""))="","",IF(RIGHT(UPPER(TRIM(L85&amp;"")),2)="-N",TRIM(LEFT(UPPER(TRIM(L85&amp;"")),LEN(UPPER(TRIM(L85&amp;"")))-2)),UPPER(TRIM(L85&amp;""))))</f>
        <v/>
      </c>
      <c r="R85" s="0" t="str">
        <f aca="false">IF(Q85="","",IF(ISNUMBER(O85),ROUND(O85,1),IF(AND(ISNUMBER(M85),ISNUMBER(N85)),IF(N85&gt;0,ROUND(M85/N85*100,1),""),"")))</f>
        <v/>
      </c>
      <c r="S85" s="0" t="str">
        <f aca="false">IF(Q85="","",IF(RIGHT(UPPER(TRIM(L85&amp;"")),2)="-N","비경쟁",""))</f>
        <v/>
      </c>
      <c r="T85" s="0" t="str">
        <f aca="false">IF(Q85="","",IF(COUNTIF(참가자!$A$3:$A$52,Q85)=0,"명단에 없는 코드",""))</f>
        <v/>
      </c>
    </row>
    <row r="86" customFormat="false" ht="15" hidden="false" customHeight="false" outlineLevel="0" collapsed="false">
      <c r="L86" s="8"/>
      <c r="M86" s="8"/>
      <c r="N86" s="8"/>
      <c r="O86" s="8"/>
      <c r="Q86" s="0" t="str">
        <f aca="false">IF(UPPER(TRIM(L86&amp;""))="","",IF(RIGHT(UPPER(TRIM(L86&amp;"")),2)="-N",TRIM(LEFT(UPPER(TRIM(L86&amp;"")),LEN(UPPER(TRIM(L86&amp;"")))-2)),UPPER(TRIM(L86&amp;""))))</f>
        <v/>
      </c>
      <c r="R86" s="0" t="str">
        <f aca="false">IF(Q86="","",IF(ISNUMBER(O86),ROUND(O86,1),IF(AND(ISNUMBER(M86),ISNUMBER(N86)),IF(N86&gt;0,ROUND(M86/N86*100,1),""),"")))</f>
        <v/>
      </c>
      <c r="S86" s="0" t="str">
        <f aca="false">IF(Q86="","",IF(RIGHT(UPPER(TRIM(L86&amp;"")),2)="-N","비경쟁",""))</f>
        <v/>
      </c>
      <c r="T86" s="0" t="str">
        <f aca="false">IF(Q86="","",IF(COUNTIF(참가자!$A$3:$A$52,Q86)=0,"명단에 없는 코드",""))</f>
        <v/>
      </c>
    </row>
    <row r="87" customFormat="false" ht="15" hidden="false" customHeight="false" outlineLevel="0" collapsed="false">
      <c r="L87" s="8"/>
      <c r="M87" s="8"/>
      <c r="N87" s="8"/>
      <c r="O87" s="8"/>
      <c r="Q87" s="0" t="str">
        <f aca="false">IF(UPPER(TRIM(L87&amp;""))="","",IF(RIGHT(UPPER(TRIM(L87&amp;"")),2)="-N",TRIM(LEFT(UPPER(TRIM(L87&amp;"")),LEN(UPPER(TRIM(L87&amp;"")))-2)),UPPER(TRIM(L87&amp;""))))</f>
        <v/>
      </c>
      <c r="R87" s="0" t="str">
        <f aca="false">IF(Q87="","",IF(ISNUMBER(O87),ROUND(O87,1),IF(AND(ISNUMBER(M87),ISNUMBER(N87)),IF(N87&gt;0,ROUND(M87/N87*100,1),""),"")))</f>
        <v/>
      </c>
      <c r="S87" s="0" t="str">
        <f aca="false">IF(Q87="","",IF(RIGHT(UPPER(TRIM(L87&amp;"")),2)="-N","비경쟁",""))</f>
        <v/>
      </c>
      <c r="T87" s="0" t="str">
        <f aca="false">IF(Q87="","",IF(COUNTIF(참가자!$A$3:$A$52,Q87)=0,"명단에 없는 코드",""))</f>
        <v/>
      </c>
    </row>
    <row r="88" customFormat="false" ht="15" hidden="false" customHeight="false" outlineLevel="0" collapsed="false">
      <c r="L88" s="8"/>
      <c r="M88" s="8"/>
      <c r="N88" s="8"/>
      <c r="O88" s="8"/>
      <c r="Q88" s="0" t="str">
        <f aca="false">IF(UPPER(TRIM(L88&amp;""))="","",IF(RIGHT(UPPER(TRIM(L88&amp;"")),2)="-N",TRIM(LEFT(UPPER(TRIM(L88&amp;"")),LEN(UPPER(TRIM(L88&amp;"")))-2)),UPPER(TRIM(L88&amp;""))))</f>
        <v/>
      </c>
      <c r="R88" s="0" t="str">
        <f aca="false">IF(Q88="","",IF(ISNUMBER(O88),ROUND(O88,1),IF(AND(ISNUMBER(M88),ISNUMBER(N88)),IF(N88&gt;0,ROUND(M88/N88*100,1),""),"")))</f>
        <v/>
      </c>
      <c r="S88" s="0" t="str">
        <f aca="false">IF(Q88="","",IF(RIGHT(UPPER(TRIM(L88&amp;"")),2)="-N","비경쟁",""))</f>
        <v/>
      </c>
      <c r="T88" s="0" t="str">
        <f aca="false">IF(Q88="","",IF(COUNTIF(참가자!$A$3:$A$52,Q88)=0,"명단에 없는 코드",""))</f>
        <v/>
      </c>
    </row>
    <row r="89" customFormat="false" ht="15" hidden="false" customHeight="false" outlineLevel="0" collapsed="false">
      <c r="L89" s="8"/>
      <c r="M89" s="8"/>
      <c r="N89" s="8"/>
      <c r="O89" s="8"/>
      <c r="Q89" s="0" t="str">
        <f aca="false">IF(UPPER(TRIM(L89&amp;""))="","",IF(RIGHT(UPPER(TRIM(L89&amp;"")),2)="-N",TRIM(LEFT(UPPER(TRIM(L89&amp;"")),LEN(UPPER(TRIM(L89&amp;"")))-2)),UPPER(TRIM(L89&amp;""))))</f>
        <v/>
      </c>
      <c r="R89" s="0" t="str">
        <f aca="false">IF(Q89="","",IF(ISNUMBER(O89),ROUND(O89,1),IF(AND(ISNUMBER(M89),ISNUMBER(N89)),IF(N89&gt;0,ROUND(M89/N89*100,1),""),"")))</f>
        <v/>
      </c>
      <c r="S89" s="0" t="str">
        <f aca="false">IF(Q89="","",IF(RIGHT(UPPER(TRIM(L89&amp;"")),2)="-N","비경쟁",""))</f>
        <v/>
      </c>
      <c r="T89" s="0" t="str">
        <f aca="false">IF(Q89="","",IF(COUNTIF(참가자!$A$3:$A$52,Q89)=0,"명단에 없는 코드",""))</f>
        <v/>
      </c>
    </row>
    <row r="90" customFormat="false" ht="15" hidden="false" customHeight="false" outlineLevel="0" collapsed="false">
      <c r="L90" s="8"/>
      <c r="M90" s="8"/>
      <c r="N90" s="8"/>
      <c r="O90" s="8"/>
      <c r="Q90" s="0" t="str">
        <f aca="false">IF(UPPER(TRIM(L90&amp;""))="","",IF(RIGHT(UPPER(TRIM(L90&amp;"")),2)="-N",TRIM(LEFT(UPPER(TRIM(L90&amp;"")),LEN(UPPER(TRIM(L90&amp;"")))-2)),UPPER(TRIM(L90&amp;""))))</f>
        <v/>
      </c>
      <c r="R90" s="0" t="str">
        <f aca="false">IF(Q90="","",IF(ISNUMBER(O90),ROUND(O90,1),IF(AND(ISNUMBER(M90),ISNUMBER(N90)),IF(N90&gt;0,ROUND(M90/N90*100,1),""),"")))</f>
        <v/>
      </c>
      <c r="S90" s="0" t="str">
        <f aca="false">IF(Q90="","",IF(RIGHT(UPPER(TRIM(L90&amp;"")),2)="-N","비경쟁",""))</f>
        <v/>
      </c>
      <c r="T90" s="0" t="str">
        <f aca="false">IF(Q90="","",IF(COUNTIF(참가자!$A$3:$A$52,Q90)=0,"명단에 없는 코드",""))</f>
        <v/>
      </c>
    </row>
    <row r="91" customFormat="false" ht="15" hidden="false" customHeight="false" outlineLevel="0" collapsed="false">
      <c r="L91" s="8"/>
      <c r="M91" s="8"/>
      <c r="N91" s="8"/>
      <c r="O91" s="8"/>
      <c r="Q91" s="0" t="str">
        <f aca="false">IF(UPPER(TRIM(L91&amp;""))="","",IF(RIGHT(UPPER(TRIM(L91&amp;"")),2)="-N",TRIM(LEFT(UPPER(TRIM(L91&amp;"")),LEN(UPPER(TRIM(L91&amp;"")))-2)),UPPER(TRIM(L91&amp;""))))</f>
        <v/>
      </c>
      <c r="R91" s="0" t="str">
        <f aca="false">IF(Q91="","",IF(ISNUMBER(O91),ROUND(O91,1),IF(AND(ISNUMBER(M91),ISNUMBER(N91)),IF(N91&gt;0,ROUND(M91/N91*100,1),""),"")))</f>
        <v/>
      </c>
      <c r="S91" s="0" t="str">
        <f aca="false">IF(Q91="","",IF(RIGHT(UPPER(TRIM(L91&amp;"")),2)="-N","비경쟁",""))</f>
        <v/>
      </c>
      <c r="T91" s="0" t="str">
        <f aca="false">IF(Q91="","",IF(COUNTIF(참가자!$A$3:$A$52,Q91)=0,"명단에 없는 코드",""))</f>
        <v/>
      </c>
    </row>
    <row r="92" customFormat="false" ht="15" hidden="false" customHeight="false" outlineLevel="0" collapsed="false">
      <c r="L92" s="8"/>
      <c r="M92" s="8"/>
      <c r="N92" s="8"/>
      <c r="O92" s="8"/>
      <c r="Q92" s="0" t="str">
        <f aca="false">IF(UPPER(TRIM(L92&amp;""))="","",IF(RIGHT(UPPER(TRIM(L92&amp;"")),2)="-N",TRIM(LEFT(UPPER(TRIM(L92&amp;"")),LEN(UPPER(TRIM(L92&amp;"")))-2)),UPPER(TRIM(L92&amp;""))))</f>
        <v/>
      </c>
      <c r="R92" s="0" t="str">
        <f aca="false">IF(Q92="","",IF(ISNUMBER(O92),ROUND(O92,1),IF(AND(ISNUMBER(M92),ISNUMBER(N92)),IF(N92&gt;0,ROUND(M92/N92*100,1),""),"")))</f>
        <v/>
      </c>
      <c r="S92" s="0" t="str">
        <f aca="false">IF(Q92="","",IF(RIGHT(UPPER(TRIM(L92&amp;"")),2)="-N","비경쟁",""))</f>
        <v/>
      </c>
      <c r="T92" s="0" t="str">
        <f aca="false">IF(Q92="","",IF(COUNTIF(참가자!$A$3:$A$52,Q92)=0,"명단에 없는 코드",""))</f>
        <v/>
      </c>
    </row>
    <row r="93" customFormat="false" ht="15" hidden="false" customHeight="false" outlineLevel="0" collapsed="false">
      <c r="L93" s="8"/>
      <c r="M93" s="8"/>
      <c r="N93" s="8"/>
      <c r="O93" s="8"/>
      <c r="Q93" s="0" t="str">
        <f aca="false">IF(UPPER(TRIM(L93&amp;""))="","",IF(RIGHT(UPPER(TRIM(L93&amp;"")),2)="-N",TRIM(LEFT(UPPER(TRIM(L93&amp;"")),LEN(UPPER(TRIM(L93&amp;"")))-2)),UPPER(TRIM(L93&amp;""))))</f>
        <v/>
      </c>
      <c r="R93" s="0" t="str">
        <f aca="false">IF(Q93="","",IF(ISNUMBER(O93),ROUND(O93,1),IF(AND(ISNUMBER(M93),ISNUMBER(N93)),IF(N93&gt;0,ROUND(M93/N93*100,1),""),"")))</f>
        <v/>
      </c>
      <c r="S93" s="0" t="str">
        <f aca="false">IF(Q93="","",IF(RIGHT(UPPER(TRIM(L93&amp;"")),2)="-N","비경쟁",""))</f>
        <v/>
      </c>
      <c r="T93" s="0" t="str">
        <f aca="false">IF(Q93="","",IF(COUNTIF(참가자!$A$3:$A$52,Q93)=0,"명단에 없는 코드",""))</f>
        <v/>
      </c>
    </row>
    <row r="94" customFormat="false" ht="15" hidden="false" customHeight="false" outlineLevel="0" collapsed="false">
      <c r="L94" s="8"/>
      <c r="M94" s="8"/>
      <c r="N94" s="8"/>
      <c r="O94" s="8"/>
      <c r="Q94" s="0" t="str">
        <f aca="false">IF(UPPER(TRIM(L94&amp;""))="","",IF(RIGHT(UPPER(TRIM(L94&amp;"")),2)="-N",TRIM(LEFT(UPPER(TRIM(L94&amp;"")),LEN(UPPER(TRIM(L94&amp;"")))-2)),UPPER(TRIM(L94&amp;""))))</f>
        <v/>
      </c>
      <c r="R94" s="0" t="str">
        <f aca="false">IF(Q94="","",IF(ISNUMBER(O94),ROUND(O94,1),IF(AND(ISNUMBER(M94),ISNUMBER(N94)),IF(N94&gt;0,ROUND(M94/N94*100,1),""),"")))</f>
        <v/>
      </c>
      <c r="S94" s="0" t="str">
        <f aca="false">IF(Q94="","",IF(RIGHT(UPPER(TRIM(L94&amp;"")),2)="-N","비경쟁",""))</f>
        <v/>
      </c>
      <c r="T94" s="0" t="str">
        <f aca="false">IF(Q94="","",IF(COUNTIF(참가자!$A$3:$A$52,Q94)=0,"명단에 없는 코드",""))</f>
        <v/>
      </c>
    </row>
    <row r="95" customFormat="false" ht="15" hidden="false" customHeight="false" outlineLevel="0" collapsed="false">
      <c r="L95" s="8"/>
      <c r="M95" s="8"/>
      <c r="N95" s="8"/>
      <c r="O95" s="8"/>
      <c r="Q95" s="0" t="str">
        <f aca="false">IF(UPPER(TRIM(L95&amp;""))="","",IF(RIGHT(UPPER(TRIM(L95&amp;"")),2)="-N",TRIM(LEFT(UPPER(TRIM(L95&amp;"")),LEN(UPPER(TRIM(L95&amp;"")))-2)),UPPER(TRIM(L95&amp;""))))</f>
        <v/>
      </c>
      <c r="R95" s="0" t="str">
        <f aca="false">IF(Q95="","",IF(ISNUMBER(O95),ROUND(O95,1),IF(AND(ISNUMBER(M95),ISNUMBER(N95)),IF(N95&gt;0,ROUND(M95/N95*100,1),""),"")))</f>
        <v/>
      </c>
      <c r="S95" s="0" t="str">
        <f aca="false">IF(Q95="","",IF(RIGHT(UPPER(TRIM(L95&amp;"")),2)="-N","비경쟁",""))</f>
        <v/>
      </c>
      <c r="T95" s="0" t="str">
        <f aca="false">IF(Q95="","",IF(COUNTIF(참가자!$A$3:$A$52,Q95)=0,"명단에 없는 코드",""))</f>
        <v/>
      </c>
    </row>
    <row r="96" customFormat="false" ht="15" hidden="false" customHeight="false" outlineLevel="0" collapsed="false">
      <c r="L96" s="8"/>
      <c r="M96" s="8"/>
      <c r="N96" s="8"/>
      <c r="O96" s="8"/>
      <c r="Q96" s="0" t="str">
        <f aca="false">IF(UPPER(TRIM(L96&amp;""))="","",IF(RIGHT(UPPER(TRIM(L96&amp;"")),2)="-N",TRIM(LEFT(UPPER(TRIM(L96&amp;"")),LEN(UPPER(TRIM(L96&amp;"")))-2)),UPPER(TRIM(L96&amp;""))))</f>
        <v/>
      </c>
      <c r="R96" s="0" t="str">
        <f aca="false">IF(Q96="","",IF(ISNUMBER(O96),ROUND(O96,1),IF(AND(ISNUMBER(M96),ISNUMBER(N96)),IF(N96&gt;0,ROUND(M96/N96*100,1),""),"")))</f>
        <v/>
      </c>
      <c r="S96" s="0" t="str">
        <f aca="false">IF(Q96="","",IF(RIGHT(UPPER(TRIM(L96&amp;"")),2)="-N","비경쟁",""))</f>
        <v/>
      </c>
      <c r="T96" s="0" t="str">
        <f aca="false">IF(Q96="","",IF(COUNTIF(참가자!$A$3:$A$52,Q96)=0,"명단에 없는 코드",""))</f>
        <v/>
      </c>
    </row>
    <row r="97" customFormat="false" ht="15" hidden="false" customHeight="false" outlineLevel="0" collapsed="false">
      <c r="L97" s="8"/>
      <c r="M97" s="8"/>
      <c r="N97" s="8"/>
      <c r="O97" s="8"/>
      <c r="Q97" s="0" t="str">
        <f aca="false">IF(UPPER(TRIM(L97&amp;""))="","",IF(RIGHT(UPPER(TRIM(L97&amp;"")),2)="-N",TRIM(LEFT(UPPER(TRIM(L97&amp;"")),LEN(UPPER(TRIM(L97&amp;"")))-2)),UPPER(TRIM(L97&amp;""))))</f>
        <v/>
      </c>
      <c r="R97" s="0" t="str">
        <f aca="false">IF(Q97="","",IF(ISNUMBER(O97),ROUND(O97,1),IF(AND(ISNUMBER(M97),ISNUMBER(N97)),IF(N97&gt;0,ROUND(M97/N97*100,1),""),"")))</f>
        <v/>
      </c>
      <c r="S97" s="0" t="str">
        <f aca="false">IF(Q97="","",IF(RIGHT(UPPER(TRIM(L97&amp;"")),2)="-N","비경쟁",""))</f>
        <v/>
      </c>
      <c r="T97" s="0" t="str">
        <f aca="false">IF(Q97="","",IF(COUNTIF(참가자!$A$3:$A$52,Q97)=0,"명단에 없는 코드",""))</f>
        <v/>
      </c>
    </row>
    <row r="98" customFormat="false" ht="15" hidden="false" customHeight="false" outlineLevel="0" collapsed="false">
      <c r="L98" s="8"/>
      <c r="M98" s="8"/>
      <c r="N98" s="8"/>
      <c r="O98" s="8"/>
      <c r="Q98" s="0" t="str">
        <f aca="false">IF(UPPER(TRIM(L98&amp;""))="","",IF(RIGHT(UPPER(TRIM(L98&amp;"")),2)="-N",TRIM(LEFT(UPPER(TRIM(L98&amp;"")),LEN(UPPER(TRIM(L98&amp;"")))-2)),UPPER(TRIM(L98&amp;""))))</f>
        <v/>
      </c>
      <c r="R98" s="0" t="str">
        <f aca="false">IF(Q98="","",IF(ISNUMBER(O98),ROUND(O98,1),IF(AND(ISNUMBER(M98),ISNUMBER(N98)),IF(N98&gt;0,ROUND(M98/N98*100,1),""),"")))</f>
        <v/>
      </c>
      <c r="S98" s="0" t="str">
        <f aca="false">IF(Q98="","",IF(RIGHT(UPPER(TRIM(L98&amp;"")),2)="-N","비경쟁",""))</f>
        <v/>
      </c>
      <c r="T98" s="0" t="str">
        <f aca="false">IF(Q98="","",IF(COUNTIF(참가자!$A$3:$A$52,Q98)=0,"명단에 없는 코드",""))</f>
        <v/>
      </c>
    </row>
    <row r="99" customFormat="false" ht="15" hidden="false" customHeight="false" outlineLevel="0" collapsed="false">
      <c r="L99" s="8"/>
      <c r="M99" s="8"/>
      <c r="N99" s="8"/>
      <c r="O99" s="8"/>
      <c r="Q99" s="0" t="str">
        <f aca="false">IF(UPPER(TRIM(L99&amp;""))="","",IF(RIGHT(UPPER(TRIM(L99&amp;"")),2)="-N",TRIM(LEFT(UPPER(TRIM(L99&amp;"")),LEN(UPPER(TRIM(L99&amp;"")))-2)),UPPER(TRIM(L99&amp;""))))</f>
        <v/>
      </c>
      <c r="R99" s="0" t="str">
        <f aca="false">IF(Q99="","",IF(ISNUMBER(O99),ROUND(O99,1),IF(AND(ISNUMBER(M99),ISNUMBER(N99)),IF(N99&gt;0,ROUND(M99/N99*100,1),""),"")))</f>
        <v/>
      </c>
      <c r="S99" s="0" t="str">
        <f aca="false">IF(Q99="","",IF(RIGHT(UPPER(TRIM(L99&amp;"")),2)="-N","비경쟁",""))</f>
        <v/>
      </c>
      <c r="T99" s="0" t="str">
        <f aca="false">IF(Q99="","",IF(COUNTIF(참가자!$A$3:$A$52,Q99)=0,"명단에 없는 코드",""))</f>
        <v/>
      </c>
    </row>
    <row r="100" customFormat="false" ht="15" hidden="false" customHeight="false" outlineLevel="0" collapsed="false">
      <c r="L100" s="8"/>
      <c r="M100" s="8"/>
      <c r="N100" s="8"/>
      <c r="O100" s="8"/>
      <c r="Q100" s="0" t="str">
        <f aca="false">IF(UPPER(TRIM(L100&amp;""))="","",IF(RIGHT(UPPER(TRIM(L100&amp;"")),2)="-N",TRIM(LEFT(UPPER(TRIM(L100&amp;"")),LEN(UPPER(TRIM(L100&amp;"")))-2)),UPPER(TRIM(L100&amp;""))))</f>
        <v/>
      </c>
      <c r="R100" s="0" t="str">
        <f aca="false">IF(Q100="","",IF(ISNUMBER(O100),ROUND(O100,1),IF(AND(ISNUMBER(M100),ISNUMBER(N100)),IF(N100&gt;0,ROUND(M100/N100*100,1),""),"")))</f>
        <v/>
      </c>
      <c r="S100" s="0" t="str">
        <f aca="false">IF(Q100="","",IF(RIGHT(UPPER(TRIM(L100&amp;"")),2)="-N","비경쟁",""))</f>
        <v/>
      </c>
      <c r="T100" s="0" t="str">
        <f aca="false">IF(Q100="","",IF(COUNTIF(참가자!$A$3:$A$52,Q100)=0,"명단에 없는 코드",""))</f>
        <v/>
      </c>
    </row>
    <row r="101" customFormat="false" ht="15" hidden="false" customHeight="false" outlineLevel="0" collapsed="false">
      <c r="L101" s="8"/>
      <c r="M101" s="8"/>
      <c r="N101" s="8"/>
      <c r="O101" s="8"/>
      <c r="Q101" s="0" t="str">
        <f aca="false">IF(UPPER(TRIM(L101&amp;""))="","",IF(RIGHT(UPPER(TRIM(L101&amp;"")),2)="-N",TRIM(LEFT(UPPER(TRIM(L101&amp;"")),LEN(UPPER(TRIM(L101&amp;"")))-2)),UPPER(TRIM(L101&amp;""))))</f>
        <v/>
      </c>
      <c r="R101" s="0" t="str">
        <f aca="false">IF(Q101="","",IF(ISNUMBER(O101),ROUND(O101,1),IF(AND(ISNUMBER(M101),ISNUMBER(N101)),IF(N101&gt;0,ROUND(M101/N101*100,1),""),"")))</f>
        <v/>
      </c>
      <c r="S101" s="0" t="str">
        <f aca="false">IF(Q101="","",IF(RIGHT(UPPER(TRIM(L101&amp;"")),2)="-N","비경쟁",""))</f>
        <v/>
      </c>
      <c r="T101" s="0" t="str">
        <f aca="false">IF(Q101="","",IF(COUNTIF(참가자!$A$3:$A$52,Q101)=0,"명단에 없는 코드",""))</f>
        <v/>
      </c>
    </row>
    <row r="102" customFormat="false" ht="15" hidden="false" customHeight="false" outlineLevel="0" collapsed="false">
      <c r="L102" s="8"/>
      <c r="M102" s="8"/>
      <c r="N102" s="8"/>
      <c r="O102" s="8"/>
      <c r="Q102" s="0" t="str">
        <f aca="false">IF(UPPER(TRIM(L102&amp;""))="","",IF(RIGHT(UPPER(TRIM(L102&amp;"")),2)="-N",TRIM(LEFT(UPPER(TRIM(L102&amp;"")),LEN(UPPER(TRIM(L102&amp;"")))-2)),UPPER(TRIM(L102&amp;""))))</f>
        <v/>
      </c>
      <c r="R102" s="0" t="str">
        <f aca="false">IF(Q102="","",IF(ISNUMBER(O102),ROUND(O102,1),IF(AND(ISNUMBER(M102),ISNUMBER(N102)),IF(N102&gt;0,ROUND(M102/N102*100,1),""),"")))</f>
        <v/>
      </c>
      <c r="S102" s="0" t="str">
        <f aca="false">IF(Q102="","",IF(RIGHT(UPPER(TRIM(L102&amp;"")),2)="-N","비경쟁",""))</f>
        <v/>
      </c>
      <c r="T102" s="0" t="str">
        <f aca="false">IF(Q102="","",IF(COUNTIF(참가자!$A$3:$A$52,Q102)=0,"명단에 없는 코드",""))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7" min="4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3"/>
    <col collapsed="false" customWidth="true" hidden="false" outlineLevel="0" max="12" min="12" style="0" width="12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4" t="s">
        <v>35</v>
      </c>
      <c r="L1" s="1" t="s">
        <v>21</v>
      </c>
    </row>
    <row r="2" customFormat="false" ht="28.35" hidden="false" customHeight="false" outlineLevel="0" collapsed="false">
      <c r="A2" s="5" t="s">
        <v>1</v>
      </c>
      <c r="B2" s="5" t="s">
        <v>2</v>
      </c>
      <c r="C2" s="5" t="s">
        <v>22</v>
      </c>
      <c r="D2" s="5" t="s">
        <v>23</v>
      </c>
      <c r="E2" s="5" t="s">
        <v>24</v>
      </c>
      <c r="F2" s="5" t="s">
        <v>32</v>
      </c>
      <c r="G2" s="5" t="s">
        <v>36</v>
      </c>
      <c r="H2" s="5" t="s">
        <v>37</v>
      </c>
      <c r="I2" s="5" t="s">
        <v>38</v>
      </c>
      <c r="J2" s="5" t="s">
        <v>39</v>
      </c>
      <c r="L2" s="6" t="s">
        <v>1</v>
      </c>
      <c r="M2" s="6" t="s">
        <v>25</v>
      </c>
      <c r="N2" s="6" t="s">
        <v>26</v>
      </c>
      <c r="O2" s="6" t="s">
        <v>22</v>
      </c>
      <c r="Q2" s="2" t="s">
        <v>27</v>
      </c>
      <c r="R2" s="2" t="s">
        <v>28</v>
      </c>
      <c r="S2" s="2" t="s">
        <v>29</v>
      </c>
      <c r="T2" s="2" t="s">
        <v>30</v>
      </c>
    </row>
    <row r="3" customFormat="false" ht="15" hidden="false" customHeight="false" outlineLevel="0" collapsed="false">
      <c r="A3" s="7" t="str">
        <f aca="false">IF(참가자!A3="","",UPPER(TRIM(참가자!A3)))</f>
        <v>K7QM</v>
      </c>
      <c r="B3" s="7" t="str">
        <f aca="false">IF(A3="","",IF(참가자!B3="","(팀 없음)",TRIM(참가자!B3)))</f>
        <v>1팀</v>
      </c>
      <c r="C3" s="7" t="n">
        <f aca="false">IF(A3="","",IFERROR(INDEX($R$3:$R$102,MATCH(A3,$Q$3:$Q$102,0)),""))</f>
        <v>75</v>
      </c>
      <c r="D3" s="7" t="str">
        <f aca="false">IF(A3="","",IF(C3="","결석",IF(IFERROR(INDEX($S$3:$S$102,MATCH(A3,$Q$3:$Q$102,0)),"")="비경쟁","비경쟁 응시","응시")))</f>
        <v>응시</v>
      </c>
      <c r="E3" s="7" t="str">
        <f aca="false">IF(A3="","",IF(COUNTIF($Q$3:$Q$102,A3)&gt;1,"중복! 확인",""))</f>
        <v/>
      </c>
      <c r="F3" s="7" t="n">
        <f aca="false">IF(A3="","",평가A!F3)</f>
        <v>50</v>
      </c>
      <c r="G3" s="7" t="n">
        <f aca="false">IF(A3="","",IF(OR(C3="",F3=""),"",ROUND(C3-F3,1)))</f>
        <v>25</v>
      </c>
      <c r="H3" s="7" t="n">
        <f aca="false">IF(A3="","",IF(C3="","",IF(C3&gt;=HIGH_CUT,PTS_HIGH,IF(F3="","",IF(G3&gt;=STEP2,PTS_HIGH,IF(G3&gt;=STEP1,PTS_MID,PTS_LOW))))))</f>
        <v>20</v>
      </c>
      <c r="I3" s="7" t="n">
        <f aca="false">IF(A3="","",IF(AND(D3="응시",ISNUMBER(H3)),H3,""))</f>
        <v>20</v>
      </c>
      <c r="J3" s="7" t="str">
        <f aca="false">IF(A3="","",IF(C3="","결석 - 기록 없음",IF(C3&gt;=HIGH_CUT,"높은 점수 유지",IF(F3="","기준점수 없음",IF(G3&gt;=STEP2,"향상",IF(G3&gt;=STEP1,"유지","이번에는 내려감"))))&amp;IF(D3="비경쟁 응시"," / 비경쟁: 팀 점수 제외","")))</f>
        <v>향상</v>
      </c>
      <c r="L3" s="8" t="s">
        <v>40</v>
      </c>
      <c r="M3" s="8" t="n">
        <v>6</v>
      </c>
      <c r="N3" s="8" t="n">
        <v>8</v>
      </c>
      <c r="O3" s="8"/>
      <c r="Q3" s="0" t="str">
        <f aca="false">IF(UPPER(TRIM(L3&amp;""))="","",IF(RIGHT(UPPER(TRIM(L3&amp;"")),2)="-N",TRIM(LEFT(UPPER(TRIM(L3&amp;"")),LEN(UPPER(TRIM(L3&amp;"")))-2)),UPPER(TRIM(L3&amp;""))))</f>
        <v>K7QM</v>
      </c>
      <c r="R3" s="9" t="n">
        <f aca="false">IF(Q3="","",IF(ISNUMBER(O3),ROUND(O3,1),IF(AND(ISNUMBER(M3),ISNUMBER(N3)),IF(N3&gt;0,ROUND(M3/N3*100,1),""),"")))</f>
        <v>75</v>
      </c>
      <c r="S3" s="0" t="str">
        <f aca="false">IF(Q3="","",IF(RIGHT(UPPER(TRIM(L3&amp;"")),2)="-N","비경쟁",""))</f>
        <v/>
      </c>
      <c r="T3" s="0" t="str">
        <f aca="false">IF(Q3="","",IF(COUNTIF(참가자!$A$3:$A$52,Q3)=0,"명단에 없는 코드",""))</f>
        <v/>
      </c>
    </row>
    <row r="4" customFormat="false" ht="15" hidden="false" customHeight="false" outlineLevel="0" collapsed="false">
      <c r="A4" s="7" t="str">
        <f aca="false">IF(참가자!A4="","",UPPER(TRIM(참가자!A4)))</f>
        <v>R4XT</v>
      </c>
      <c r="B4" s="7" t="str">
        <f aca="false">IF(A4="","",IF(참가자!B4="","(팀 없음)",TRIM(참가자!B4)))</f>
        <v>1팀</v>
      </c>
      <c r="C4" s="7" t="n">
        <f aca="false">IF(A4="","",IFERROR(INDEX($R$3:$R$102,MATCH(A4,$Q$3:$Q$102,0)),""))</f>
        <v>75</v>
      </c>
      <c r="D4" s="7" t="str">
        <f aca="false">IF(A4="","",IF(C4="","결석",IF(IFERROR(INDEX($S$3:$S$102,MATCH(A4,$Q$3:$Q$102,0)),"")="비경쟁","비경쟁 응시","응시")))</f>
        <v>응시</v>
      </c>
      <c r="E4" s="7" t="str">
        <f aca="false">IF(A4="","",IF(COUNTIF($Q$3:$Q$102,A4)&gt;1,"중복! 확인",""))</f>
        <v/>
      </c>
      <c r="F4" s="7" t="n">
        <f aca="false">IF(A4="","",평가A!F4)</f>
        <v>87.5</v>
      </c>
      <c r="G4" s="7" t="n">
        <f aca="false">IF(A4="","",IF(OR(C4="",F4=""),"",ROUND(C4-F4,1)))</f>
        <v>-12.5</v>
      </c>
      <c r="H4" s="7" t="n">
        <f aca="false">IF(A4="","",IF(C4="","",IF(C4&gt;=HIGH_CUT,PTS_HIGH,IF(F4="","",IF(G4&gt;=STEP2,PTS_HIGH,IF(G4&gt;=STEP1,PTS_MID,PTS_LOW))))))</f>
        <v>10</v>
      </c>
      <c r="I4" s="7" t="n">
        <f aca="false">IF(A4="","",IF(AND(D4="응시",ISNUMBER(H4)),H4,""))</f>
        <v>10</v>
      </c>
      <c r="J4" s="7" t="str">
        <f aca="false">IF(A4="","",IF(C4="","결석 - 기록 없음",IF(C4&gt;=HIGH_CUT,"높은 점수 유지",IF(F4="","기준점수 없음",IF(G4&gt;=STEP2,"향상",IF(G4&gt;=STEP1,"유지","이번에는 내려감"))))&amp;IF(D4="비경쟁 응시"," / 비경쟁: 팀 점수 제외","")))</f>
        <v>유지</v>
      </c>
      <c r="L4" s="8" t="s">
        <v>6</v>
      </c>
      <c r="M4" s="8" t="n">
        <v>6</v>
      </c>
      <c r="N4" s="8" t="n">
        <v>8</v>
      </c>
      <c r="O4" s="8"/>
      <c r="Q4" s="0" t="str">
        <f aca="false">IF(UPPER(TRIM(L4&amp;""))="","",IF(RIGHT(UPPER(TRIM(L4&amp;"")),2)="-N",TRIM(LEFT(UPPER(TRIM(L4&amp;"")),LEN(UPPER(TRIM(L4&amp;"")))-2)),UPPER(TRIM(L4&amp;""))))</f>
        <v>R4XT</v>
      </c>
      <c r="R4" s="9" t="n">
        <f aca="false">IF(Q4="","",IF(ISNUMBER(O4),ROUND(O4,1),IF(AND(ISNUMBER(M4),ISNUMBER(N4)),IF(N4&gt;0,ROUND(M4/N4*100,1),""),"")))</f>
        <v>75</v>
      </c>
      <c r="S4" s="0" t="str">
        <f aca="false">IF(Q4="","",IF(RIGHT(UPPER(TRIM(L4&amp;"")),2)="-N","비경쟁",""))</f>
        <v/>
      </c>
      <c r="T4" s="0" t="str">
        <f aca="false">IF(Q4="","",IF(COUNTIF(참가자!$A$3:$A$52,Q4)=0,"명단에 없는 코드",""))</f>
        <v/>
      </c>
    </row>
    <row r="5" customFormat="false" ht="15" hidden="false" customHeight="false" outlineLevel="0" collapsed="false">
      <c r="A5" s="7" t="str">
        <f aca="false">IF(참가자!A5="","",UPPER(TRIM(참가자!A5)))</f>
        <v>H9WC</v>
      </c>
      <c r="B5" s="7" t="str">
        <f aca="false">IF(A5="","",IF(참가자!B5="","(팀 없음)",TRIM(참가자!B5)))</f>
        <v>1팀</v>
      </c>
      <c r="C5" s="7" t="n">
        <f aca="false">IF(A5="","",IFERROR(INDEX($R$3:$R$102,MATCH(A5,$Q$3:$Q$102,0)),""))</f>
        <v>37.5</v>
      </c>
      <c r="D5" s="7" t="str">
        <f aca="false">IF(A5="","",IF(C5="","결석",IF(IFERROR(INDEX($S$3:$S$102,MATCH(A5,$Q$3:$Q$102,0)),"")="비경쟁","비경쟁 응시","응시")))</f>
        <v>응시</v>
      </c>
      <c r="E5" s="7" t="str">
        <f aca="false">IF(A5="","",IF(COUNTIF($Q$3:$Q$102,A5)&gt;1,"중복! 확인",""))</f>
        <v/>
      </c>
      <c r="F5" s="7" t="n">
        <f aca="false">IF(A5="","",평가A!F5)</f>
        <v>37.5</v>
      </c>
      <c r="G5" s="7" t="n">
        <f aca="false">IF(A5="","",IF(OR(C5="",F5=""),"",ROUND(C5-F5,1)))</f>
        <v>0</v>
      </c>
      <c r="H5" s="7" t="n">
        <f aca="false">IF(A5="","",IF(C5="","",IF(C5&gt;=HIGH_CUT,PTS_HIGH,IF(F5="","",IF(G5&gt;=STEP2,PTS_HIGH,IF(G5&gt;=STEP1,PTS_MID,PTS_LOW))))))</f>
        <v>10</v>
      </c>
      <c r="I5" s="7" t="n">
        <f aca="false">IF(A5="","",IF(AND(D5="응시",ISNUMBER(H5)),H5,""))</f>
        <v>10</v>
      </c>
      <c r="J5" s="7" t="str">
        <f aca="false">IF(A5="","",IF(C5="","결석 - 기록 없음",IF(C5&gt;=HIGH_CUT,"높은 점수 유지",IF(F5="","기준점수 없음",IF(G5&gt;=STEP2,"향상",IF(G5&gt;=STEP1,"유지","이번에는 내려감"))))&amp;IF(D5="비경쟁 응시"," / 비경쟁: 팀 점수 제외","")))</f>
        <v>유지</v>
      </c>
      <c r="L5" s="8" t="s">
        <v>7</v>
      </c>
      <c r="M5" s="8" t="n">
        <v>3</v>
      </c>
      <c r="N5" s="8" t="n">
        <v>8</v>
      </c>
      <c r="O5" s="8"/>
      <c r="Q5" s="0" t="str">
        <f aca="false">IF(UPPER(TRIM(L5&amp;""))="","",IF(RIGHT(UPPER(TRIM(L5&amp;"")),2)="-N",TRIM(LEFT(UPPER(TRIM(L5&amp;"")),LEN(UPPER(TRIM(L5&amp;"")))-2)),UPPER(TRIM(L5&amp;""))))</f>
        <v>H9WC</v>
      </c>
      <c r="R5" s="9" t="n">
        <f aca="false">IF(Q5="","",IF(ISNUMBER(O5),ROUND(O5,1),IF(AND(ISNUMBER(M5),ISNUMBER(N5)),IF(N5&gt;0,ROUND(M5/N5*100,1),""),"")))</f>
        <v>37.5</v>
      </c>
      <c r="S5" s="0" t="str">
        <f aca="false">IF(Q5="","",IF(RIGHT(UPPER(TRIM(L5&amp;"")),2)="-N","비경쟁",""))</f>
        <v/>
      </c>
      <c r="T5" s="0" t="str">
        <f aca="false">IF(Q5="","",IF(COUNTIF(참가자!$A$3:$A$52,Q5)=0,"명단에 없는 코드",""))</f>
        <v/>
      </c>
    </row>
    <row r="6" customFormat="false" ht="15" hidden="false" customHeight="false" outlineLevel="0" collapsed="false">
      <c r="A6" s="7" t="str">
        <f aca="false">IF(참가자!A6="","",UPPER(TRIM(참가자!A6)))</f>
        <v>B3NV</v>
      </c>
      <c r="B6" s="7" t="str">
        <f aca="false">IF(A6="","",IF(참가자!B6="","(팀 없음)",TRIM(참가자!B6)))</f>
        <v>2팀</v>
      </c>
      <c r="C6" s="7" t="n">
        <f aca="false">IF(A6="","",IFERROR(INDEX($R$3:$R$102,MATCH(A6,$Q$3:$Q$102,0)),""))</f>
        <v>50</v>
      </c>
      <c r="D6" s="7" t="str">
        <f aca="false">IF(A6="","",IF(C6="","결석",IF(IFERROR(INDEX($S$3:$S$102,MATCH(A6,$Q$3:$Q$102,0)),"")="비경쟁","비경쟁 응시","응시")))</f>
        <v>응시</v>
      </c>
      <c r="E6" s="7" t="str">
        <f aca="false">IF(A6="","",IF(COUNTIF($Q$3:$Q$102,A6)&gt;1,"중복! 확인",""))</f>
        <v/>
      </c>
      <c r="F6" s="7" t="n">
        <f aca="false">IF(A6="","",평가A!F6)</f>
        <v>75</v>
      </c>
      <c r="G6" s="7" t="n">
        <f aca="false">IF(A6="","",IF(OR(C6="",F6=""),"",ROUND(C6-F6,1)))</f>
        <v>-25</v>
      </c>
      <c r="H6" s="7" t="n">
        <f aca="false">IF(A6="","",IF(C6="","",IF(C6&gt;=HIGH_CUT,PTS_HIGH,IF(F6="","",IF(G6&gt;=STEP2,PTS_HIGH,IF(G6&gt;=STEP1,PTS_MID,PTS_LOW))))))</f>
        <v>0</v>
      </c>
      <c r="I6" s="7" t="n">
        <f aca="false">IF(A6="","",IF(AND(D6="응시",ISNUMBER(H6)),H6,""))</f>
        <v>0</v>
      </c>
      <c r="J6" s="7" t="str">
        <f aca="false">IF(A6="","",IF(C6="","결석 - 기록 없음",IF(C6&gt;=HIGH_CUT,"높은 점수 유지",IF(F6="","기준점수 없음",IF(G6&gt;=STEP2,"향상",IF(G6&gt;=STEP1,"유지","이번에는 내려감"))))&amp;IF(D6="비경쟁 응시"," / 비경쟁: 팀 점수 제외","")))</f>
        <v>이번에는 내려감</v>
      </c>
      <c r="L6" s="8" t="s">
        <v>8</v>
      </c>
      <c r="M6" s="8" t="n">
        <v>4</v>
      </c>
      <c r="N6" s="8" t="n">
        <v>8</v>
      </c>
      <c r="O6" s="8"/>
      <c r="Q6" s="0" t="str">
        <f aca="false">IF(UPPER(TRIM(L6&amp;""))="","",IF(RIGHT(UPPER(TRIM(L6&amp;"")),2)="-N",TRIM(LEFT(UPPER(TRIM(L6&amp;"")),LEN(UPPER(TRIM(L6&amp;"")))-2)),UPPER(TRIM(L6&amp;""))))</f>
        <v>B3NV</v>
      </c>
      <c r="R6" s="9" t="n">
        <f aca="false">IF(Q6="","",IF(ISNUMBER(O6),ROUND(O6,1),IF(AND(ISNUMBER(M6),ISNUMBER(N6)),IF(N6&gt;0,ROUND(M6/N6*100,1),""),"")))</f>
        <v>50</v>
      </c>
      <c r="S6" s="0" t="str">
        <f aca="false">IF(Q6="","",IF(RIGHT(UPPER(TRIM(L6&amp;"")),2)="-N","비경쟁",""))</f>
        <v/>
      </c>
      <c r="T6" s="0" t="str">
        <f aca="false">IF(Q6="","",IF(COUNTIF(참가자!$A$3:$A$52,Q6)=0,"명단에 없는 코드",""))</f>
        <v/>
      </c>
    </row>
    <row r="7" customFormat="false" ht="15" hidden="false" customHeight="false" outlineLevel="0" collapsed="false">
      <c r="A7" s="7" t="str">
        <f aca="false">IF(참가자!A7="","",UPPER(TRIM(참가자!A7)))</f>
        <v>Z8LD</v>
      </c>
      <c r="B7" s="7" t="str">
        <f aca="false">IF(A7="","",IF(참가자!B7="","(팀 없음)",TRIM(참가자!B7)))</f>
        <v>2팀</v>
      </c>
      <c r="C7" s="7" t="n">
        <f aca="false">IF(A7="","",IFERROR(INDEX($R$3:$R$102,MATCH(A7,$Q$3:$Q$102,0)),""))</f>
        <v>75</v>
      </c>
      <c r="D7" s="7" t="str">
        <f aca="false">IF(A7="","",IF(C7="","결석",IF(IFERROR(INDEX($S$3:$S$102,MATCH(A7,$Q$3:$Q$102,0)),"")="비경쟁","비경쟁 응시","응시")))</f>
        <v>응시</v>
      </c>
      <c r="E7" s="7" t="str">
        <f aca="false">IF(A7="","",IF(COUNTIF($Q$3:$Q$102,A7)&gt;1,"중복! 확인",""))</f>
        <v/>
      </c>
      <c r="F7" s="7" t="n">
        <f aca="false">IF(A7="","",평가A!F7)</f>
        <v>58.3</v>
      </c>
      <c r="G7" s="7" t="n">
        <f aca="false">IF(A7="","",IF(OR(C7="",F7=""),"",ROUND(C7-F7,1)))</f>
        <v>16.7</v>
      </c>
      <c r="H7" s="7" t="n">
        <f aca="false">IF(A7="","",IF(C7="","",IF(C7&gt;=HIGH_CUT,PTS_HIGH,IF(F7="","",IF(G7&gt;=STEP2,PTS_HIGH,IF(G7&gt;=STEP1,PTS_MID,PTS_LOW))))))</f>
        <v>10</v>
      </c>
      <c r="I7" s="7" t="n">
        <f aca="false">IF(A7="","",IF(AND(D7="응시",ISNUMBER(H7)),H7,""))</f>
        <v>10</v>
      </c>
      <c r="J7" s="7" t="str">
        <f aca="false">IF(A7="","",IF(C7="","결석 - 기록 없음",IF(C7&gt;=HIGH_CUT,"높은 점수 유지",IF(F7="","기준점수 없음",IF(G7&gt;=STEP2,"향상",IF(G7&gt;=STEP1,"유지","이번에는 내려감"))))&amp;IF(D7="비경쟁 응시"," / 비경쟁: 팀 점수 제외","")))</f>
        <v>유지</v>
      </c>
      <c r="L7" s="8" t="s">
        <v>10</v>
      </c>
      <c r="M7" s="8" t="n">
        <v>6</v>
      </c>
      <c r="N7" s="8" t="n">
        <v>8</v>
      </c>
      <c r="O7" s="8"/>
      <c r="Q7" s="0" t="str">
        <f aca="false">IF(UPPER(TRIM(L7&amp;""))="","",IF(RIGHT(UPPER(TRIM(L7&amp;"")),2)="-N",TRIM(LEFT(UPPER(TRIM(L7&amp;"")),LEN(UPPER(TRIM(L7&amp;"")))-2)),UPPER(TRIM(L7&amp;""))))</f>
        <v>Z8LD</v>
      </c>
      <c r="R7" s="9" t="n">
        <f aca="false">IF(Q7="","",IF(ISNUMBER(O7),ROUND(O7,1),IF(AND(ISNUMBER(M7),ISNUMBER(N7)),IF(N7&gt;0,ROUND(M7/N7*100,1),""),"")))</f>
        <v>75</v>
      </c>
      <c r="S7" s="0" t="str">
        <f aca="false">IF(Q7="","",IF(RIGHT(UPPER(TRIM(L7&amp;"")),2)="-N","비경쟁",""))</f>
        <v/>
      </c>
      <c r="T7" s="0" t="str">
        <f aca="false">IF(Q7="","",IF(COUNTIF(참가자!$A$3:$A$52,Q7)=0,"명단에 없는 코드",""))</f>
        <v/>
      </c>
    </row>
    <row r="8" customFormat="false" ht="15" hidden="false" customHeight="false" outlineLevel="0" collapsed="false">
      <c r="A8" s="7" t="str">
        <f aca="false">IF(참가자!A8="","",UPPER(TRIM(참가자!A8)))</f>
        <v>M2PF</v>
      </c>
      <c r="B8" s="7" t="str">
        <f aca="false">IF(A8="","",IF(참가자!B8="","(팀 없음)",TRIM(참가자!B8)))</f>
        <v>2팀</v>
      </c>
      <c r="C8" s="7" t="n">
        <f aca="false">IF(A8="","",IFERROR(INDEX($R$3:$R$102,MATCH(A8,$Q$3:$Q$102,0)),""))</f>
        <v>87.5</v>
      </c>
      <c r="D8" s="7" t="str">
        <f aca="false">IF(A8="","",IF(C8="","결석",IF(IFERROR(INDEX($S$3:$S$102,MATCH(A8,$Q$3:$Q$102,0)),"")="비경쟁","비경쟁 응시","응시")))</f>
        <v>응시</v>
      </c>
      <c r="E8" s="7" t="str">
        <f aca="false">IF(A8="","",IF(COUNTIF($Q$3:$Q$102,A8)&gt;1,"중복! 확인",""))</f>
        <v/>
      </c>
      <c r="F8" s="7" t="n">
        <f aca="false">IF(A8="","",평가A!F8)</f>
        <v>62.5</v>
      </c>
      <c r="G8" s="7" t="n">
        <f aca="false">IF(A8="","",IF(OR(C8="",F8=""),"",ROUND(C8-F8,1)))</f>
        <v>25</v>
      </c>
      <c r="H8" s="7" t="n">
        <f aca="false">IF(A8="","",IF(C8="","",IF(C8&gt;=HIGH_CUT,PTS_HIGH,IF(F8="","",IF(G8&gt;=STEP2,PTS_HIGH,IF(G8&gt;=STEP1,PTS_MID,PTS_LOW))))))</f>
        <v>20</v>
      </c>
      <c r="I8" s="7" t="n">
        <f aca="false">IF(A8="","",IF(AND(D8="응시",ISNUMBER(H8)),H8,""))</f>
        <v>20</v>
      </c>
      <c r="J8" s="7" t="str">
        <f aca="false">IF(A8="","",IF(C8="","결석 - 기록 없음",IF(C8&gt;=HIGH_CUT,"높은 점수 유지",IF(F8="","기준점수 없음",IF(G8&gt;=STEP2,"향상",IF(G8&gt;=STEP1,"유지","이번에는 내려감"))))&amp;IF(D8="비경쟁 응시"," / 비경쟁: 팀 점수 제외","")))</f>
        <v>높은 점수 유지</v>
      </c>
      <c r="L8" s="8" t="s">
        <v>11</v>
      </c>
      <c r="M8" s="8" t="n">
        <v>7</v>
      </c>
      <c r="N8" s="8" t="n">
        <v>8</v>
      </c>
      <c r="O8" s="8"/>
      <c r="Q8" s="0" t="str">
        <f aca="false">IF(UPPER(TRIM(L8&amp;""))="","",IF(RIGHT(UPPER(TRIM(L8&amp;"")),2)="-N",TRIM(LEFT(UPPER(TRIM(L8&amp;"")),LEN(UPPER(TRIM(L8&amp;"")))-2)),UPPER(TRIM(L8&amp;""))))</f>
        <v>M2PF</v>
      </c>
      <c r="R8" s="9" t="n">
        <f aca="false">IF(Q8="","",IF(ISNUMBER(O8),ROUND(O8,1),IF(AND(ISNUMBER(M8),ISNUMBER(N8)),IF(N8&gt;0,ROUND(M8/N8*100,1),""),"")))</f>
        <v>87.5</v>
      </c>
      <c r="S8" s="0" t="str">
        <f aca="false">IF(Q8="","",IF(RIGHT(UPPER(TRIM(L8&amp;"")),2)="-N","비경쟁",""))</f>
        <v/>
      </c>
      <c r="T8" s="0" t="str">
        <f aca="false">IF(Q8="","",IF(COUNTIF(참가자!$A$3:$A$52,Q8)=0,"명단에 없는 코드",""))</f>
        <v/>
      </c>
    </row>
    <row r="9" customFormat="false" ht="15" hidden="false" customHeight="false" outlineLevel="0" collapsed="false">
      <c r="A9" s="7" t="str">
        <f aca="false">IF(참가자!A9="","",UPPER(TRIM(참가자!A9)))</f>
        <v>T6YH</v>
      </c>
      <c r="B9" s="7" t="str">
        <f aca="false">IF(A9="","",IF(참가자!B9="","(팀 없음)",TRIM(참가자!B9)))</f>
        <v>3팀</v>
      </c>
      <c r="C9" s="7" t="n">
        <f aca="false">IF(A9="","",IFERROR(INDEX($R$3:$R$102,MATCH(A9,$Q$3:$Q$102,0)),""))</f>
        <v>62.5</v>
      </c>
      <c r="D9" s="7" t="str">
        <f aca="false">IF(A9="","",IF(C9="","결석",IF(IFERROR(INDEX($S$3:$S$102,MATCH(A9,$Q$3:$Q$102,0)),"")="비경쟁","비경쟁 응시","응시")))</f>
        <v>응시</v>
      </c>
      <c r="E9" s="7" t="str">
        <f aca="false">IF(A9="","",IF(COUNTIF($Q$3:$Q$102,A9)&gt;1,"중복! 확인",""))</f>
        <v/>
      </c>
      <c r="F9" s="7" t="n">
        <f aca="false">IF(A9="","",평가A!F9)</f>
        <v>45.9</v>
      </c>
      <c r="G9" s="7" t="n">
        <f aca="false">IF(A9="","",IF(OR(C9="",F9=""),"",ROUND(C9-F9,1)))</f>
        <v>16.6</v>
      </c>
      <c r="H9" s="7" t="n">
        <f aca="false">IF(A9="","",IF(C9="","",IF(C9&gt;=HIGH_CUT,PTS_HIGH,IF(F9="","",IF(G9&gt;=STEP2,PTS_HIGH,IF(G9&gt;=STEP1,PTS_MID,PTS_LOW))))))</f>
        <v>10</v>
      </c>
      <c r="I9" s="7" t="n">
        <f aca="false">IF(A9="","",IF(AND(D9="응시",ISNUMBER(H9)),H9,""))</f>
        <v>10</v>
      </c>
      <c r="J9" s="7" t="str">
        <f aca="false">IF(A9="","",IF(C9="","결석 - 기록 없음",IF(C9&gt;=HIGH_CUT,"높은 점수 유지",IF(F9="","기준점수 없음",IF(G9&gt;=STEP2,"향상",IF(G9&gt;=STEP1,"유지","이번에는 내려감"))))&amp;IF(D9="비경쟁 응시"," / 비경쟁: 팀 점수 제외","")))</f>
        <v>유지</v>
      </c>
      <c r="L9" s="8" t="s">
        <v>12</v>
      </c>
      <c r="M9" s="8" t="n">
        <v>5</v>
      </c>
      <c r="N9" s="8" t="n">
        <v>8</v>
      </c>
      <c r="O9" s="8"/>
      <c r="Q9" s="0" t="str">
        <f aca="false">IF(UPPER(TRIM(L9&amp;""))="","",IF(RIGHT(UPPER(TRIM(L9&amp;"")),2)="-N",TRIM(LEFT(UPPER(TRIM(L9&amp;"")),LEN(UPPER(TRIM(L9&amp;"")))-2)),UPPER(TRIM(L9&amp;""))))</f>
        <v>T6YH</v>
      </c>
      <c r="R9" s="9" t="n">
        <f aca="false">IF(Q9="","",IF(ISNUMBER(O9),ROUND(O9,1),IF(AND(ISNUMBER(M9),ISNUMBER(N9)),IF(N9&gt;0,ROUND(M9/N9*100,1),""),"")))</f>
        <v>62.5</v>
      </c>
      <c r="S9" s="0" t="str">
        <f aca="false">IF(Q9="","",IF(RIGHT(UPPER(TRIM(L9&amp;"")),2)="-N","비경쟁",""))</f>
        <v/>
      </c>
      <c r="T9" s="0" t="str">
        <f aca="false">IF(Q9="","",IF(COUNTIF(참가자!$A$3:$A$52,Q9)=0,"명단에 없는 코드",""))</f>
        <v/>
      </c>
    </row>
    <row r="10" customFormat="false" ht="15" hidden="false" customHeight="false" outlineLevel="0" collapsed="false">
      <c r="A10" s="7" t="str">
        <f aca="false">IF(참가자!A10="","",UPPER(TRIM(참가자!A10)))</f>
        <v>C5JR</v>
      </c>
      <c r="B10" s="7" t="str">
        <f aca="false">IF(A10="","",IF(참가자!B10="","(팀 없음)",TRIM(참가자!B10)))</f>
        <v>3팀</v>
      </c>
      <c r="C10" s="7" t="n">
        <f aca="false">IF(A10="","",IFERROR(INDEX($R$3:$R$102,MATCH(A10,$Q$3:$Q$102,0)),""))</f>
        <v>75</v>
      </c>
      <c r="D10" s="7" t="str">
        <f aca="false">IF(A10="","",IF(C10="","결석",IF(IFERROR(INDEX($S$3:$S$102,MATCH(A10,$Q$3:$Q$102,0)),"")="비경쟁","비경쟁 응시","응시")))</f>
        <v>응시</v>
      </c>
      <c r="E10" s="7" t="str">
        <f aca="false">IF(A10="","",IF(COUNTIF($Q$3:$Q$102,A10)&gt;1,"중복! 확인",""))</f>
        <v/>
      </c>
      <c r="F10" s="7" t="n">
        <f aca="false">IF(A10="","",평가A!F10)</f>
        <v>100</v>
      </c>
      <c r="G10" s="7" t="n">
        <f aca="false">IF(A10="","",IF(OR(C10="",F10=""),"",ROUND(C10-F10,1)))</f>
        <v>-25</v>
      </c>
      <c r="H10" s="7" t="n">
        <f aca="false">IF(A10="","",IF(C10="","",IF(C10&gt;=HIGH_CUT,PTS_HIGH,IF(F10="","",IF(G10&gt;=STEP2,PTS_HIGH,IF(G10&gt;=STEP1,PTS_MID,PTS_LOW))))))</f>
        <v>0</v>
      </c>
      <c r="I10" s="7" t="n">
        <f aca="false">IF(A10="","",IF(AND(D10="응시",ISNUMBER(H10)),H10,""))</f>
        <v>0</v>
      </c>
      <c r="J10" s="7" t="str">
        <f aca="false">IF(A10="","",IF(C10="","결석 - 기록 없음",IF(C10&gt;=HIGH_CUT,"높은 점수 유지",IF(F10="","기준점수 없음",IF(G10&gt;=STEP2,"향상",IF(G10&gt;=STEP1,"유지","이번에는 내려감"))))&amp;IF(D10="비경쟁 응시"," / 비경쟁: 팀 점수 제외","")))</f>
        <v>이번에는 내려감</v>
      </c>
      <c r="L10" s="8" t="s">
        <v>14</v>
      </c>
      <c r="M10" s="8" t="n">
        <v>6</v>
      </c>
      <c r="N10" s="8" t="n">
        <v>8</v>
      </c>
      <c r="O10" s="8"/>
      <c r="Q10" s="0" t="str">
        <f aca="false">IF(UPPER(TRIM(L10&amp;""))="","",IF(RIGHT(UPPER(TRIM(L10&amp;"")),2)="-N",TRIM(LEFT(UPPER(TRIM(L10&amp;"")),LEN(UPPER(TRIM(L10&amp;"")))-2)),UPPER(TRIM(L10&amp;""))))</f>
        <v>C5JR</v>
      </c>
      <c r="R10" s="9" t="n">
        <f aca="false">IF(Q10="","",IF(ISNUMBER(O10),ROUND(O10,1),IF(AND(ISNUMBER(M10),ISNUMBER(N10)),IF(N10&gt;0,ROUND(M10/N10*100,1),""),"")))</f>
        <v>75</v>
      </c>
      <c r="S10" s="0" t="str">
        <f aca="false">IF(Q10="","",IF(RIGHT(UPPER(TRIM(L10&amp;"")),2)="-N","비경쟁",""))</f>
        <v/>
      </c>
      <c r="T10" s="0" t="str">
        <f aca="false">IF(Q10="","",IF(COUNTIF(참가자!$A$3:$A$52,Q10)=0,"명단에 없는 코드",""))</f>
        <v/>
      </c>
    </row>
    <row r="11" customFormat="false" ht="15" hidden="false" customHeight="false" outlineLevel="0" collapsed="false">
      <c r="A11" s="7" t="str">
        <f aca="false">IF(참가자!A11="","",UPPER(TRIM(참가자!A11)))</f>
        <v>W3KE</v>
      </c>
      <c r="B11" s="7" t="str">
        <f aca="false">IF(A11="","",IF(참가자!B11="","(팀 없음)",TRIM(참가자!B11)))</f>
        <v>3팀</v>
      </c>
      <c r="C11" s="7" t="n">
        <f aca="false">IF(A11="","",IFERROR(INDEX($R$3:$R$102,MATCH(A11,$Q$3:$Q$102,0)),""))</f>
        <v>87.5</v>
      </c>
      <c r="D11" s="7" t="str">
        <f aca="false">IF(A11="","",IF(C11="","결석",IF(IFERROR(INDEX($S$3:$S$102,MATCH(A11,$Q$3:$Q$102,0)),"")="비경쟁","비경쟁 응시","응시")))</f>
        <v>비경쟁 응시</v>
      </c>
      <c r="E11" s="7" t="str">
        <f aca="false">IF(A11="","",IF(COUNTIF($Q$3:$Q$102,A11)&gt;1,"중복! 확인",""))</f>
        <v/>
      </c>
      <c r="F11" s="7" t="n">
        <f aca="false">IF(A11="","",평가A!F11)</f>
        <v>50</v>
      </c>
      <c r="G11" s="7" t="n">
        <f aca="false">IF(A11="","",IF(OR(C11="",F11=""),"",ROUND(C11-F11,1)))</f>
        <v>37.5</v>
      </c>
      <c r="H11" s="7" t="n">
        <f aca="false">IF(A11="","",IF(C11="","",IF(C11&gt;=HIGH_CUT,PTS_HIGH,IF(F11="","",IF(G11&gt;=STEP2,PTS_HIGH,IF(G11&gt;=STEP1,PTS_MID,PTS_LOW))))))</f>
        <v>20</v>
      </c>
      <c r="I11" s="7" t="str">
        <f aca="false">IF(A11="","",IF(AND(D11="응시",ISNUMBER(H11)),H11,""))</f>
        <v/>
      </c>
      <c r="J11" s="7" t="str">
        <f aca="false">IF(A11="","",IF(C11="","결석 - 기록 없음",IF(C11&gt;=HIGH_CUT,"높은 점수 유지",IF(F11="","기준점수 없음",IF(G11&gt;=STEP2,"향상",IF(G11&gt;=STEP1,"유지","이번에는 내려감"))))&amp;IF(D11="비경쟁 응시"," / 비경쟁: 팀 점수 제외","")))</f>
        <v>높은 점수 유지 / 비경쟁: 팀 점수 제외</v>
      </c>
      <c r="L11" s="8" t="s">
        <v>41</v>
      </c>
      <c r="M11" s="8" t="n">
        <v>7</v>
      </c>
      <c r="N11" s="8" t="n">
        <v>8</v>
      </c>
      <c r="O11" s="8"/>
      <c r="Q11" s="0" t="str">
        <f aca="false">IF(UPPER(TRIM(L11&amp;""))="","",IF(RIGHT(UPPER(TRIM(L11&amp;"")),2)="-N",TRIM(LEFT(UPPER(TRIM(L11&amp;"")),LEN(UPPER(TRIM(L11&amp;"")))-2)),UPPER(TRIM(L11&amp;""))))</f>
        <v>W3KE</v>
      </c>
      <c r="R11" s="9" t="n">
        <f aca="false">IF(Q11="","",IF(ISNUMBER(O11),ROUND(O11,1),IF(AND(ISNUMBER(M11),ISNUMBER(N11)),IF(N11&gt;0,ROUND(M11/N11*100,1),""),"")))</f>
        <v>87.5</v>
      </c>
      <c r="S11" s="0" t="str">
        <f aca="false">IF(Q11="","",IF(RIGHT(UPPER(TRIM(L11&amp;"")),2)="-N","비경쟁",""))</f>
        <v>비경쟁</v>
      </c>
      <c r="T11" s="0" t="str">
        <f aca="false">IF(Q11="","",IF(COUNTIF(참가자!$A$3:$A$52,Q11)=0,"명단에 없는 코드",""))</f>
        <v/>
      </c>
    </row>
    <row r="12" customFormat="false" ht="15" hidden="false" customHeight="false" outlineLevel="0" collapsed="false">
      <c r="A12" s="7" t="str">
        <f aca="false">IF(참가자!A12="","",UPPER(TRIM(참가자!A12)))</f>
        <v>F8UA</v>
      </c>
      <c r="B12" s="7" t="str">
        <f aca="false">IF(A12="","",IF(참가자!B12="","(팀 없음)",TRIM(참가자!B12)))</f>
        <v>4팀</v>
      </c>
      <c r="C12" s="7" t="n">
        <f aca="false">IF(A12="","",IFERROR(INDEX($R$3:$R$102,MATCH(A12,$Q$3:$Q$102,0)),""))</f>
        <v>62.5</v>
      </c>
      <c r="D12" s="7" t="str">
        <f aca="false">IF(A12="","",IF(C12="","결석",IF(IFERROR(INDEX($S$3:$S$102,MATCH(A12,$Q$3:$Q$102,0)),"")="비경쟁","비경쟁 응시","응시")))</f>
        <v>응시</v>
      </c>
      <c r="E12" s="7" t="str">
        <f aca="false">IF(A12="","",IF(COUNTIF($Q$3:$Q$102,A12)&gt;1,"중복! 확인",""))</f>
        <v/>
      </c>
      <c r="F12" s="7" t="n">
        <f aca="false">IF(A12="","",평가A!F12)</f>
        <v>62.5</v>
      </c>
      <c r="G12" s="7" t="n">
        <f aca="false">IF(A12="","",IF(OR(C12="",F12=""),"",ROUND(C12-F12,1)))</f>
        <v>0</v>
      </c>
      <c r="H12" s="7" t="n">
        <f aca="false">IF(A12="","",IF(C12="","",IF(C12&gt;=HIGH_CUT,PTS_HIGH,IF(F12="","",IF(G12&gt;=STEP2,PTS_HIGH,IF(G12&gt;=STEP1,PTS_MID,PTS_LOW))))))</f>
        <v>10</v>
      </c>
      <c r="I12" s="7" t="n">
        <f aca="false">IF(A12="","",IF(AND(D12="응시",ISNUMBER(H12)),H12,""))</f>
        <v>10</v>
      </c>
      <c r="J12" s="7" t="str">
        <f aca="false">IF(A12="","",IF(C12="","결석 - 기록 없음",IF(C12&gt;=HIGH_CUT,"높은 점수 유지",IF(F12="","기준점수 없음",IF(G12&gt;=STEP2,"향상",IF(G12&gt;=STEP1,"유지","이번에는 내려감"))))&amp;IF(D12="비경쟁 응시"," / 비경쟁: 팀 점수 제외","")))</f>
        <v>유지</v>
      </c>
      <c r="L12" s="8" t="s">
        <v>16</v>
      </c>
      <c r="M12" s="8" t="n">
        <v>5</v>
      </c>
      <c r="N12" s="8" t="n">
        <v>8</v>
      </c>
      <c r="O12" s="8"/>
      <c r="Q12" s="0" t="str">
        <f aca="false">IF(UPPER(TRIM(L12&amp;""))="","",IF(RIGHT(UPPER(TRIM(L12&amp;"")),2)="-N",TRIM(LEFT(UPPER(TRIM(L12&amp;"")),LEN(UPPER(TRIM(L12&amp;"")))-2)),UPPER(TRIM(L12&amp;""))))</f>
        <v>F8UA</v>
      </c>
      <c r="R12" s="9" t="n">
        <f aca="false">IF(Q12="","",IF(ISNUMBER(O12),ROUND(O12,1),IF(AND(ISNUMBER(M12),ISNUMBER(N12)),IF(N12&gt;0,ROUND(M12/N12*100,1),""),"")))</f>
        <v>62.5</v>
      </c>
      <c r="S12" s="0" t="str">
        <f aca="false">IF(Q12="","",IF(RIGHT(UPPER(TRIM(L12&amp;"")),2)="-N","비경쟁",""))</f>
        <v/>
      </c>
      <c r="T12" s="0" t="str">
        <f aca="false">IF(Q12="","",IF(COUNTIF(참가자!$A$3:$A$52,Q12)=0,"명단에 없는 코드",""))</f>
        <v/>
      </c>
    </row>
    <row r="13" customFormat="false" ht="15" hidden="false" customHeight="false" outlineLevel="0" collapsed="false">
      <c r="A13" s="7" t="str">
        <f aca="false">IF(참가자!A13="","",UPPER(TRIM(참가자!A13)))</f>
        <v>N4GS</v>
      </c>
      <c r="B13" s="7" t="str">
        <f aca="false">IF(A13="","",IF(참가자!B13="","(팀 없음)",TRIM(참가자!B13)))</f>
        <v>4팀</v>
      </c>
      <c r="C13" s="7" t="n">
        <f aca="false">IF(A13="","",IFERROR(INDEX($R$3:$R$102,MATCH(A13,$Q$3:$Q$102,0)),""))</f>
        <v>62.5</v>
      </c>
      <c r="D13" s="7" t="str">
        <f aca="false">IF(A13="","",IF(C13="","결석",IF(IFERROR(INDEX($S$3:$S$102,MATCH(A13,$Q$3:$Q$102,0)),"")="비경쟁","비경쟁 응시","응시")))</f>
        <v>응시</v>
      </c>
      <c r="E13" s="7" t="str">
        <f aca="false">IF(A13="","",IF(COUNTIF($Q$3:$Q$102,A13)&gt;1,"중복! 확인",""))</f>
        <v/>
      </c>
      <c r="F13" s="7" t="n">
        <f aca="false">IF(A13="","",평가A!F13)</f>
        <v>58.8</v>
      </c>
      <c r="G13" s="7" t="n">
        <f aca="false">IF(A13="","",IF(OR(C13="",F13=""),"",ROUND(C13-F13,1)))</f>
        <v>3.7</v>
      </c>
      <c r="H13" s="7" t="n">
        <f aca="false">IF(A13="","",IF(C13="","",IF(C13&gt;=HIGH_CUT,PTS_HIGH,IF(F13="","",IF(G13&gt;=STEP2,PTS_HIGH,IF(G13&gt;=STEP1,PTS_MID,PTS_LOW))))))</f>
        <v>10</v>
      </c>
      <c r="I13" s="7" t="n">
        <f aca="false">IF(A13="","",IF(AND(D13="응시",ISNUMBER(H13)),H13,""))</f>
        <v>10</v>
      </c>
      <c r="J13" s="7" t="str">
        <f aca="false">IF(A13="","",IF(C13="","결석 - 기록 없음",IF(C13&gt;=HIGH_CUT,"높은 점수 유지",IF(F13="","기준점수 없음",IF(G13&gt;=STEP2,"향상",IF(G13&gt;=STEP1,"유지","이번에는 내려감"))))&amp;IF(D13="비경쟁 응시"," / 비경쟁: 팀 점수 제외","")))</f>
        <v>유지</v>
      </c>
      <c r="L13" s="8" t="s">
        <v>18</v>
      </c>
      <c r="M13" s="8" t="n">
        <v>5</v>
      </c>
      <c r="N13" s="8" t="n">
        <v>8</v>
      </c>
      <c r="O13" s="8"/>
      <c r="Q13" s="0" t="str">
        <f aca="false">IF(UPPER(TRIM(L13&amp;""))="","",IF(RIGHT(UPPER(TRIM(L13&amp;"")),2)="-N",TRIM(LEFT(UPPER(TRIM(L13&amp;"")),LEN(UPPER(TRIM(L13&amp;"")))-2)),UPPER(TRIM(L13&amp;""))))</f>
        <v>N4GS</v>
      </c>
      <c r="R13" s="9" t="n">
        <f aca="false">IF(Q13="","",IF(ISNUMBER(O13),ROUND(O13,1),IF(AND(ISNUMBER(M13),ISNUMBER(N13)),IF(N13&gt;0,ROUND(M13/N13*100,1),""),"")))</f>
        <v>62.5</v>
      </c>
      <c r="S13" s="0" t="str">
        <f aca="false">IF(Q13="","",IF(RIGHT(UPPER(TRIM(L13&amp;"")),2)="-N","비경쟁",""))</f>
        <v/>
      </c>
      <c r="T13" s="0" t="str">
        <f aca="false">IF(Q13="","",IF(COUNTIF(참가자!$A$3:$A$52,Q13)=0,"명단에 없는 코드",""))</f>
        <v/>
      </c>
    </row>
    <row r="14" customFormat="false" ht="15" hidden="false" customHeight="false" outlineLevel="0" collapsed="false">
      <c r="A14" s="7" t="str">
        <f aca="false">IF(참가자!A14="","",UPPER(TRIM(참가자!A14)))</f>
        <v>D7VB</v>
      </c>
      <c r="B14" s="7" t="str">
        <f aca="false">IF(A14="","",IF(참가자!B14="","(팀 없음)",TRIM(참가자!B14)))</f>
        <v>4팀</v>
      </c>
      <c r="C14" s="7" t="str">
        <f aca="false">IF(A14="","",IFERROR(INDEX($R$3:$R$102,MATCH(A14,$Q$3:$Q$102,0)),""))</f>
        <v/>
      </c>
      <c r="D14" s="7" t="str">
        <f aca="false">IF(A14="","",IF(C14="","결석",IF(IFERROR(INDEX($S$3:$S$102,MATCH(A14,$Q$3:$Q$102,0)),"")="비경쟁","비경쟁 응시","응시")))</f>
        <v>결석</v>
      </c>
      <c r="E14" s="7" t="str">
        <f aca="false">IF(A14="","",IF(COUNTIF($Q$3:$Q$102,A14)&gt;1,"중복! 확인",""))</f>
        <v/>
      </c>
      <c r="F14" s="7" t="n">
        <f aca="false">IF(A14="","",평가A!F14)</f>
        <v>37.5</v>
      </c>
      <c r="G14" s="7" t="str">
        <f aca="false">IF(A14="","",IF(OR(C14="",F14=""),"",ROUND(C14-F14,1)))</f>
        <v/>
      </c>
      <c r="H14" s="7" t="str">
        <f aca="false">IF(A14="","",IF(C14="","",IF(C14&gt;=HIGH_CUT,PTS_HIGH,IF(F14="","",IF(G14&gt;=STEP2,PTS_HIGH,IF(G14&gt;=STEP1,PTS_MID,PTS_LOW))))))</f>
        <v/>
      </c>
      <c r="I14" s="7" t="str">
        <f aca="false">IF(A14="","",IF(AND(D14="응시",ISNUMBER(H14)),H14,""))</f>
        <v/>
      </c>
      <c r="J14" s="7" t="str">
        <f aca="false">IF(A14="","",IF(C14="","결석 - 기록 없음",IF(C14&gt;=HIGH_CUT,"높은 점수 유지",IF(F14="","기준점수 없음",IF(G14&gt;=STEP2,"향상",IF(G14&gt;=STEP1,"유지","이번에는 내려감"))))&amp;IF(D14="비경쟁 응시"," / 비경쟁: 팀 점수 제외","")))</f>
        <v>결석 - 기록 없음</v>
      </c>
      <c r="L14" s="8"/>
      <c r="M14" s="8"/>
      <c r="N14" s="8"/>
      <c r="O14" s="8"/>
      <c r="Q14" s="0" t="str">
        <f aca="false">IF(UPPER(TRIM(L14&amp;""))="","",IF(RIGHT(UPPER(TRIM(L14&amp;"")),2)="-N",TRIM(LEFT(UPPER(TRIM(L14&amp;"")),LEN(UPPER(TRIM(L14&amp;"")))-2)),UPPER(TRIM(L14&amp;""))))</f>
        <v/>
      </c>
      <c r="R14" s="0" t="str">
        <f aca="false">IF(Q14="","",IF(ISNUMBER(O14),ROUND(O14,1),IF(AND(ISNUMBER(M14),ISNUMBER(N14)),IF(N14&gt;0,ROUND(M14/N14*100,1),""),"")))</f>
        <v/>
      </c>
      <c r="S14" s="0" t="str">
        <f aca="false">IF(Q14="","",IF(RIGHT(UPPER(TRIM(L14&amp;"")),2)="-N","비경쟁",""))</f>
        <v/>
      </c>
      <c r="T14" s="0" t="str">
        <f aca="false">IF(Q14="","",IF(COUNTIF(참가자!$A$3:$A$52,Q14)=0,"명단에 없는 코드",""))</f>
        <v/>
      </c>
    </row>
    <row r="15" customFormat="false" ht="15" hidden="false" customHeight="false" outlineLevel="0" collapsed="false">
      <c r="A15" s="7" t="str">
        <f aca="false">IF(참가자!A15="","",UPPER(TRIM(참가자!A15)))</f>
        <v/>
      </c>
      <c r="B15" s="7" t="str">
        <f aca="false">IF(A15="","",IF(참가자!B15="","(팀 없음)",TRIM(참가자!B15)))</f>
        <v/>
      </c>
      <c r="C15" s="7" t="str">
        <f aca="false">IF(A15="","",IFERROR(INDEX($R$3:$R$102,MATCH(A15,$Q$3:$Q$102,0)),""))</f>
        <v/>
      </c>
      <c r="D15" s="7" t="str">
        <f aca="false">IF(A15="","",IF(C15="","결석",IF(IFERROR(INDEX($S$3:$S$102,MATCH(A15,$Q$3:$Q$102,0)),"")="비경쟁","비경쟁 응시","응시")))</f>
        <v/>
      </c>
      <c r="E15" s="7" t="str">
        <f aca="false">IF(A15="","",IF(COUNTIF($Q$3:$Q$102,A15)&gt;1,"중복! 확인",""))</f>
        <v/>
      </c>
      <c r="F15" s="7" t="str">
        <f aca="false">IF(A15="","",평가A!F15)</f>
        <v/>
      </c>
      <c r="G15" s="7" t="str">
        <f aca="false">IF(A15="","",IF(OR(C15="",F15=""),"",ROUND(C15-F15,1)))</f>
        <v/>
      </c>
      <c r="H15" s="7" t="str">
        <f aca="false">IF(A15="","",IF(C15="","",IF(C15&gt;=HIGH_CUT,PTS_HIGH,IF(F15="","",IF(G15&gt;=STEP2,PTS_HIGH,IF(G15&gt;=STEP1,PTS_MID,PTS_LOW))))))</f>
        <v/>
      </c>
      <c r="I15" s="7" t="str">
        <f aca="false">IF(A15="","",IF(AND(D15="응시",ISNUMBER(H15)),H15,""))</f>
        <v/>
      </c>
      <c r="J15" s="7" t="str">
        <f aca="false">IF(A15="","",IF(C15="","결석 - 기록 없음",IF(C15&gt;=HIGH_CUT,"높은 점수 유지",IF(F15="","기준점수 없음",IF(G15&gt;=STEP2,"향상",IF(G15&gt;=STEP1,"유지","이번에는 내려감"))))&amp;IF(D15="비경쟁 응시"," / 비경쟁: 팀 점수 제외","")))</f>
        <v/>
      </c>
      <c r="L15" s="8"/>
      <c r="M15" s="8"/>
      <c r="N15" s="8"/>
      <c r="O15" s="8"/>
      <c r="Q15" s="0" t="str">
        <f aca="false">IF(UPPER(TRIM(L15&amp;""))="","",IF(RIGHT(UPPER(TRIM(L15&amp;"")),2)="-N",TRIM(LEFT(UPPER(TRIM(L15&amp;"")),LEN(UPPER(TRIM(L15&amp;"")))-2)),UPPER(TRIM(L15&amp;""))))</f>
        <v/>
      </c>
      <c r="R15" s="0" t="str">
        <f aca="false">IF(Q15="","",IF(ISNUMBER(O15),ROUND(O15,1),IF(AND(ISNUMBER(M15),ISNUMBER(N15)),IF(N15&gt;0,ROUND(M15/N15*100,1),""),"")))</f>
        <v/>
      </c>
      <c r="S15" s="0" t="str">
        <f aca="false">IF(Q15="","",IF(RIGHT(UPPER(TRIM(L15&amp;"")),2)="-N","비경쟁",""))</f>
        <v/>
      </c>
      <c r="T15" s="0" t="str">
        <f aca="false">IF(Q15="","",IF(COUNTIF(참가자!$A$3:$A$52,Q15)=0,"명단에 없는 코드",""))</f>
        <v/>
      </c>
    </row>
    <row r="16" customFormat="false" ht="15" hidden="false" customHeight="false" outlineLevel="0" collapsed="false">
      <c r="A16" s="7" t="str">
        <f aca="false">IF(참가자!A16="","",UPPER(TRIM(참가자!A16)))</f>
        <v/>
      </c>
      <c r="B16" s="7" t="str">
        <f aca="false">IF(A16="","",IF(참가자!B16="","(팀 없음)",TRIM(참가자!B16)))</f>
        <v/>
      </c>
      <c r="C16" s="7" t="str">
        <f aca="false">IF(A16="","",IFERROR(INDEX($R$3:$R$102,MATCH(A16,$Q$3:$Q$102,0)),""))</f>
        <v/>
      </c>
      <c r="D16" s="7" t="str">
        <f aca="false">IF(A16="","",IF(C16="","결석",IF(IFERROR(INDEX($S$3:$S$102,MATCH(A16,$Q$3:$Q$102,0)),"")="비경쟁","비경쟁 응시","응시")))</f>
        <v/>
      </c>
      <c r="E16" s="7" t="str">
        <f aca="false">IF(A16="","",IF(COUNTIF($Q$3:$Q$102,A16)&gt;1,"중복! 확인",""))</f>
        <v/>
      </c>
      <c r="F16" s="7" t="str">
        <f aca="false">IF(A16="","",평가A!F16)</f>
        <v/>
      </c>
      <c r="G16" s="7" t="str">
        <f aca="false">IF(A16="","",IF(OR(C16="",F16=""),"",ROUND(C16-F16,1)))</f>
        <v/>
      </c>
      <c r="H16" s="7" t="str">
        <f aca="false">IF(A16="","",IF(C16="","",IF(C16&gt;=HIGH_CUT,PTS_HIGH,IF(F16="","",IF(G16&gt;=STEP2,PTS_HIGH,IF(G16&gt;=STEP1,PTS_MID,PTS_LOW))))))</f>
        <v/>
      </c>
      <c r="I16" s="7" t="str">
        <f aca="false">IF(A16="","",IF(AND(D16="응시",ISNUMBER(H16)),H16,""))</f>
        <v/>
      </c>
      <c r="J16" s="7" t="str">
        <f aca="false">IF(A16="","",IF(C16="","결석 - 기록 없음",IF(C16&gt;=HIGH_CUT,"높은 점수 유지",IF(F16="","기준점수 없음",IF(G16&gt;=STEP2,"향상",IF(G16&gt;=STEP1,"유지","이번에는 내려감"))))&amp;IF(D16="비경쟁 응시"," / 비경쟁: 팀 점수 제외","")))</f>
        <v/>
      </c>
      <c r="L16" s="8"/>
      <c r="M16" s="8"/>
      <c r="N16" s="8"/>
      <c r="O16" s="8"/>
      <c r="Q16" s="0" t="str">
        <f aca="false">IF(UPPER(TRIM(L16&amp;""))="","",IF(RIGHT(UPPER(TRIM(L16&amp;"")),2)="-N",TRIM(LEFT(UPPER(TRIM(L16&amp;"")),LEN(UPPER(TRIM(L16&amp;"")))-2)),UPPER(TRIM(L16&amp;""))))</f>
        <v/>
      </c>
      <c r="R16" s="0" t="str">
        <f aca="false">IF(Q16="","",IF(ISNUMBER(O16),ROUND(O16,1),IF(AND(ISNUMBER(M16),ISNUMBER(N16)),IF(N16&gt;0,ROUND(M16/N16*100,1),""),"")))</f>
        <v/>
      </c>
      <c r="S16" s="0" t="str">
        <f aca="false">IF(Q16="","",IF(RIGHT(UPPER(TRIM(L16&amp;"")),2)="-N","비경쟁",""))</f>
        <v/>
      </c>
      <c r="T16" s="0" t="str">
        <f aca="false">IF(Q16="","",IF(COUNTIF(참가자!$A$3:$A$52,Q16)=0,"명단에 없는 코드",""))</f>
        <v/>
      </c>
    </row>
    <row r="17" customFormat="false" ht="15" hidden="false" customHeight="false" outlineLevel="0" collapsed="false">
      <c r="A17" s="7" t="str">
        <f aca="false">IF(참가자!A17="","",UPPER(TRIM(참가자!A17)))</f>
        <v/>
      </c>
      <c r="B17" s="7" t="str">
        <f aca="false">IF(A17="","",IF(참가자!B17="","(팀 없음)",TRIM(참가자!B17)))</f>
        <v/>
      </c>
      <c r="C17" s="7" t="str">
        <f aca="false">IF(A17="","",IFERROR(INDEX($R$3:$R$102,MATCH(A17,$Q$3:$Q$102,0)),""))</f>
        <v/>
      </c>
      <c r="D17" s="7" t="str">
        <f aca="false">IF(A17="","",IF(C17="","결석",IF(IFERROR(INDEX($S$3:$S$102,MATCH(A17,$Q$3:$Q$102,0)),"")="비경쟁","비경쟁 응시","응시")))</f>
        <v/>
      </c>
      <c r="E17" s="7" t="str">
        <f aca="false">IF(A17="","",IF(COUNTIF($Q$3:$Q$102,A17)&gt;1,"중복! 확인",""))</f>
        <v/>
      </c>
      <c r="F17" s="7" t="str">
        <f aca="false">IF(A17="","",평가A!F17)</f>
        <v/>
      </c>
      <c r="G17" s="7" t="str">
        <f aca="false">IF(A17="","",IF(OR(C17="",F17=""),"",ROUND(C17-F17,1)))</f>
        <v/>
      </c>
      <c r="H17" s="7" t="str">
        <f aca="false">IF(A17="","",IF(C17="","",IF(C17&gt;=HIGH_CUT,PTS_HIGH,IF(F17="","",IF(G17&gt;=STEP2,PTS_HIGH,IF(G17&gt;=STEP1,PTS_MID,PTS_LOW))))))</f>
        <v/>
      </c>
      <c r="I17" s="7" t="str">
        <f aca="false">IF(A17="","",IF(AND(D17="응시",ISNUMBER(H17)),H17,""))</f>
        <v/>
      </c>
      <c r="J17" s="7" t="str">
        <f aca="false">IF(A17="","",IF(C17="","결석 - 기록 없음",IF(C17&gt;=HIGH_CUT,"높은 점수 유지",IF(F17="","기준점수 없음",IF(G17&gt;=STEP2,"향상",IF(G17&gt;=STEP1,"유지","이번에는 내려감"))))&amp;IF(D17="비경쟁 응시"," / 비경쟁: 팀 점수 제외","")))</f>
        <v/>
      </c>
      <c r="L17" s="8"/>
      <c r="M17" s="8"/>
      <c r="N17" s="8"/>
      <c r="O17" s="8"/>
      <c r="Q17" s="0" t="str">
        <f aca="false">IF(UPPER(TRIM(L17&amp;""))="","",IF(RIGHT(UPPER(TRIM(L17&amp;"")),2)="-N",TRIM(LEFT(UPPER(TRIM(L17&amp;"")),LEN(UPPER(TRIM(L17&amp;"")))-2)),UPPER(TRIM(L17&amp;""))))</f>
        <v/>
      </c>
      <c r="R17" s="0" t="str">
        <f aca="false">IF(Q17="","",IF(ISNUMBER(O17),ROUND(O17,1),IF(AND(ISNUMBER(M17),ISNUMBER(N17)),IF(N17&gt;0,ROUND(M17/N17*100,1),""),"")))</f>
        <v/>
      </c>
      <c r="S17" s="0" t="str">
        <f aca="false">IF(Q17="","",IF(RIGHT(UPPER(TRIM(L17&amp;"")),2)="-N","비경쟁",""))</f>
        <v/>
      </c>
      <c r="T17" s="0" t="str">
        <f aca="false">IF(Q17="","",IF(COUNTIF(참가자!$A$3:$A$52,Q17)=0,"명단에 없는 코드",""))</f>
        <v/>
      </c>
    </row>
    <row r="18" customFormat="false" ht="15" hidden="false" customHeight="false" outlineLevel="0" collapsed="false">
      <c r="A18" s="7" t="str">
        <f aca="false">IF(참가자!A18="","",UPPER(TRIM(참가자!A18)))</f>
        <v/>
      </c>
      <c r="B18" s="7" t="str">
        <f aca="false">IF(A18="","",IF(참가자!B18="","(팀 없음)",TRIM(참가자!B18)))</f>
        <v/>
      </c>
      <c r="C18" s="7" t="str">
        <f aca="false">IF(A18="","",IFERROR(INDEX($R$3:$R$102,MATCH(A18,$Q$3:$Q$102,0)),""))</f>
        <v/>
      </c>
      <c r="D18" s="7" t="str">
        <f aca="false">IF(A18="","",IF(C18="","결석",IF(IFERROR(INDEX($S$3:$S$102,MATCH(A18,$Q$3:$Q$102,0)),"")="비경쟁","비경쟁 응시","응시")))</f>
        <v/>
      </c>
      <c r="E18" s="7" t="str">
        <f aca="false">IF(A18="","",IF(COUNTIF($Q$3:$Q$102,A18)&gt;1,"중복! 확인",""))</f>
        <v/>
      </c>
      <c r="F18" s="7" t="str">
        <f aca="false">IF(A18="","",평가A!F18)</f>
        <v/>
      </c>
      <c r="G18" s="7" t="str">
        <f aca="false">IF(A18="","",IF(OR(C18="",F18=""),"",ROUND(C18-F18,1)))</f>
        <v/>
      </c>
      <c r="H18" s="7" t="str">
        <f aca="false">IF(A18="","",IF(C18="","",IF(C18&gt;=HIGH_CUT,PTS_HIGH,IF(F18="","",IF(G18&gt;=STEP2,PTS_HIGH,IF(G18&gt;=STEP1,PTS_MID,PTS_LOW))))))</f>
        <v/>
      </c>
      <c r="I18" s="7" t="str">
        <f aca="false">IF(A18="","",IF(AND(D18="응시",ISNUMBER(H18)),H18,""))</f>
        <v/>
      </c>
      <c r="J18" s="7" t="str">
        <f aca="false">IF(A18="","",IF(C18="","결석 - 기록 없음",IF(C18&gt;=HIGH_CUT,"높은 점수 유지",IF(F18="","기준점수 없음",IF(G18&gt;=STEP2,"향상",IF(G18&gt;=STEP1,"유지","이번에는 내려감"))))&amp;IF(D18="비경쟁 응시"," / 비경쟁: 팀 점수 제외","")))</f>
        <v/>
      </c>
      <c r="L18" s="8"/>
      <c r="M18" s="8"/>
      <c r="N18" s="8"/>
      <c r="O18" s="8"/>
      <c r="Q18" s="0" t="str">
        <f aca="false">IF(UPPER(TRIM(L18&amp;""))="","",IF(RIGHT(UPPER(TRIM(L18&amp;"")),2)="-N",TRIM(LEFT(UPPER(TRIM(L18&amp;"")),LEN(UPPER(TRIM(L18&amp;"")))-2)),UPPER(TRIM(L18&amp;""))))</f>
        <v/>
      </c>
      <c r="R18" s="0" t="str">
        <f aca="false">IF(Q18="","",IF(ISNUMBER(O18),ROUND(O18,1),IF(AND(ISNUMBER(M18),ISNUMBER(N18)),IF(N18&gt;0,ROUND(M18/N18*100,1),""),"")))</f>
        <v/>
      </c>
      <c r="S18" s="0" t="str">
        <f aca="false">IF(Q18="","",IF(RIGHT(UPPER(TRIM(L18&amp;"")),2)="-N","비경쟁",""))</f>
        <v/>
      </c>
      <c r="T18" s="0" t="str">
        <f aca="false">IF(Q18="","",IF(COUNTIF(참가자!$A$3:$A$52,Q18)=0,"명단에 없는 코드",""))</f>
        <v/>
      </c>
    </row>
    <row r="19" customFormat="false" ht="15" hidden="false" customHeight="false" outlineLevel="0" collapsed="false">
      <c r="A19" s="7" t="str">
        <f aca="false">IF(참가자!A19="","",UPPER(TRIM(참가자!A19)))</f>
        <v/>
      </c>
      <c r="B19" s="7" t="str">
        <f aca="false">IF(A19="","",IF(참가자!B19="","(팀 없음)",TRIM(참가자!B19)))</f>
        <v/>
      </c>
      <c r="C19" s="7" t="str">
        <f aca="false">IF(A19="","",IFERROR(INDEX($R$3:$R$102,MATCH(A19,$Q$3:$Q$102,0)),""))</f>
        <v/>
      </c>
      <c r="D19" s="7" t="str">
        <f aca="false">IF(A19="","",IF(C19="","결석",IF(IFERROR(INDEX($S$3:$S$102,MATCH(A19,$Q$3:$Q$102,0)),"")="비경쟁","비경쟁 응시","응시")))</f>
        <v/>
      </c>
      <c r="E19" s="7" t="str">
        <f aca="false">IF(A19="","",IF(COUNTIF($Q$3:$Q$102,A19)&gt;1,"중복! 확인",""))</f>
        <v/>
      </c>
      <c r="F19" s="7" t="str">
        <f aca="false">IF(A19="","",평가A!F19)</f>
        <v/>
      </c>
      <c r="G19" s="7" t="str">
        <f aca="false">IF(A19="","",IF(OR(C19="",F19=""),"",ROUND(C19-F19,1)))</f>
        <v/>
      </c>
      <c r="H19" s="7" t="str">
        <f aca="false">IF(A19="","",IF(C19="","",IF(C19&gt;=HIGH_CUT,PTS_HIGH,IF(F19="","",IF(G19&gt;=STEP2,PTS_HIGH,IF(G19&gt;=STEP1,PTS_MID,PTS_LOW))))))</f>
        <v/>
      </c>
      <c r="I19" s="7" t="str">
        <f aca="false">IF(A19="","",IF(AND(D19="응시",ISNUMBER(H19)),H19,""))</f>
        <v/>
      </c>
      <c r="J19" s="7" t="str">
        <f aca="false">IF(A19="","",IF(C19="","결석 - 기록 없음",IF(C19&gt;=HIGH_CUT,"높은 점수 유지",IF(F19="","기준점수 없음",IF(G19&gt;=STEP2,"향상",IF(G19&gt;=STEP1,"유지","이번에는 내려감"))))&amp;IF(D19="비경쟁 응시"," / 비경쟁: 팀 점수 제외","")))</f>
        <v/>
      </c>
      <c r="L19" s="8"/>
      <c r="M19" s="8"/>
      <c r="N19" s="8"/>
      <c r="O19" s="8"/>
      <c r="Q19" s="0" t="str">
        <f aca="false">IF(UPPER(TRIM(L19&amp;""))="","",IF(RIGHT(UPPER(TRIM(L19&amp;"")),2)="-N",TRIM(LEFT(UPPER(TRIM(L19&amp;"")),LEN(UPPER(TRIM(L19&amp;"")))-2)),UPPER(TRIM(L19&amp;""))))</f>
        <v/>
      </c>
      <c r="R19" s="0" t="str">
        <f aca="false">IF(Q19="","",IF(ISNUMBER(O19),ROUND(O19,1),IF(AND(ISNUMBER(M19),ISNUMBER(N19)),IF(N19&gt;0,ROUND(M19/N19*100,1),""),"")))</f>
        <v/>
      </c>
      <c r="S19" s="0" t="str">
        <f aca="false">IF(Q19="","",IF(RIGHT(UPPER(TRIM(L19&amp;"")),2)="-N","비경쟁",""))</f>
        <v/>
      </c>
      <c r="T19" s="0" t="str">
        <f aca="false">IF(Q19="","",IF(COUNTIF(참가자!$A$3:$A$52,Q19)=0,"명단에 없는 코드",""))</f>
        <v/>
      </c>
    </row>
    <row r="20" customFormat="false" ht="15" hidden="false" customHeight="false" outlineLevel="0" collapsed="false">
      <c r="A20" s="7" t="str">
        <f aca="false">IF(참가자!A20="","",UPPER(TRIM(참가자!A20)))</f>
        <v/>
      </c>
      <c r="B20" s="7" t="str">
        <f aca="false">IF(A20="","",IF(참가자!B20="","(팀 없음)",TRIM(참가자!B20)))</f>
        <v/>
      </c>
      <c r="C20" s="7" t="str">
        <f aca="false">IF(A20="","",IFERROR(INDEX($R$3:$R$102,MATCH(A20,$Q$3:$Q$102,0)),""))</f>
        <v/>
      </c>
      <c r="D20" s="7" t="str">
        <f aca="false">IF(A20="","",IF(C20="","결석",IF(IFERROR(INDEX($S$3:$S$102,MATCH(A20,$Q$3:$Q$102,0)),"")="비경쟁","비경쟁 응시","응시")))</f>
        <v/>
      </c>
      <c r="E20" s="7" t="str">
        <f aca="false">IF(A20="","",IF(COUNTIF($Q$3:$Q$102,A20)&gt;1,"중복! 확인",""))</f>
        <v/>
      </c>
      <c r="F20" s="7" t="str">
        <f aca="false">IF(A20="","",평가A!F20)</f>
        <v/>
      </c>
      <c r="G20" s="7" t="str">
        <f aca="false">IF(A20="","",IF(OR(C20="",F20=""),"",ROUND(C20-F20,1)))</f>
        <v/>
      </c>
      <c r="H20" s="7" t="str">
        <f aca="false">IF(A20="","",IF(C20="","",IF(C20&gt;=HIGH_CUT,PTS_HIGH,IF(F20="","",IF(G20&gt;=STEP2,PTS_HIGH,IF(G20&gt;=STEP1,PTS_MID,PTS_LOW))))))</f>
        <v/>
      </c>
      <c r="I20" s="7" t="str">
        <f aca="false">IF(A20="","",IF(AND(D20="응시",ISNUMBER(H20)),H20,""))</f>
        <v/>
      </c>
      <c r="J20" s="7" t="str">
        <f aca="false">IF(A20="","",IF(C20="","결석 - 기록 없음",IF(C20&gt;=HIGH_CUT,"높은 점수 유지",IF(F20="","기준점수 없음",IF(G20&gt;=STEP2,"향상",IF(G20&gt;=STEP1,"유지","이번에는 내려감"))))&amp;IF(D20="비경쟁 응시"," / 비경쟁: 팀 점수 제외","")))</f>
        <v/>
      </c>
      <c r="L20" s="8"/>
      <c r="M20" s="8"/>
      <c r="N20" s="8"/>
      <c r="O20" s="8"/>
      <c r="Q20" s="0" t="str">
        <f aca="false">IF(UPPER(TRIM(L20&amp;""))="","",IF(RIGHT(UPPER(TRIM(L20&amp;"")),2)="-N",TRIM(LEFT(UPPER(TRIM(L20&amp;"")),LEN(UPPER(TRIM(L20&amp;"")))-2)),UPPER(TRIM(L20&amp;""))))</f>
        <v/>
      </c>
      <c r="R20" s="0" t="str">
        <f aca="false">IF(Q20="","",IF(ISNUMBER(O20),ROUND(O20,1),IF(AND(ISNUMBER(M20),ISNUMBER(N20)),IF(N20&gt;0,ROUND(M20/N20*100,1),""),"")))</f>
        <v/>
      </c>
      <c r="S20" s="0" t="str">
        <f aca="false">IF(Q20="","",IF(RIGHT(UPPER(TRIM(L20&amp;"")),2)="-N","비경쟁",""))</f>
        <v/>
      </c>
      <c r="T20" s="0" t="str">
        <f aca="false">IF(Q20="","",IF(COUNTIF(참가자!$A$3:$A$52,Q20)=0,"명단에 없는 코드",""))</f>
        <v/>
      </c>
    </row>
    <row r="21" customFormat="false" ht="15" hidden="false" customHeight="false" outlineLevel="0" collapsed="false">
      <c r="A21" s="7" t="str">
        <f aca="false">IF(참가자!A21="","",UPPER(TRIM(참가자!A21)))</f>
        <v/>
      </c>
      <c r="B21" s="7" t="str">
        <f aca="false">IF(A21="","",IF(참가자!B21="","(팀 없음)",TRIM(참가자!B21)))</f>
        <v/>
      </c>
      <c r="C21" s="7" t="str">
        <f aca="false">IF(A21="","",IFERROR(INDEX($R$3:$R$102,MATCH(A21,$Q$3:$Q$102,0)),""))</f>
        <v/>
      </c>
      <c r="D21" s="7" t="str">
        <f aca="false">IF(A21="","",IF(C21="","결석",IF(IFERROR(INDEX($S$3:$S$102,MATCH(A21,$Q$3:$Q$102,0)),"")="비경쟁","비경쟁 응시","응시")))</f>
        <v/>
      </c>
      <c r="E21" s="7" t="str">
        <f aca="false">IF(A21="","",IF(COUNTIF($Q$3:$Q$102,A21)&gt;1,"중복! 확인",""))</f>
        <v/>
      </c>
      <c r="F21" s="7" t="str">
        <f aca="false">IF(A21="","",평가A!F21)</f>
        <v/>
      </c>
      <c r="G21" s="7" t="str">
        <f aca="false">IF(A21="","",IF(OR(C21="",F21=""),"",ROUND(C21-F21,1)))</f>
        <v/>
      </c>
      <c r="H21" s="7" t="str">
        <f aca="false">IF(A21="","",IF(C21="","",IF(C21&gt;=HIGH_CUT,PTS_HIGH,IF(F21="","",IF(G21&gt;=STEP2,PTS_HIGH,IF(G21&gt;=STEP1,PTS_MID,PTS_LOW))))))</f>
        <v/>
      </c>
      <c r="I21" s="7" t="str">
        <f aca="false">IF(A21="","",IF(AND(D21="응시",ISNUMBER(H21)),H21,""))</f>
        <v/>
      </c>
      <c r="J21" s="7" t="str">
        <f aca="false">IF(A21="","",IF(C21="","결석 - 기록 없음",IF(C21&gt;=HIGH_CUT,"높은 점수 유지",IF(F21="","기준점수 없음",IF(G21&gt;=STEP2,"향상",IF(G21&gt;=STEP1,"유지","이번에는 내려감"))))&amp;IF(D21="비경쟁 응시"," / 비경쟁: 팀 점수 제외","")))</f>
        <v/>
      </c>
      <c r="L21" s="8"/>
      <c r="M21" s="8"/>
      <c r="N21" s="8"/>
      <c r="O21" s="8"/>
      <c r="Q21" s="0" t="str">
        <f aca="false">IF(UPPER(TRIM(L21&amp;""))="","",IF(RIGHT(UPPER(TRIM(L21&amp;"")),2)="-N",TRIM(LEFT(UPPER(TRIM(L21&amp;"")),LEN(UPPER(TRIM(L21&amp;"")))-2)),UPPER(TRIM(L21&amp;""))))</f>
        <v/>
      </c>
      <c r="R21" s="0" t="str">
        <f aca="false">IF(Q21="","",IF(ISNUMBER(O21),ROUND(O21,1),IF(AND(ISNUMBER(M21),ISNUMBER(N21)),IF(N21&gt;0,ROUND(M21/N21*100,1),""),"")))</f>
        <v/>
      </c>
      <c r="S21" s="0" t="str">
        <f aca="false">IF(Q21="","",IF(RIGHT(UPPER(TRIM(L21&amp;"")),2)="-N","비경쟁",""))</f>
        <v/>
      </c>
      <c r="T21" s="0" t="str">
        <f aca="false">IF(Q21="","",IF(COUNTIF(참가자!$A$3:$A$52,Q21)=0,"명단에 없는 코드",""))</f>
        <v/>
      </c>
    </row>
    <row r="22" customFormat="false" ht="15" hidden="false" customHeight="false" outlineLevel="0" collapsed="false">
      <c r="A22" s="7" t="str">
        <f aca="false">IF(참가자!A22="","",UPPER(TRIM(참가자!A22)))</f>
        <v/>
      </c>
      <c r="B22" s="7" t="str">
        <f aca="false">IF(A22="","",IF(참가자!B22="","(팀 없음)",TRIM(참가자!B22)))</f>
        <v/>
      </c>
      <c r="C22" s="7" t="str">
        <f aca="false">IF(A22="","",IFERROR(INDEX($R$3:$R$102,MATCH(A22,$Q$3:$Q$102,0)),""))</f>
        <v/>
      </c>
      <c r="D22" s="7" t="str">
        <f aca="false">IF(A22="","",IF(C22="","결석",IF(IFERROR(INDEX($S$3:$S$102,MATCH(A22,$Q$3:$Q$102,0)),"")="비경쟁","비경쟁 응시","응시")))</f>
        <v/>
      </c>
      <c r="E22" s="7" t="str">
        <f aca="false">IF(A22="","",IF(COUNTIF($Q$3:$Q$102,A22)&gt;1,"중복! 확인",""))</f>
        <v/>
      </c>
      <c r="F22" s="7" t="str">
        <f aca="false">IF(A22="","",평가A!F22)</f>
        <v/>
      </c>
      <c r="G22" s="7" t="str">
        <f aca="false">IF(A22="","",IF(OR(C22="",F22=""),"",ROUND(C22-F22,1)))</f>
        <v/>
      </c>
      <c r="H22" s="7" t="str">
        <f aca="false">IF(A22="","",IF(C22="","",IF(C22&gt;=HIGH_CUT,PTS_HIGH,IF(F22="","",IF(G22&gt;=STEP2,PTS_HIGH,IF(G22&gt;=STEP1,PTS_MID,PTS_LOW))))))</f>
        <v/>
      </c>
      <c r="I22" s="7" t="str">
        <f aca="false">IF(A22="","",IF(AND(D22="응시",ISNUMBER(H22)),H22,""))</f>
        <v/>
      </c>
      <c r="J22" s="7" t="str">
        <f aca="false">IF(A22="","",IF(C22="","결석 - 기록 없음",IF(C22&gt;=HIGH_CUT,"높은 점수 유지",IF(F22="","기준점수 없음",IF(G22&gt;=STEP2,"향상",IF(G22&gt;=STEP1,"유지","이번에는 내려감"))))&amp;IF(D22="비경쟁 응시"," / 비경쟁: 팀 점수 제외","")))</f>
        <v/>
      </c>
      <c r="L22" s="8"/>
      <c r="M22" s="8"/>
      <c r="N22" s="8"/>
      <c r="O22" s="8"/>
      <c r="Q22" s="0" t="str">
        <f aca="false">IF(UPPER(TRIM(L22&amp;""))="","",IF(RIGHT(UPPER(TRIM(L22&amp;"")),2)="-N",TRIM(LEFT(UPPER(TRIM(L22&amp;"")),LEN(UPPER(TRIM(L22&amp;"")))-2)),UPPER(TRIM(L22&amp;""))))</f>
        <v/>
      </c>
      <c r="R22" s="0" t="str">
        <f aca="false">IF(Q22="","",IF(ISNUMBER(O22),ROUND(O22,1),IF(AND(ISNUMBER(M22),ISNUMBER(N22)),IF(N22&gt;0,ROUND(M22/N22*100,1),""),"")))</f>
        <v/>
      </c>
      <c r="S22" s="0" t="str">
        <f aca="false">IF(Q22="","",IF(RIGHT(UPPER(TRIM(L22&amp;"")),2)="-N","비경쟁",""))</f>
        <v/>
      </c>
      <c r="T22" s="0" t="str">
        <f aca="false">IF(Q22="","",IF(COUNTIF(참가자!$A$3:$A$52,Q22)=0,"명단에 없는 코드",""))</f>
        <v/>
      </c>
    </row>
    <row r="23" customFormat="false" ht="15" hidden="false" customHeight="false" outlineLevel="0" collapsed="false">
      <c r="A23" s="7" t="str">
        <f aca="false">IF(참가자!A23="","",UPPER(TRIM(참가자!A23)))</f>
        <v/>
      </c>
      <c r="B23" s="7" t="str">
        <f aca="false">IF(A23="","",IF(참가자!B23="","(팀 없음)",TRIM(참가자!B23)))</f>
        <v/>
      </c>
      <c r="C23" s="7" t="str">
        <f aca="false">IF(A23="","",IFERROR(INDEX($R$3:$R$102,MATCH(A23,$Q$3:$Q$102,0)),""))</f>
        <v/>
      </c>
      <c r="D23" s="7" t="str">
        <f aca="false">IF(A23="","",IF(C23="","결석",IF(IFERROR(INDEX($S$3:$S$102,MATCH(A23,$Q$3:$Q$102,0)),"")="비경쟁","비경쟁 응시","응시")))</f>
        <v/>
      </c>
      <c r="E23" s="7" t="str">
        <f aca="false">IF(A23="","",IF(COUNTIF($Q$3:$Q$102,A23)&gt;1,"중복! 확인",""))</f>
        <v/>
      </c>
      <c r="F23" s="7" t="str">
        <f aca="false">IF(A23="","",평가A!F23)</f>
        <v/>
      </c>
      <c r="G23" s="7" t="str">
        <f aca="false">IF(A23="","",IF(OR(C23="",F23=""),"",ROUND(C23-F23,1)))</f>
        <v/>
      </c>
      <c r="H23" s="7" t="str">
        <f aca="false">IF(A23="","",IF(C23="","",IF(C23&gt;=HIGH_CUT,PTS_HIGH,IF(F23="","",IF(G23&gt;=STEP2,PTS_HIGH,IF(G23&gt;=STEP1,PTS_MID,PTS_LOW))))))</f>
        <v/>
      </c>
      <c r="I23" s="7" t="str">
        <f aca="false">IF(A23="","",IF(AND(D23="응시",ISNUMBER(H23)),H23,""))</f>
        <v/>
      </c>
      <c r="J23" s="7" t="str">
        <f aca="false">IF(A23="","",IF(C23="","결석 - 기록 없음",IF(C23&gt;=HIGH_CUT,"높은 점수 유지",IF(F23="","기준점수 없음",IF(G23&gt;=STEP2,"향상",IF(G23&gt;=STEP1,"유지","이번에는 내려감"))))&amp;IF(D23="비경쟁 응시"," / 비경쟁: 팀 점수 제외","")))</f>
        <v/>
      </c>
      <c r="L23" s="8"/>
      <c r="M23" s="8"/>
      <c r="N23" s="8"/>
      <c r="O23" s="8"/>
      <c r="Q23" s="0" t="str">
        <f aca="false">IF(UPPER(TRIM(L23&amp;""))="","",IF(RIGHT(UPPER(TRIM(L23&amp;"")),2)="-N",TRIM(LEFT(UPPER(TRIM(L23&amp;"")),LEN(UPPER(TRIM(L23&amp;"")))-2)),UPPER(TRIM(L23&amp;""))))</f>
        <v/>
      </c>
      <c r="R23" s="0" t="str">
        <f aca="false">IF(Q23="","",IF(ISNUMBER(O23),ROUND(O23,1),IF(AND(ISNUMBER(M23),ISNUMBER(N23)),IF(N23&gt;0,ROUND(M23/N23*100,1),""),"")))</f>
        <v/>
      </c>
      <c r="S23" s="0" t="str">
        <f aca="false">IF(Q23="","",IF(RIGHT(UPPER(TRIM(L23&amp;"")),2)="-N","비경쟁",""))</f>
        <v/>
      </c>
      <c r="T23" s="0" t="str">
        <f aca="false">IF(Q23="","",IF(COUNTIF(참가자!$A$3:$A$52,Q23)=0,"명단에 없는 코드",""))</f>
        <v/>
      </c>
    </row>
    <row r="24" customFormat="false" ht="15" hidden="false" customHeight="false" outlineLevel="0" collapsed="false">
      <c r="A24" s="7" t="str">
        <f aca="false">IF(참가자!A24="","",UPPER(TRIM(참가자!A24)))</f>
        <v/>
      </c>
      <c r="B24" s="7" t="str">
        <f aca="false">IF(A24="","",IF(참가자!B24="","(팀 없음)",TRIM(참가자!B24)))</f>
        <v/>
      </c>
      <c r="C24" s="7" t="str">
        <f aca="false">IF(A24="","",IFERROR(INDEX($R$3:$R$102,MATCH(A24,$Q$3:$Q$102,0)),""))</f>
        <v/>
      </c>
      <c r="D24" s="7" t="str">
        <f aca="false">IF(A24="","",IF(C24="","결석",IF(IFERROR(INDEX($S$3:$S$102,MATCH(A24,$Q$3:$Q$102,0)),"")="비경쟁","비경쟁 응시","응시")))</f>
        <v/>
      </c>
      <c r="E24" s="7" t="str">
        <f aca="false">IF(A24="","",IF(COUNTIF($Q$3:$Q$102,A24)&gt;1,"중복! 확인",""))</f>
        <v/>
      </c>
      <c r="F24" s="7" t="str">
        <f aca="false">IF(A24="","",평가A!F24)</f>
        <v/>
      </c>
      <c r="G24" s="7" t="str">
        <f aca="false">IF(A24="","",IF(OR(C24="",F24=""),"",ROUND(C24-F24,1)))</f>
        <v/>
      </c>
      <c r="H24" s="7" t="str">
        <f aca="false">IF(A24="","",IF(C24="","",IF(C24&gt;=HIGH_CUT,PTS_HIGH,IF(F24="","",IF(G24&gt;=STEP2,PTS_HIGH,IF(G24&gt;=STEP1,PTS_MID,PTS_LOW))))))</f>
        <v/>
      </c>
      <c r="I24" s="7" t="str">
        <f aca="false">IF(A24="","",IF(AND(D24="응시",ISNUMBER(H24)),H24,""))</f>
        <v/>
      </c>
      <c r="J24" s="7" t="str">
        <f aca="false">IF(A24="","",IF(C24="","결석 - 기록 없음",IF(C24&gt;=HIGH_CUT,"높은 점수 유지",IF(F24="","기준점수 없음",IF(G24&gt;=STEP2,"향상",IF(G24&gt;=STEP1,"유지","이번에는 내려감"))))&amp;IF(D24="비경쟁 응시"," / 비경쟁: 팀 점수 제외","")))</f>
        <v/>
      </c>
      <c r="L24" s="8"/>
      <c r="M24" s="8"/>
      <c r="N24" s="8"/>
      <c r="O24" s="8"/>
      <c r="Q24" s="0" t="str">
        <f aca="false">IF(UPPER(TRIM(L24&amp;""))="","",IF(RIGHT(UPPER(TRIM(L24&amp;"")),2)="-N",TRIM(LEFT(UPPER(TRIM(L24&amp;"")),LEN(UPPER(TRIM(L24&amp;"")))-2)),UPPER(TRIM(L24&amp;""))))</f>
        <v/>
      </c>
      <c r="R24" s="0" t="str">
        <f aca="false">IF(Q24="","",IF(ISNUMBER(O24),ROUND(O24,1),IF(AND(ISNUMBER(M24),ISNUMBER(N24)),IF(N24&gt;0,ROUND(M24/N24*100,1),""),"")))</f>
        <v/>
      </c>
      <c r="S24" s="0" t="str">
        <f aca="false">IF(Q24="","",IF(RIGHT(UPPER(TRIM(L24&amp;"")),2)="-N","비경쟁",""))</f>
        <v/>
      </c>
      <c r="T24" s="0" t="str">
        <f aca="false">IF(Q24="","",IF(COUNTIF(참가자!$A$3:$A$52,Q24)=0,"명단에 없는 코드",""))</f>
        <v/>
      </c>
    </row>
    <row r="25" customFormat="false" ht="15" hidden="false" customHeight="false" outlineLevel="0" collapsed="false">
      <c r="A25" s="7" t="str">
        <f aca="false">IF(참가자!A25="","",UPPER(TRIM(참가자!A25)))</f>
        <v/>
      </c>
      <c r="B25" s="7" t="str">
        <f aca="false">IF(A25="","",IF(참가자!B25="","(팀 없음)",TRIM(참가자!B25)))</f>
        <v/>
      </c>
      <c r="C25" s="7" t="str">
        <f aca="false">IF(A25="","",IFERROR(INDEX($R$3:$R$102,MATCH(A25,$Q$3:$Q$102,0)),""))</f>
        <v/>
      </c>
      <c r="D25" s="7" t="str">
        <f aca="false">IF(A25="","",IF(C25="","결석",IF(IFERROR(INDEX($S$3:$S$102,MATCH(A25,$Q$3:$Q$102,0)),"")="비경쟁","비경쟁 응시","응시")))</f>
        <v/>
      </c>
      <c r="E25" s="7" t="str">
        <f aca="false">IF(A25="","",IF(COUNTIF($Q$3:$Q$102,A25)&gt;1,"중복! 확인",""))</f>
        <v/>
      </c>
      <c r="F25" s="7" t="str">
        <f aca="false">IF(A25="","",평가A!F25)</f>
        <v/>
      </c>
      <c r="G25" s="7" t="str">
        <f aca="false">IF(A25="","",IF(OR(C25="",F25=""),"",ROUND(C25-F25,1)))</f>
        <v/>
      </c>
      <c r="H25" s="7" t="str">
        <f aca="false">IF(A25="","",IF(C25="","",IF(C25&gt;=HIGH_CUT,PTS_HIGH,IF(F25="","",IF(G25&gt;=STEP2,PTS_HIGH,IF(G25&gt;=STEP1,PTS_MID,PTS_LOW))))))</f>
        <v/>
      </c>
      <c r="I25" s="7" t="str">
        <f aca="false">IF(A25="","",IF(AND(D25="응시",ISNUMBER(H25)),H25,""))</f>
        <v/>
      </c>
      <c r="J25" s="7" t="str">
        <f aca="false">IF(A25="","",IF(C25="","결석 - 기록 없음",IF(C25&gt;=HIGH_CUT,"높은 점수 유지",IF(F25="","기준점수 없음",IF(G25&gt;=STEP2,"향상",IF(G25&gt;=STEP1,"유지","이번에는 내려감"))))&amp;IF(D25="비경쟁 응시"," / 비경쟁: 팀 점수 제외","")))</f>
        <v/>
      </c>
      <c r="L25" s="8"/>
      <c r="M25" s="8"/>
      <c r="N25" s="8"/>
      <c r="O25" s="8"/>
      <c r="Q25" s="0" t="str">
        <f aca="false">IF(UPPER(TRIM(L25&amp;""))="","",IF(RIGHT(UPPER(TRIM(L25&amp;"")),2)="-N",TRIM(LEFT(UPPER(TRIM(L25&amp;"")),LEN(UPPER(TRIM(L25&amp;"")))-2)),UPPER(TRIM(L25&amp;""))))</f>
        <v/>
      </c>
      <c r="R25" s="0" t="str">
        <f aca="false">IF(Q25="","",IF(ISNUMBER(O25),ROUND(O25,1),IF(AND(ISNUMBER(M25),ISNUMBER(N25)),IF(N25&gt;0,ROUND(M25/N25*100,1),""),"")))</f>
        <v/>
      </c>
      <c r="S25" s="0" t="str">
        <f aca="false">IF(Q25="","",IF(RIGHT(UPPER(TRIM(L25&amp;"")),2)="-N","비경쟁",""))</f>
        <v/>
      </c>
      <c r="T25" s="0" t="str">
        <f aca="false">IF(Q25="","",IF(COUNTIF(참가자!$A$3:$A$52,Q25)=0,"명단에 없는 코드",""))</f>
        <v/>
      </c>
    </row>
    <row r="26" customFormat="false" ht="15" hidden="false" customHeight="false" outlineLevel="0" collapsed="false">
      <c r="A26" s="7" t="str">
        <f aca="false">IF(참가자!A26="","",UPPER(TRIM(참가자!A26)))</f>
        <v/>
      </c>
      <c r="B26" s="7" t="str">
        <f aca="false">IF(A26="","",IF(참가자!B26="","(팀 없음)",TRIM(참가자!B26)))</f>
        <v/>
      </c>
      <c r="C26" s="7" t="str">
        <f aca="false">IF(A26="","",IFERROR(INDEX($R$3:$R$102,MATCH(A26,$Q$3:$Q$102,0)),""))</f>
        <v/>
      </c>
      <c r="D26" s="7" t="str">
        <f aca="false">IF(A26="","",IF(C26="","결석",IF(IFERROR(INDEX($S$3:$S$102,MATCH(A26,$Q$3:$Q$102,0)),"")="비경쟁","비경쟁 응시","응시")))</f>
        <v/>
      </c>
      <c r="E26" s="7" t="str">
        <f aca="false">IF(A26="","",IF(COUNTIF($Q$3:$Q$102,A26)&gt;1,"중복! 확인",""))</f>
        <v/>
      </c>
      <c r="F26" s="7" t="str">
        <f aca="false">IF(A26="","",평가A!F26)</f>
        <v/>
      </c>
      <c r="G26" s="7" t="str">
        <f aca="false">IF(A26="","",IF(OR(C26="",F26=""),"",ROUND(C26-F26,1)))</f>
        <v/>
      </c>
      <c r="H26" s="7" t="str">
        <f aca="false">IF(A26="","",IF(C26="","",IF(C26&gt;=HIGH_CUT,PTS_HIGH,IF(F26="","",IF(G26&gt;=STEP2,PTS_HIGH,IF(G26&gt;=STEP1,PTS_MID,PTS_LOW))))))</f>
        <v/>
      </c>
      <c r="I26" s="7" t="str">
        <f aca="false">IF(A26="","",IF(AND(D26="응시",ISNUMBER(H26)),H26,""))</f>
        <v/>
      </c>
      <c r="J26" s="7" t="str">
        <f aca="false">IF(A26="","",IF(C26="","결석 - 기록 없음",IF(C26&gt;=HIGH_CUT,"높은 점수 유지",IF(F26="","기준점수 없음",IF(G26&gt;=STEP2,"향상",IF(G26&gt;=STEP1,"유지","이번에는 내려감"))))&amp;IF(D26="비경쟁 응시"," / 비경쟁: 팀 점수 제외","")))</f>
        <v/>
      </c>
      <c r="L26" s="8"/>
      <c r="M26" s="8"/>
      <c r="N26" s="8"/>
      <c r="O26" s="8"/>
      <c r="Q26" s="0" t="str">
        <f aca="false">IF(UPPER(TRIM(L26&amp;""))="","",IF(RIGHT(UPPER(TRIM(L26&amp;"")),2)="-N",TRIM(LEFT(UPPER(TRIM(L26&amp;"")),LEN(UPPER(TRIM(L26&amp;"")))-2)),UPPER(TRIM(L26&amp;""))))</f>
        <v/>
      </c>
      <c r="R26" s="0" t="str">
        <f aca="false">IF(Q26="","",IF(ISNUMBER(O26),ROUND(O26,1),IF(AND(ISNUMBER(M26),ISNUMBER(N26)),IF(N26&gt;0,ROUND(M26/N26*100,1),""),"")))</f>
        <v/>
      </c>
      <c r="S26" s="0" t="str">
        <f aca="false">IF(Q26="","",IF(RIGHT(UPPER(TRIM(L26&amp;"")),2)="-N","비경쟁",""))</f>
        <v/>
      </c>
      <c r="T26" s="0" t="str">
        <f aca="false">IF(Q26="","",IF(COUNTIF(참가자!$A$3:$A$52,Q26)=0,"명단에 없는 코드",""))</f>
        <v/>
      </c>
    </row>
    <row r="27" customFormat="false" ht="15" hidden="false" customHeight="false" outlineLevel="0" collapsed="false">
      <c r="A27" s="7" t="str">
        <f aca="false">IF(참가자!A27="","",UPPER(TRIM(참가자!A27)))</f>
        <v/>
      </c>
      <c r="B27" s="7" t="str">
        <f aca="false">IF(A27="","",IF(참가자!B27="","(팀 없음)",TRIM(참가자!B27)))</f>
        <v/>
      </c>
      <c r="C27" s="7" t="str">
        <f aca="false">IF(A27="","",IFERROR(INDEX($R$3:$R$102,MATCH(A27,$Q$3:$Q$102,0)),""))</f>
        <v/>
      </c>
      <c r="D27" s="7" t="str">
        <f aca="false">IF(A27="","",IF(C27="","결석",IF(IFERROR(INDEX($S$3:$S$102,MATCH(A27,$Q$3:$Q$102,0)),"")="비경쟁","비경쟁 응시","응시")))</f>
        <v/>
      </c>
      <c r="E27" s="7" t="str">
        <f aca="false">IF(A27="","",IF(COUNTIF($Q$3:$Q$102,A27)&gt;1,"중복! 확인",""))</f>
        <v/>
      </c>
      <c r="F27" s="7" t="str">
        <f aca="false">IF(A27="","",평가A!F27)</f>
        <v/>
      </c>
      <c r="G27" s="7" t="str">
        <f aca="false">IF(A27="","",IF(OR(C27="",F27=""),"",ROUND(C27-F27,1)))</f>
        <v/>
      </c>
      <c r="H27" s="7" t="str">
        <f aca="false">IF(A27="","",IF(C27="","",IF(C27&gt;=HIGH_CUT,PTS_HIGH,IF(F27="","",IF(G27&gt;=STEP2,PTS_HIGH,IF(G27&gt;=STEP1,PTS_MID,PTS_LOW))))))</f>
        <v/>
      </c>
      <c r="I27" s="7" t="str">
        <f aca="false">IF(A27="","",IF(AND(D27="응시",ISNUMBER(H27)),H27,""))</f>
        <v/>
      </c>
      <c r="J27" s="7" t="str">
        <f aca="false">IF(A27="","",IF(C27="","결석 - 기록 없음",IF(C27&gt;=HIGH_CUT,"높은 점수 유지",IF(F27="","기준점수 없음",IF(G27&gt;=STEP2,"향상",IF(G27&gt;=STEP1,"유지","이번에는 내려감"))))&amp;IF(D27="비경쟁 응시"," / 비경쟁: 팀 점수 제외","")))</f>
        <v/>
      </c>
      <c r="L27" s="8"/>
      <c r="M27" s="8"/>
      <c r="N27" s="8"/>
      <c r="O27" s="8"/>
      <c r="Q27" s="0" t="str">
        <f aca="false">IF(UPPER(TRIM(L27&amp;""))="","",IF(RIGHT(UPPER(TRIM(L27&amp;"")),2)="-N",TRIM(LEFT(UPPER(TRIM(L27&amp;"")),LEN(UPPER(TRIM(L27&amp;"")))-2)),UPPER(TRIM(L27&amp;""))))</f>
        <v/>
      </c>
      <c r="R27" s="0" t="str">
        <f aca="false">IF(Q27="","",IF(ISNUMBER(O27),ROUND(O27,1),IF(AND(ISNUMBER(M27),ISNUMBER(N27)),IF(N27&gt;0,ROUND(M27/N27*100,1),""),"")))</f>
        <v/>
      </c>
      <c r="S27" s="0" t="str">
        <f aca="false">IF(Q27="","",IF(RIGHT(UPPER(TRIM(L27&amp;"")),2)="-N","비경쟁",""))</f>
        <v/>
      </c>
      <c r="T27" s="0" t="str">
        <f aca="false">IF(Q27="","",IF(COUNTIF(참가자!$A$3:$A$52,Q27)=0,"명단에 없는 코드",""))</f>
        <v/>
      </c>
    </row>
    <row r="28" customFormat="false" ht="15" hidden="false" customHeight="false" outlineLevel="0" collapsed="false">
      <c r="A28" s="7" t="str">
        <f aca="false">IF(참가자!A28="","",UPPER(TRIM(참가자!A28)))</f>
        <v/>
      </c>
      <c r="B28" s="7" t="str">
        <f aca="false">IF(A28="","",IF(참가자!B28="","(팀 없음)",TRIM(참가자!B28)))</f>
        <v/>
      </c>
      <c r="C28" s="7" t="str">
        <f aca="false">IF(A28="","",IFERROR(INDEX($R$3:$R$102,MATCH(A28,$Q$3:$Q$102,0)),""))</f>
        <v/>
      </c>
      <c r="D28" s="7" t="str">
        <f aca="false">IF(A28="","",IF(C28="","결석",IF(IFERROR(INDEX($S$3:$S$102,MATCH(A28,$Q$3:$Q$102,0)),"")="비경쟁","비경쟁 응시","응시")))</f>
        <v/>
      </c>
      <c r="E28" s="7" t="str">
        <f aca="false">IF(A28="","",IF(COUNTIF($Q$3:$Q$102,A28)&gt;1,"중복! 확인",""))</f>
        <v/>
      </c>
      <c r="F28" s="7" t="str">
        <f aca="false">IF(A28="","",평가A!F28)</f>
        <v/>
      </c>
      <c r="G28" s="7" t="str">
        <f aca="false">IF(A28="","",IF(OR(C28="",F28=""),"",ROUND(C28-F28,1)))</f>
        <v/>
      </c>
      <c r="H28" s="7" t="str">
        <f aca="false">IF(A28="","",IF(C28="","",IF(C28&gt;=HIGH_CUT,PTS_HIGH,IF(F28="","",IF(G28&gt;=STEP2,PTS_HIGH,IF(G28&gt;=STEP1,PTS_MID,PTS_LOW))))))</f>
        <v/>
      </c>
      <c r="I28" s="7" t="str">
        <f aca="false">IF(A28="","",IF(AND(D28="응시",ISNUMBER(H28)),H28,""))</f>
        <v/>
      </c>
      <c r="J28" s="7" t="str">
        <f aca="false">IF(A28="","",IF(C28="","결석 - 기록 없음",IF(C28&gt;=HIGH_CUT,"높은 점수 유지",IF(F28="","기준점수 없음",IF(G28&gt;=STEP2,"향상",IF(G28&gt;=STEP1,"유지","이번에는 내려감"))))&amp;IF(D28="비경쟁 응시"," / 비경쟁: 팀 점수 제외","")))</f>
        <v/>
      </c>
      <c r="L28" s="8"/>
      <c r="M28" s="8"/>
      <c r="N28" s="8"/>
      <c r="O28" s="8"/>
      <c r="Q28" s="0" t="str">
        <f aca="false">IF(UPPER(TRIM(L28&amp;""))="","",IF(RIGHT(UPPER(TRIM(L28&amp;"")),2)="-N",TRIM(LEFT(UPPER(TRIM(L28&amp;"")),LEN(UPPER(TRIM(L28&amp;"")))-2)),UPPER(TRIM(L28&amp;""))))</f>
        <v/>
      </c>
      <c r="R28" s="0" t="str">
        <f aca="false">IF(Q28="","",IF(ISNUMBER(O28),ROUND(O28,1),IF(AND(ISNUMBER(M28),ISNUMBER(N28)),IF(N28&gt;0,ROUND(M28/N28*100,1),""),"")))</f>
        <v/>
      </c>
      <c r="S28" s="0" t="str">
        <f aca="false">IF(Q28="","",IF(RIGHT(UPPER(TRIM(L28&amp;"")),2)="-N","비경쟁",""))</f>
        <v/>
      </c>
      <c r="T28" s="0" t="str">
        <f aca="false">IF(Q28="","",IF(COUNTIF(참가자!$A$3:$A$52,Q28)=0,"명단에 없는 코드",""))</f>
        <v/>
      </c>
    </row>
    <row r="29" customFormat="false" ht="15" hidden="false" customHeight="false" outlineLevel="0" collapsed="false">
      <c r="A29" s="7" t="str">
        <f aca="false">IF(참가자!A29="","",UPPER(TRIM(참가자!A29)))</f>
        <v/>
      </c>
      <c r="B29" s="7" t="str">
        <f aca="false">IF(A29="","",IF(참가자!B29="","(팀 없음)",TRIM(참가자!B29)))</f>
        <v/>
      </c>
      <c r="C29" s="7" t="str">
        <f aca="false">IF(A29="","",IFERROR(INDEX($R$3:$R$102,MATCH(A29,$Q$3:$Q$102,0)),""))</f>
        <v/>
      </c>
      <c r="D29" s="7" t="str">
        <f aca="false">IF(A29="","",IF(C29="","결석",IF(IFERROR(INDEX($S$3:$S$102,MATCH(A29,$Q$3:$Q$102,0)),"")="비경쟁","비경쟁 응시","응시")))</f>
        <v/>
      </c>
      <c r="E29" s="7" t="str">
        <f aca="false">IF(A29="","",IF(COUNTIF($Q$3:$Q$102,A29)&gt;1,"중복! 확인",""))</f>
        <v/>
      </c>
      <c r="F29" s="7" t="str">
        <f aca="false">IF(A29="","",평가A!F29)</f>
        <v/>
      </c>
      <c r="G29" s="7" t="str">
        <f aca="false">IF(A29="","",IF(OR(C29="",F29=""),"",ROUND(C29-F29,1)))</f>
        <v/>
      </c>
      <c r="H29" s="7" t="str">
        <f aca="false">IF(A29="","",IF(C29="","",IF(C29&gt;=HIGH_CUT,PTS_HIGH,IF(F29="","",IF(G29&gt;=STEP2,PTS_HIGH,IF(G29&gt;=STEP1,PTS_MID,PTS_LOW))))))</f>
        <v/>
      </c>
      <c r="I29" s="7" t="str">
        <f aca="false">IF(A29="","",IF(AND(D29="응시",ISNUMBER(H29)),H29,""))</f>
        <v/>
      </c>
      <c r="J29" s="7" t="str">
        <f aca="false">IF(A29="","",IF(C29="","결석 - 기록 없음",IF(C29&gt;=HIGH_CUT,"높은 점수 유지",IF(F29="","기준점수 없음",IF(G29&gt;=STEP2,"향상",IF(G29&gt;=STEP1,"유지","이번에는 내려감"))))&amp;IF(D29="비경쟁 응시"," / 비경쟁: 팀 점수 제외","")))</f>
        <v/>
      </c>
      <c r="L29" s="8"/>
      <c r="M29" s="8"/>
      <c r="N29" s="8"/>
      <c r="O29" s="8"/>
      <c r="Q29" s="0" t="str">
        <f aca="false">IF(UPPER(TRIM(L29&amp;""))="","",IF(RIGHT(UPPER(TRIM(L29&amp;"")),2)="-N",TRIM(LEFT(UPPER(TRIM(L29&amp;"")),LEN(UPPER(TRIM(L29&amp;"")))-2)),UPPER(TRIM(L29&amp;""))))</f>
        <v/>
      </c>
      <c r="R29" s="0" t="str">
        <f aca="false">IF(Q29="","",IF(ISNUMBER(O29),ROUND(O29,1),IF(AND(ISNUMBER(M29),ISNUMBER(N29)),IF(N29&gt;0,ROUND(M29/N29*100,1),""),"")))</f>
        <v/>
      </c>
      <c r="S29" s="0" t="str">
        <f aca="false">IF(Q29="","",IF(RIGHT(UPPER(TRIM(L29&amp;"")),2)="-N","비경쟁",""))</f>
        <v/>
      </c>
      <c r="T29" s="0" t="str">
        <f aca="false">IF(Q29="","",IF(COUNTIF(참가자!$A$3:$A$52,Q29)=0,"명단에 없는 코드",""))</f>
        <v/>
      </c>
    </row>
    <row r="30" customFormat="false" ht="15" hidden="false" customHeight="false" outlineLevel="0" collapsed="false">
      <c r="A30" s="7" t="str">
        <f aca="false">IF(참가자!A30="","",UPPER(TRIM(참가자!A30)))</f>
        <v/>
      </c>
      <c r="B30" s="7" t="str">
        <f aca="false">IF(A30="","",IF(참가자!B30="","(팀 없음)",TRIM(참가자!B30)))</f>
        <v/>
      </c>
      <c r="C30" s="7" t="str">
        <f aca="false">IF(A30="","",IFERROR(INDEX($R$3:$R$102,MATCH(A30,$Q$3:$Q$102,0)),""))</f>
        <v/>
      </c>
      <c r="D30" s="7" t="str">
        <f aca="false">IF(A30="","",IF(C30="","결석",IF(IFERROR(INDEX($S$3:$S$102,MATCH(A30,$Q$3:$Q$102,0)),"")="비경쟁","비경쟁 응시","응시")))</f>
        <v/>
      </c>
      <c r="E30" s="7" t="str">
        <f aca="false">IF(A30="","",IF(COUNTIF($Q$3:$Q$102,A30)&gt;1,"중복! 확인",""))</f>
        <v/>
      </c>
      <c r="F30" s="7" t="str">
        <f aca="false">IF(A30="","",평가A!F30)</f>
        <v/>
      </c>
      <c r="G30" s="7" t="str">
        <f aca="false">IF(A30="","",IF(OR(C30="",F30=""),"",ROUND(C30-F30,1)))</f>
        <v/>
      </c>
      <c r="H30" s="7" t="str">
        <f aca="false">IF(A30="","",IF(C30="","",IF(C30&gt;=HIGH_CUT,PTS_HIGH,IF(F30="","",IF(G30&gt;=STEP2,PTS_HIGH,IF(G30&gt;=STEP1,PTS_MID,PTS_LOW))))))</f>
        <v/>
      </c>
      <c r="I30" s="7" t="str">
        <f aca="false">IF(A30="","",IF(AND(D30="응시",ISNUMBER(H30)),H30,""))</f>
        <v/>
      </c>
      <c r="J30" s="7" t="str">
        <f aca="false">IF(A30="","",IF(C30="","결석 - 기록 없음",IF(C30&gt;=HIGH_CUT,"높은 점수 유지",IF(F30="","기준점수 없음",IF(G30&gt;=STEP2,"향상",IF(G30&gt;=STEP1,"유지","이번에는 내려감"))))&amp;IF(D30="비경쟁 응시"," / 비경쟁: 팀 점수 제외","")))</f>
        <v/>
      </c>
      <c r="L30" s="8"/>
      <c r="M30" s="8"/>
      <c r="N30" s="8"/>
      <c r="O30" s="8"/>
      <c r="Q30" s="0" t="str">
        <f aca="false">IF(UPPER(TRIM(L30&amp;""))="","",IF(RIGHT(UPPER(TRIM(L30&amp;"")),2)="-N",TRIM(LEFT(UPPER(TRIM(L30&amp;"")),LEN(UPPER(TRIM(L30&amp;"")))-2)),UPPER(TRIM(L30&amp;""))))</f>
        <v/>
      </c>
      <c r="R30" s="0" t="str">
        <f aca="false">IF(Q30="","",IF(ISNUMBER(O30),ROUND(O30,1),IF(AND(ISNUMBER(M30),ISNUMBER(N30)),IF(N30&gt;0,ROUND(M30/N30*100,1),""),"")))</f>
        <v/>
      </c>
      <c r="S30" s="0" t="str">
        <f aca="false">IF(Q30="","",IF(RIGHT(UPPER(TRIM(L30&amp;"")),2)="-N","비경쟁",""))</f>
        <v/>
      </c>
      <c r="T30" s="0" t="str">
        <f aca="false">IF(Q30="","",IF(COUNTIF(참가자!$A$3:$A$52,Q30)=0,"명단에 없는 코드",""))</f>
        <v/>
      </c>
    </row>
    <row r="31" customFormat="false" ht="15" hidden="false" customHeight="false" outlineLevel="0" collapsed="false">
      <c r="A31" s="7" t="str">
        <f aca="false">IF(참가자!A31="","",UPPER(TRIM(참가자!A31)))</f>
        <v/>
      </c>
      <c r="B31" s="7" t="str">
        <f aca="false">IF(A31="","",IF(참가자!B31="","(팀 없음)",TRIM(참가자!B31)))</f>
        <v/>
      </c>
      <c r="C31" s="7" t="str">
        <f aca="false">IF(A31="","",IFERROR(INDEX($R$3:$R$102,MATCH(A31,$Q$3:$Q$102,0)),""))</f>
        <v/>
      </c>
      <c r="D31" s="7" t="str">
        <f aca="false">IF(A31="","",IF(C31="","결석",IF(IFERROR(INDEX($S$3:$S$102,MATCH(A31,$Q$3:$Q$102,0)),"")="비경쟁","비경쟁 응시","응시")))</f>
        <v/>
      </c>
      <c r="E31" s="7" t="str">
        <f aca="false">IF(A31="","",IF(COUNTIF($Q$3:$Q$102,A31)&gt;1,"중복! 확인",""))</f>
        <v/>
      </c>
      <c r="F31" s="7" t="str">
        <f aca="false">IF(A31="","",평가A!F31)</f>
        <v/>
      </c>
      <c r="G31" s="7" t="str">
        <f aca="false">IF(A31="","",IF(OR(C31="",F31=""),"",ROUND(C31-F31,1)))</f>
        <v/>
      </c>
      <c r="H31" s="7" t="str">
        <f aca="false">IF(A31="","",IF(C31="","",IF(C31&gt;=HIGH_CUT,PTS_HIGH,IF(F31="","",IF(G31&gt;=STEP2,PTS_HIGH,IF(G31&gt;=STEP1,PTS_MID,PTS_LOW))))))</f>
        <v/>
      </c>
      <c r="I31" s="7" t="str">
        <f aca="false">IF(A31="","",IF(AND(D31="응시",ISNUMBER(H31)),H31,""))</f>
        <v/>
      </c>
      <c r="J31" s="7" t="str">
        <f aca="false">IF(A31="","",IF(C31="","결석 - 기록 없음",IF(C31&gt;=HIGH_CUT,"높은 점수 유지",IF(F31="","기준점수 없음",IF(G31&gt;=STEP2,"향상",IF(G31&gt;=STEP1,"유지","이번에는 내려감"))))&amp;IF(D31="비경쟁 응시"," / 비경쟁: 팀 점수 제외","")))</f>
        <v/>
      </c>
      <c r="L31" s="8"/>
      <c r="M31" s="8"/>
      <c r="N31" s="8"/>
      <c r="O31" s="8"/>
      <c r="Q31" s="0" t="str">
        <f aca="false">IF(UPPER(TRIM(L31&amp;""))="","",IF(RIGHT(UPPER(TRIM(L31&amp;"")),2)="-N",TRIM(LEFT(UPPER(TRIM(L31&amp;"")),LEN(UPPER(TRIM(L31&amp;"")))-2)),UPPER(TRIM(L31&amp;""))))</f>
        <v/>
      </c>
      <c r="R31" s="0" t="str">
        <f aca="false">IF(Q31="","",IF(ISNUMBER(O31),ROUND(O31,1),IF(AND(ISNUMBER(M31),ISNUMBER(N31)),IF(N31&gt;0,ROUND(M31/N31*100,1),""),"")))</f>
        <v/>
      </c>
      <c r="S31" s="0" t="str">
        <f aca="false">IF(Q31="","",IF(RIGHT(UPPER(TRIM(L31&amp;"")),2)="-N","비경쟁",""))</f>
        <v/>
      </c>
      <c r="T31" s="0" t="str">
        <f aca="false">IF(Q31="","",IF(COUNTIF(참가자!$A$3:$A$52,Q31)=0,"명단에 없는 코드",""))</f>
        <v/>
      </c>
    </row>
    <row r="32" customFormat="false" ht="15" hidden="false" customHeight="false" outlineLevel="0" collapsed="false">
      <c r="A32" s="7" t="str">
        <f aca="false">IF(참가자!A32="","",UPPER(TRIM(참가자!A32)))</f>
        <v/>
      </c>
      <c r="B32" s="7" t="str">
        <f aca="false">IF(A32="","",IF(참가자!B32="","(팀 없음)",TRIM(참가자!B32)))</f>
        <v/>
      </c>
      <c r="C32" s="7" t="str">
        <f aca="false">IF(A32="","",IFERROR(INDEX($R$3:$R$102,MATCH(A32,$Q$3:$Q$102,0)),""))</f>
        <v/>
      </c>
      <c r="D32" s="7" t="str">
        <f aca="false">IF(A32="","",IF(C32="","결석",IF(IFERROR(INDEX($S$3:$S$102,MATCH(A32,$Q$3:$Q$102,0)),"")="비경쟁","비경쟁 응시","응시")))</f>
        <v/>
      </c>
      <c r="E32" s="7" t="str">
        <f aca="false">IF(A32="","",IF(COUNTIF($Q$3:$Q$102,A32)&gt;1,"중복! 확인",""))</f>
        <v/>
      </c>
      <c r="F32" s="7" t="str">
        <f aca="false">IF(A32="","",평가A!F32)</f>
        <v/>
      </c>
      <c r="G32" s="7" t="str">
        <f aca="false">IF(A32="","",IF(OR(C32="",F32=""),"",ROUND(C32-F32,1)))</f>
        <v/>
      </c>
      <c r="H32" s="7" t="str">
        <f aca="false">IF(A32="","",IF(C32="","",IF(C32&gt;=HIGH_CUT,PTS_HIGH,IF(F32="","",IF(G32&gt;=STEP2,PTS_HIGH,IF(G32&gt;=STEP1,PTS_MID,PTS_LOW))))))</f>
        <v/>
      </c>
      <c r="I32" s="7" t="str">
        <f aca="false">IF(A32="","",IF(AND(D32="응시",ISNUMBER(H32)),H32,""))</f>
        <v/>
      </c>
      <c r="J32" s="7" t="str">
        <f aca="false">IF(A32="","",IF(C32="","결석 - 기록 없음",IF(C32&gt;=HIGH_CUT,"높은 점수 유지",IF(F32="","기준점수 없음",IF(G32&gt;=STEP2,"향상",IF(G32&gt;=STEP1,"유지","이번에는 내려감"))))&amp;IF(D32="비경쟁 응시"," / 비경쟁: 팀 점수 제외","")))</f>
        <v/>
      </c>
      <c r="L32" s="8"/>
      <c r="M32" s="8"/>
      <c r="N32" s="8"/>
      <c r="O32" s="8"/>
      <c r="Q32" s="0" t="str">
        <f aca="false">IF(UPPER(TRIM(L32&amp;""))="","",IF(RIGHT(UPPER(TRIM(L32&amp;"")),2)="-N",TRIM(LEFT(UPPER(TRIM(L32&amp;"")),LEN(UPPER(TRIM(L32&amp;"")))-2)),UPPER(TRIM(L32&amp;""))))</f>
        <v/>
      </c>
      <c r="R32" s="0" t="str">
        <f aca="false">IF(Q32="","",IF(ISNUMBER(O32),ROUND(O32,1),IF(AND(ISNUMBER(M32),ISNUMBER(N32)),IF(N32&gt;0,ROUND(M32/N32*100,1),""),"")))</f>
        <v/>
      </c>
      <c r="S32" s="0" t="str">
        <f aca="false">IF(Q32="","",IF(RIGHT(UPPER(TRIM(L32&amp;"")),2)="-N","비경쟁",""))</f>
        <v/>
      </c>
      <c r="T32" s="0" t="str">
        <f aca="false">IF(Q32="","",IF(COUNTIF(참가자!$A$3:$A$52,Q32)=0,"명단에 없는 코드",""))</f>
        <v/>
      </c>
    </row>
    <row r="33" customFormat="false" ht="15" hidden="false" customHeight="false" outlineLevel="0" collapsed="false">
      <c r="A33" s="7" t="str">
        <f aca="false">IF(참가자!A33="","",UPPER(TRIM(참가자!A33)))</f>
        <v/>
      </c>
      <c r="B33" s="7" t="str">
        <f aca="false">IF(A33="","",IF(참가자!B33="","(팀 없음)",TRIM(참가자!B33)))</f>
        <v/>
      </c>
      <c r="C33" s="7" t="str">
        <f aca="false">IF(A33="","",IFERROR(INDEX($R$3:$R$102,MATCH(A33,$Q$3:$Q$102,0)),""))</f>
        <v/>
      </c>
      <c r="D33" s="7" t="str">
        <f aca="false">IF(A33="","",IF(C33="","결석",IF(IFERROR(INDEX($S$3:$S$102,MATCH(A33,$Q$3:$Q$102,0)),"")="비경쟁","비경쟁 응시","응시")))</f>
        <v/>
      </c>
      <c r="E33" s="7" t="str">
        <f aca="false">IF(A33="","",IF(COUNTIF($Q$3:$Q$102,A33)&gt;1,"중복! 확인",""))</f>
        <v/>
      </c>
      <c r="F33" s="7" t="str">
        <f aca="false">IF(A33="","",평가A!F33)</f>
        <v/>
      </c>
      <c r="G33" s="7" t="str">
        <f aca="false">IF(A33="","",IF(OR(C33="",F33=""),"",ROUND(C33-F33,1)))</f>
        <v/>
      </c>
      <c r="H33" s="7" t="str">
        <f aca="false">IF(A33="","",IF(C33="","",IF(C33&gt;=HIGH_CUT,PTS_HIGH,IF(F33="","",IF(G33&gt;=STEP2,PTS_HIGH,IF(G33&gt;=STEP1,PTS_MID,PTS_LOW))))))</f>
        <v/>
      </c>
      <c r="I33" s="7" t="str">
        <f aca="false">IF(A33="","",IF(AND(D33="응시",ISNUMBER(H33)),H33,""))</f>
        <v/>
      </c>
      <c r="J33" s="7" t="str">
        <f aca="false">IF(A33="","",IF(C33="","결석 - 기록 없음",IF(C33&gt;=HIGH_CUT,"높은 점수 유지",IF(F33="","기준점수 없음",IF(G33&gt;=STEP2,"향상",IF(G33&gt;=STEP1,"유지","이번에는 내려감"))))&amp;IF(D33="비경쟁 응시"," / 비경쟁: 팀 점수 제외","")))</f>
        <v/>
      </c>
      <c r="L33" s="8"/>
      <c r="M33" s="8"/>
      <c r="N33" s="8"/>
      <c r="O33" s="8"/>
      <c r="Q33" s="0" t="str">
        <f aca="false">IF(UPPER(TRIM(L33&amp;""))="","",IF(RIGHT(UPPER(TRIM(L33&amp;"")),2)="-N",TRIM(LEFT(UPPER(TRIM(L33&amp;"")),LEN(UPPER(TRIM(L33&amp;"")))-2)),UPPER(TRIM(L33&amp;""))))</f>
        <v/>
      </c>
      <c r="R33" s="0" t="str">
        <f aca="false">IF(Q33="","",IF(ISNUMBER(O33),ROUND(O33,1),IF(AND(ISNUMBER(M33),ISNUMBER(N33)),IF(N33&gt;0,ROUND(M33/N33*100,1),""),"")))</f>
        <v/>
      </c>
      <c r="S33" s="0" t="str">
        <f aca="false">IF(Q33="","",IF(RIGHT(UPPER(TRIM(L33&amp;"")),2)="-N","비경쟁",""))</f>
        <v/>
      </c>
      <c r="T33" s="0" t="str">
        <f aca="false">IF(Q33="","",IF(COUNTIF(참가자!$A$3:$A$52,Q33)=0,"명단에 없는 코드",""))</f>
        <v/>
      </c>
    </row>
    <row r="34" customFormat="false" ht="15" hidden="false" customHeight="false" outlineLevel="0" collapsed="false">
      <c r="A34" s="7" t="str">
        <f aca="false">IF(참가자!A34="","",UPPER(TRIM(참가자!A34)))</f>
        <v/>
      </c>
      <c r="B34" s="7" t="str">
        <f aca="false">IF(A34="","",IF(참가자!B34="","(팀 없음)",TRIM(참가자!B34)))</f>
        <v/>
      </c>
      <c r="C34" s="7" t="str">
        <f aca="false">IF(A34="","",IFERROR(INDEX($R$3:$R$102,MATCH(A34,$Q$3:$Q$102,0)),""))</f>
        <v/>
      </c>
      <c r="D34" s="7" t="str">
        <f aca="false">IF(A34="","",IF(C34="","결석",IF(IFERROR(INDEX($S$3:$S$102,MATCH(A34,$Q$3:$Q$102,0)),"")="비경쟁","비경쟁 응시","응시")))</f>
        <v/>
      </c>
      <c r="E34" s="7" t="str">
        <f aca="false">IF(A34="","",IF(COUNTIF($Q$3:$Q$102,A34)&gt;1,"중복! 확인",""))</f>
        <v/>
      </c>
      <c r="F34" s="7" t="str">
        <f aca="false">IF(A34="","",평가A!F34)</f>
        <v/>
      </c>
      <c r="G34" s="7" t="str">
        <f aca="false">IF(A34="","",IF(OR(C34="",F34=""),"",ROUND(C34-F34,1)))</f>
        <v/>
      </c>
      <c r="H34" s="7" t="str">
        <f aca="false">IF(A34="","",IF(C34="","",IF(C34&gt;=HIGH_CUT,PTS_HIGH,IF(F34="","",IF(G34&gt;=STEP2,PTS_HIGH,IF(G34&gt;=STEP1,PTS_MID,PTS_LOW))))))</f>
        <v/>
      </c>
      <c r="I34" s="7" t="str">
        <f aca="false">IF(A34="","",IF(AND(D34="응시",ISNUMBER(H34)),H34,""))</f>
        <v/>
      </c>
      <c r="J34" s="7" t="str">
        <f aca="false">IF(A34="","",IF(C34="","결석 - 기록 없음",IF(C34&gt;=HIGH_CUT,"높은 점수 유지",IF(F34="","기준점수 없음",IF(G34&gt;=STEP2,"향상",IF(G34&gt;=STEP1,"유지","이번에는 내려감"))))&amp;IF(D34="비경쟁 응시"," / 비경쟁: 팀 점수 제외","")))</f>
        <v/>
      </c>
      <c r="L34" s="8"/>
      <c r="M34" s="8"/>
      <c r="N34" s="8"/>
      <c r="O34" s="8"/>
      <c r="Q34" s="0" t="str">
        <f aca="false">IF(UPPER(TRIM(L34&amp;""))="","",IF(RIGHT(UPPER(TRIM(L34&amp;"")),2)="-N",TRIM(LEFT(UPPER(TRIM(L34&amp;"")),LEN(UPPER(TRIM(L34&amp;"")))-2)),UPPER(TRIM(L34&amp;""))))</f>
        <v/>
      </c>
      <c r="R34" s="0" t="str">
        <f aca="false">IF(Q34="","",IF(ISNUMBER(O34),ROUND(O34,1),IF(AND(ISNUMBER(M34),ISNUMBER(N34)),IF(N34&gt;0,ROUND(M34/N34*100,1),""),"")))</f>
        <v/>
      </c>
      <c r="S34" s="0" t="str">
        <f aca="false">IF(Q34="","",IF(RIGHT(UPPER(TRIM(L34&amp;"")),2)="-N","비경쟁",""))</f>
        <v/>
      </c>
      <c r="T34" s="0" t="str">
        <f aca="false">IF(Q34="","",IF(COUNTIF(참가자!$A$3:$A$52,Q34)=0,"명단에 없는 코드",""))</f>
        <v/>
      </c>
    </row>
    <row r="35" customFormat="false" ht="15" hidden="false" customHeight="false" outlineLevel="0" collapsed="false">
      <c r="A35" s="7" t="str">
        <f aca="false">IF(참가자!A35="","",UPPER(TRIM(참가자!A35)))</f>
        <v/>
      </c>
      <c r="B35" s="7" t="str">
        <f aca="false">IF(A35="","",IF(참가자!B35="","(팀 없음)",TRIM(참가자!B35)))</f>
        <v/>
      </c>
      <c r="C35" s="7" t="str">
        <f aca="false">IF(A35="","",IFERROR(INDEX($R$3:$R$102,MATCH(A35,$Q$3:$Q$102,0)),""))</f>
        <v/>
      </c>
      <c r="D35" s="7" t="str">
        <f aca="false">IF(A35="","",IF(C35="","결석",IF(IFERROR(INDEX($S$3:$S$102,MATCH(A35,$Q$3:$Q$102,0)),"")="비경쟁","비경쟁 응시","응시")))</f>
        <v/>
      </c>
      <c r="E35" s="7" t="str">
        <f aca="false">IF(A35="","",IF(COUNTIF($Q$3:$Q$102,A35)&gt;1,"중복! 확인",""))</f>
        <v/>
      </c>
      <c r="F35" s="7" t="str">
        <f aca="false">IF(A35="","",평가A!F35)</f>
        <v/>
      </c>
      <c r="G35" s="7" t="str">
        <f aca="false">IF(A35="","",IF(OR(C35="",F35=""),"",ROUND(C35-F35,1)))</f>
        <v/>
      </c>
      <c r="H35" s="7" t="str">
        <f aca="false">IF(A35="","",IF(C35="","",IF(C35&gt;=HIGH_CUT,PTS_HIGH,IF(F35="","",IF(G35&gt;=STEP2,PTS_HIGH,IF(G35&gt;=STEP1,PTS_MID,PTS_LOW))))))</f>
        <v/>
      </c>
      <c r="I35" s="7" t="str">
        <f aca="false">IF(A35="","",IF(AND(D35="응시",ISNUMBER(H35)),H35,""))</f>
        <v/>
      </c>
      <c r="J35" s="7" t="str">
        <f aca="false">IF(A35="","",IF(C35="","결석 - 기록 없음",IF(C35&gt;=HIGH_CUT,"높은 점수 유지",IF(F35="","기준점수 없음",IF(G35&gt;=STEP2,"향상",IF(G35&gt;=STEP1,"유지","이번에는 내려감"))))&amp;IF(D35="비경쟁 응시"," / 비경쟁: 팀 점수 제외","")))</f>
        <v/>
      </c>
      <c r="L35" s="8"/>
      <c r="M35" s="8"/>
      <c r="N35" s="8"/>
      <c r="O35" s="8"/>
      <c r="Q35" s="0" t="str">
        <f aca="false">IF(UPPER(TRIM(L35&amp;""))="","",IF(RIGHT(UPPER(TRIM(L35&amp;"")),2)="-N",TRIM(LEFT(UPPER(TRIM(L35&amp;"")),LEN(UPPER(TRIM(L35&amp;"")))-2)),UPPER(TRIM(L35&amp;""))))</f>
        <v/>
      </c>
      <c r="R35" s="0" t="str">
        <f aca="false">IF(Q35="","",IF(ISNUMBER(O35),ROUND(O35,1),IF(AND(ISNUMBER(M35),ISNUMBER(N35)),IF(N35&gt;0,ROUND(M35/N35*100,1),""),"")))</f>
        <v/>
      </c>
      <c r="S35" s="0" t="str">
        <f aca="false">IF(Q35="","",IF(RIGHT(UPPER(TRIM(L35&amp;"")),2)="-N","비경쟁",""))</f>
        <v/>
      </c>
      <c r="T35" s="0" t="str">
        <f aca="false">IF(Q35="","",IF(COUNTIF(참가자!$A$3:$A$52,Q35)=0,"명단에 없는 코드",""))</f>
        <v/>
      </c>
    </row>
    <row r="36" customFormat="false" ht="15" hidden="false" customHeight="false" outlineLevel="0" collapsed="false">
      <c r="A36" s="7" t="str">
        <f aca="false">IF(참가자!A36="","",UPPER(TRIM(참가자!A36)))</f>
        <v/>
      </c>
      <c r="B36" s="7" t="str">
        <f aca="false">IF(A36="","",IF(참가자!B36="","(팀 없음)",TRIM(참가자!B36)))</f>
        <v/>
      </c>
      <c r="C36" s="7" t="str">
        <f aca="false">IF(A36="","",IFERROR(INDEX($R$3:$R$102,MATCH(A36,$Q$3:$Q$102,0)),""))</f>
        <v/>
      </c>
      <c r="D36" s="7" t="str">
        <f aca="false">IF(A36="","",IF(C36="","결석",IF(IFERROR(INDEX($S$3:$S$102,MATCH(A36,$Q$3:$Q$102,0)),"")="비경쟁","비경쟁 응시","응시")))</f>
        <v/>
      </c>
      <c r="E36" s="7" t="str">
        <f aca="false">IF(A36="","",IF(COUNTIF($Q$3:$Q$102,A36)&gt;1,"중복! 확인",""))</f>
        <v/>
      </c>
      <c r="F36" s="7" t="str">
        <f aca="false">IF(A36="","",평가A!F36)</f>
        <v/>
      </c>
      <c r="G36" s="7" t="str">
        <f aca="false">IF(A36="","",IF(OR(C36="",F36=""),"",ROUND(C36-F36,1)))</f>
        <v/>
      </c>
      <c r="H36" s="7" t="str">
        <f aca="false">IF(A36="","",IF(C36="","",IF(C36&gt;=HIGH_CUT,PTS_HIGH,IF(F36="","",IF(G36&gt;=STEP2,PTS_HIGH,IF(G36&gt;=STEP1,PTS_MID,PTS_LOW))))))</f>
        <v/>
      </c>
      <c r="I36" s="7" t="str">
        <f aca="false">IF(A36="","",IF(AND(D36="응시",ISNUMBER(H36)),H36,""))</f>
        <v/>
      </c>
      <c r="J36" s="7" t="str">
        <f aca="false">IF(A36="","",IF(C36="","결석 - 기록 없음",IF(C36&gt;=HIGH_CUT,"높은 점수 유지",IF(F36="","기준점수 없음",IF(G36&gt;=STEP2,"향상",IF(G36&gt;=STEP1,"유지","이번에는 내려감"))))&amp;IF(D36="비경쟁 응시"," / 비경쟁: 팀 점수 제외","")))</f>
        <v/>
      </c>
      <c r="L36" s="8"/>
      <c r="M36" s="8"/>
      <c r="N36" s="8"/>
      <c r="O36" s="8"/>
      <c r="Q36" s="0" t="str">
        <f aca="false">IF(UPPER(TRIM(L36&amp;""))="","",IF(RIGHT(UPPER(TRIM(L36&amp;"")),2)="-N",TRIM(LEFT(UPPER(TRIM(L36&amp;"")),LEN(UPPER(TRIM(L36&amp;"")))-2)),UPPER(TRIM(L36&amp;""))))</f>
        <v/>
      </c>
      <c r="R36" s="0" t="str">
        <f aca="false">IF(Q36="","",IF(ISNUMBER(O36),ROUND(O36,1),IF(AND(ISNUMBER(M36),ISNUMBER(N36)),IF(N36&gt;0,ROUND(M36/N36*100,1),""),"")))</f>
        <v/>
      </c>
      <c r="S36" s="0" t="str">
        <f aca="false">IF(Q36="","",IF(RIGHT(UPPER(TRIM(L36&amp;"")),2)="-N","비경쟁",""))</f>
        <v/>
      </c>
      <c r="T36" s="0" t="str">
        <f aca="false">IF(Q36="","",IF(COUNTIF(참가자!$A$3:$A$52,Q36)=0,"명단에 없는 코드",""))</f>
        <v/>
      </c>
    </row>
    <row r="37" customFormat="false" ht="15" hidden="false" customHeight="false" outlineLevel="0" collapsed="false">
      <c r="A37" s="7" t="str">
        <f aca="false">IF(참가자!A37="","",UPPER(TRIM(참가자!A37)))</f>
        <v/>
      </c>
      <c r="B37" s="7" t="str">
        <f aca="false">IF(A37="","",IF(참가자!B37="","(팀 없음)",TRIM(참가자!B37)))</f>
        <v/>
      </c>
      <c r="C37" s="7" t="str">
        <f aca="false">IF(A37="","",IFERROR(INDEX($R$3:$R$102,MATCH(A37,$Q$3:$Q$102,0)),""))</f>
        <v/>
      </c>
      <c r="D37" s="7" t="str">
        <f aca="false">IF(A37="","",IF(C37="","결석",IF(IFERROR(INDEX($S$3:$S$102,MATCH(A37,$Q$3:$Q$102,0)),"")="비경쟁","비경쟁 응시","응시")))</f>
        <v/>
      </c>
      <c r="E37" s="7" t="str">
        <f aca="false">IF(A37="","",IF(COUNTIF($Q$3:$Q$102,A37)&gt;1,"중복! 확인",""))</f>
        <v/>
      </c>
      <c r="F37" s="7" t="str">
        <f aca="false">IF(A37="","",평가A!F37)</f>
        <v/>
      </c>
      <c r="G37" s="7" t="str">
        <f aca="false">IF(A37="","",IF(OR(C37="",F37=""),"",ROUND(C37-F37,1)))</f>
        <v/>
      </c>
      <c r="H37" s="7" t="str">
        <f aca="false">IF(A37="","",IF(C37="","",IF(C37&gt;=HIGH_CUT,PTS_HIGH,IF(F37="","",IF(G37&gt;=STEP2,PTS_HIGH,IF(G37&gt;=STEP1,PTS_MID,PTS_LOW))))))</f>
        <v/>
      </c>
      <c r="I37" s="7" t="str">
        <f aca="false">IF(A37="","",IF(AND(D37="응시",ISNUMBER(H37)),H37,""))</f>
        <v/>
      </c>
      <c r="J37" s="7" t="str">
        <f aca="false">IF(A37="","",IF(C37="","결석 - 기록 없음",IF(C37&gt;=HIGH_CUT,"높은 점수 유지",IF(F37="","기준점수 없음",IF(G37&gt;=STEP2,"향상",IF(G37&gt;=STEP1,"유지","이번에는 내려감"))))&amp;IF(D37="비경쟁 응시"," / 비경쟁: 팀 점수 제외","")))</f>
        <v/>
      </c>
      <c r="L37" s="8"/>
      <c r="M37" s="8"/>
      <c r="N37" s="8"/>
      <c r="O37" s="8"/>
      <c r="Q37" s="0" t="str">
        <f aca="false">IF(UPPER(TRIM(L37&amp;""))="","",IF(RIGHT(UPPER(TRIM(L37&amp;"")),2)="-N",TRIM(LEFT(UPPER(TRIM(L37&amp;"")),LEN(UPPER(TRIM(L37&amp;"")))-2)),UPPER(TRIM(L37&amp;""))))</f>
        <v/>
      </c>
      <c r="R37" s="0" t="str">
        <f aca="false">IF(Q37="","",IF(ISNUMBER(O37),ROUND(O37,1),IF(AND(ISNUMBER(M37),ISNUMBER(N37)),IF(N37&gt;0,ROUND(M37/N37*100,1),""),"")))</f>
        <v/>
      </c>
      <c r="S37" s="0" t="str">
        <f aca="false">IF(Q37="","",IF(RIGHT(UPPER(TRIM(L37&amp;"")),2)="-N","비경쟁",""))</f>
        <v/>
      </c>
      <c r="T37" s="0" t="str">
        <f aca="false">IF(Q37="","",IF(COUNTIF(참가자!$A$3:$A$52,Q37)=0,"명단에 없는 코드",""))</f>
        <v/>
      </c>
    </row>
    <row r="38" customFormat="false" ht="15" hidden="false" customHeight="false" outlineLevel="0" collapsed="false">
      <c r="A38" s="7" t="str">
        <f aca="false">IF(참가자!A38="","",UPPER(TRIM(참가자!A38)))</f>
        <v/>
      </c>
      <c r="B38" s="7" t="str">
        <f aca="false">IF(A38="","",IF(참가자!B38="","(팀 없음)",TRIM(참가자!B38)))</f>
        <v/>
      </c>
      <c r="C38" s="7" t="str">
        <f aca="false">IF(A38="","",IFERROR(INDEX($R$3:$R$102,MATCH(A38,$Q$3:$Q$102,0)),""))</f>
        <v/>
      </c>
      <c r="D38" s="7" t="str">
        <f aca="false">IF(A38="","",IF(C38="","결석",IF(IFERROR(INDEX($S$3:$S$102,MATCH(A38,$Q$3:$Q$102,0)),"")="비경쟁","비경쟁 응시","응시")))</f>
        <v/>
      </c>
      <c r="E38" s="7" t="str">
        <f aca="false">IF(A38="","",IF(COUNTIF($Q$3:$Q$102,A38)&gt;1,"중복! 확인",""))</f>
        <v/>
      </c>
      <c r="F38" s="7" t="str">
        <f aca="false">IF(A38="","",평가A!F38)</f>
        <v/>
      </c>
      <c r="G38" s="7" t="str">
        <f aca="false">IF(A38="","",IF(OR(C38="",F38=""),"",ROUND(C38-F38,1)))</f>
        <v/>
      </c>
      <c r="H38" s="7" t="str">
        <f aca="false">IF(A38="","",IF(C38="","",IF(C38&gt;=HIGH_CUT,PTS_HIGH,IF(F38="","",IF(G38&gt;=STEP2,PTS_HIGH,IF(G38&gt;=STEP1,PTS_MID,PTS_LOW))))))</f>
        <v/>
      </c>
      <c r="I38" s="7" t="str">
        <f aca="false">IF(A38="","",IF(AND(D38="응시",ISNUMBER(H38)),H38,""))</f>
        <v/>
      </c>
      <c r="J38" s="7" t="str">
        <f aca="false">IF(A38="","",IF(C38="","결석 - 기록 없음",IF(C38&gt;=HIGH_CUT,"높은 점수 유지",IF(F38="","기준점수 없음",IF(G38&gt;=STEP2,"향상",IF(G38&gt;=STEP1,"유지","이번에는 내려감"))))&amp;IF(D38="비경쟁 응시"," / 비경쟁: 팀 점수 제외","")))</f>
        <v/>
      </c>
      <c r="L38" s="8"/>
      <c r="M38" s="8"/>
      <c r="N38" s="8"/>
      <c r="O38" s="8"/>
      <c r="Q38" s="0" t="str">
        <f aca="false">IF(UPPER(TRIM(L38&amp;""))="","",IF(RIGHT(UPPER(TRIM(L38&amp;"")),2)="-N",TRIM(LEFT(UPPER(TRIM(L38&amp;"")),LEN(UPPER(TRIM(L38&amp;"")))-2)),UPPER(TRIM(L38&amp;""))))</f>
        <v/>
      </c>
      <c r="R38" s="0" t="str">
        <f aca="false">IF(Q38="","",IF(ISNUMBER(O38),ROUND(O38,1),IF(AND(ISNUMBER(M38),ISNUMBER(N38)),IF(N38&gt;0,ROUND(M38/N38*100,1),""),"")))</f>
        <v/>
      </c>
      <c r="S38" s="0" t="str">
        <f aca="false">IF(Q38="","",IF(RIGHT(UPPER(TRIM(L38&amp;"")),2)="-N","비경쟁",""))</f>
        <v/>
      </c>
      <c r="T38" s="0" t="str">
        <f aca="false">IF(Q38="","",IF(COUNTIF(참가자!$A$3:$A$52,Q38)=0,"명단에 없는 코드",""))</f>
        <v/>
      </c>
    </row>
    <row r="39" customFormat="false" ht="15" hidden="false" customHeight="false" outlineLevel="0" collapsed="false">
      <c r="A39" s="7" t="str">
        <f aca="false">IF(참가자!A39="","",UPPER(TRIM(참가자!A39)))</f>
        <v/>
      </c>
      <c r="B39" s="7" t="str">
        <f aca="false">IF(A39="","",IF(참가자!B39="","(팀 없음)",TRIM(참가자!B39)))</f>
        <v/>
      </c>
      <c r="C39" s="7" t="str">
        <f aca="false">IF(A39="","",IFERROR(INDEX($R$3:$R$102,MATCH(A39,$Q$3:$Q$102,0)),""))</f>
        <v/>
      </c>
      <c r="D39" s="7" t="str">
        <f aca="false">IF(A39="","",IF(C39="","결석",IF(IFERROR(INDEX($S$3:$S$102,MATCH(A39,$Q$3:$Q$102,0)),"")="비경쟁","비경쟁 응시","응시")))</f>
        <v/>
      </c>
      <c r="E39" s="7" t="str">
        <f aca="false">IF(A39="","",IF(COUNTIF($Q$3:$Q$102,A39)&gt;1,"중복! 확인",""))</f>
        <v/>
      </c>
      <c r="F39" s="7" t="str">
        <f aca="false">IF(A39="","",평가A!F39)</f>
        <v/>
      </c>
      <c r="G39" s="7" t="str">
        <f aca="false">IF(A39="","",IF(OR(C39="",F39=""),"",ROUND(C39-F39,1)))</f>
        <v/>
      </c>
      <c r="H39" s="7" t="str">
        <f aca="false">IF(A39="","",IF(C39="","",IF(C39&gt;=HIGH_CUT,PTS_HIGH,IF(F39="","",IF(G39&gt;=STEP2,PTS_HIGH,IF(G39&gt;=STEP1,PTS_MID,PTS_LOW))))))</f>
        <v/>
      </c>
      <c r="I39" s="7" t="str">
        <f aca="false">IF(A39="","",IF(AND(D39="응시",ISNUMBER(H39)),H39,""))</f>
        <v/>
      </c>
      <c r="J39" s="7" t="str">
        <f aca="false">IF(A39="","",IF(C39="","결석 - 기록 없음",IF(C39&gt;=HIGH_CUT,"높은 점수 유지",IF(F39="","기준점수 없음",IF(G39&gt;=STEP2,"향상",IF(G39&gt;=STEP1,"유지","이번에는 내려감"))))&amp;IF(D39="비경쟁 응시"," / 비경쟁: 팀 점수 제외","")))</f>
        <v/>
      </c>
      <c r="L39" s="8"/>
      <c r="M39" s="8"/>
      <c r="N39" s="8"/>
      <c r="O39" s="8"/>
      <c r="Q39" s="0" t="str">
        <f aca="false">IF(UPPER(TRIM(L39&amp;""))="","",IF(RIGHT(UPPER(TRIM(L39&amp;"")),2)="-N",TRIM(LEFT(UPPER(TRIM(L39&amp;"")),LEN(UPPER(TRIM(L39&amp;"")))-2)),UPPER(TRIM(L39&amp;""))))</f>
        <v/>
      </c>
      <c r="R39" s="0" t="str">
        <f aca="false">IF(Q39="","",IF(ISNUMBER(O39),ROUND(O39,1),IF(AND(ISNUMBER(M39),ISNUMBER(N39)),IF(N39&gt;0,ROUND(M39/N39*100,1),""),"")))</f>
        <v/>
      </c>
      <c r="S39" s="0" t="str">
        <f aca="false">IF(Q39="","",IF(RIGHT(UPPER(TRIM(L39&amp;"")),2)="-N","비경쟁",""))</f>
        <v/>
      </c>
      <c r="T39" s="0" t="str">
        <f aca="false">IF(Q39="","",IF(COUNTIF(참가자!$A$3:$A$52,Q39)=0,"명단에 없는 코드",""))</f>
        <v/>
      </c>
    </row>
    <row r="40" customFormat="false" ht="15" hidden="false" customHeight="false" outlineLevel="0" collapsed="false">
      <c r="A40" s="7" t="str">
        <f aca="false">IF(참가자!A40="","",UPPER(TRIM(참가자!A40)))</f>
        <v/>
      </c>
      <c r="B40" s="7" t="str">
        <f aca="false">IF(A40="","",IF(참가자!B40="","(팀 없음)",TRIM(참가자!B40)))</f>
        <v/>
      </c>
      <c r="C40" s="7" t="str">
        <f aca="false">IF(A40="","",IFERROR(INDEX($R$3:$R$102,MATCH(A40,$Q$3:$Q$102,0)),""))</f>
        <v/>
      </c>
      <c r="D40" s="7" t="str">
        <f aca="false">IF(A40="","",IF(C40="","결석",IF(IFERROR(INDEX($S$3:$S$102,MATCH(A40,$Q$3:$Q$102,0)),"")="비경쟁","비경쟁 응시","응시")))</f>
        <v/>
      </c>
      <c r="E40" s="7" t="str">
        <f aca="false">IF(A40="","",IF(COUNTIF($Q$3:$Q$102,A40)&gt;1,"중복! 확인",""))</f>
        <v/>
      </c>
      <c r="F40" s="7" t="str">
        <f aca="false">IF(A40="","",평가A!F40)</f>
        <v/>
      </c>
      <c r="G40" s="7" t="str">
        <f aca="false">IF(A40="","",IF(OR(C40="",F40=""),"",ROUND(C40-F40,1)))</f>
        <v/>
      </c>
      <c r="H40" s="7" t="str">
        <f aca="false">IF(A40="","",IF(C40="","",IF(C40&gt;=HIGH_CUT,PTS_HIGH,IF(F40="","",IF(G40&gt;=STEP2,PTS_HIGH,IF(G40&gt;=STEP1,PTS_MID,PTS_LOW))))))</f>
        <v/>
      </c>
      <c r="I40" s="7" t="str">
        <f aca="false">IF(A40="","",IF(AND(D40="응시",ISNUMBER(H40)),H40,""))</f>
        <v/>
      </c>
      <c r="J40" s="7" t="str">
        <f aca="false">IF(A40="","",IF(C40="","결석 - 기록 없음",IF(C40&gt;=HIGH_CUT,"높은 점수 유지",IF(F40="","기준점수 없음",IF(G40&gt;=STEP2,"향상",IF(G40&gt;=STEP1,"유지","이번에는 내려감"))))&amp;IF(D40="비경쟁 응시"," / 비경쟁: 팀 점수 제외","")))</f>
        <v/>
      </c>
      <c r="L40" s="8"/>
      <c r="M40" s="8"/>
      <c r="N40" s="8"/>
      <c r="O40" s="8"/>
      <c r="Q40" s="0" t="str">
        <f aca="false">IF(UPPER(TRIM(L40&amp;""))="","",IF(RIGHT(UPPER(TRIM(L40&amp;"")),2)="-N",TRIM(LEFT(UPPER(TRIM(L40&amp;"")),LEN(UPPER(TRIM(L40&amp;"")))-2)),UPPER(TRIM(L40&amp;""))))</f>
        <v/>
      </c>
      <c r="R40" s="0" t="str">
        <f aca="false">IF(Q40="","",IF(ISNUMBER(O40),ROUND(O40,1),IF(AND(ISNUMBER(M40),ISNUMBER(N40)),IF(N40&gt;0,ROUND(M40/N40*100,1),""),"")))</f>
        <v/>
      </c>
      <c r="S40" s="0" t="str">
        <f aca="false">IF(Q40="","",IF(RIGHT(UPPER(TRIM(L40&amp;"")),2)="-N","비경쟁",""))</f>
        <v/>
      </c>
      <c r="T40" s="0" t="str">
        <f aca="false">IF(Q40="","",IF(COUNTIF(참가자!$A$3:$A$52,Q40)=0,"명단에 없는 코드",""))</f>
        <v/>
      </c>
    </row>
    <row r="41" customFormat="false" ht="15" hidden="false" customHeight="false" outlineLevel="0" collapsed="false">
      <c r="A41" s="7" t="str">
        <f aca="false">IF(참가자!A41="","",UPPER(TRIM(참가자!A41)))</f>
        <v/>
      </c>
      <c r="B41" s="7" t="str">
        <f aca="false">IF(A41="","",IF(참가자!B41="","(팀 없음)",TRIM(참가자!B41)))</f>
        <v/>
      </c>
      <c r="C41" s="7" t="str">
        <f aca="false">IF(A41="","",IFERROR(INDEX($R$3:$R$102,MATCH(A41,$Q$3:$Q$102,0)),""))</f>
        <v/>
      </c>
      <c r="D41" s="7" t="str">
        <f aca="false">IF(A41="","",IF(C41="","결석",IF(IFERROR(INDEX($S$3:$S$102,MATCH(A41,$Q$3:$Q$102,0)),"")="비경쟁","비경쟁 응시","응시")))</f>
        <v/>
      </c>
      <c r="E41" s="7" t="str">
        <f aca="false">IF(A41="","",IF(COUNTIF($Q$3:$Q$102,A41)&gt;1,"중복! 확인",""))</f>
        <v/>
      </c>
      <c r="F41" s="7" t="str">
        <f aca="false">IF(A41="","",평가A!F41)</f>
        <v/>
      </c>
      <c r="G41" s="7" t="str">
        <f aca="false">IF(A41="","",IF(OR(C41="",F41=""),"",ROUND(C41-F41,1)))</f>
        <v/>
      </c>
      <c r="H41" s="7" t="str">
        <f aca="false">IF(A41="","",IF(C41="","",IF(C41&gt;=HIGH_CUT,PTS_HIGH,IF(F41="","",IF(G41&gt;=STEP2,PTS_HIGH,IF(G41&gt;=STEP1,PTS_MID,PTS_LOW))))))</f>
        <v/>
      </c>
      <c r="I41" s="7" t="str">
        <f aca="false">IF(A41="","",IF(AND(D41="응시",ISNUMBER(H41)),H41,""))</f>
        <v/>
      </c>
      <c r="J41" s="7" t="str">
        <f aca="false">IF(A41="","",IF(C41="","결석 - 기록 없음",IF(C41&gt;=HIGH_CUT,"높은 점수 유지",IF(F41="","기준점수 없음",IF(G41&gt;=STEP2,"향상",IF(G41&gt;=STEP1,"유지","이번에는 내려감"))))&amp;IF(D41="비경쟁 응시"," / 비경쟁: 팀 점수 제외","")))</f>
        <v/>
      </c>
      <c r="L41" s="8"/>
      <c r="M41" s="8"/>
      <c r="N41" s="8"/>
      <c r="O41" s="8"/>
      <c r="Q41" s="0" t="str">
        <f aca="false">IF(UPPER(TRIM(L41&amp;""))="","",IF(RIGHT(UPPER(TRIM(L41&amp;"")),2)="-N",TRIM(LEFT(UPPER(TRIM(L41&amp;"")),LEN(UPPER(TRIM(L41&amp;"")))-2)),UPPER(TRIM(L41&amp;""))))</f>
        <v/>
      </c>
      <c r="R41" s="0" t="str">
        <f aca="false">IF(Q41="","",IF(ISNUMBER(O41),ROUND(O41,1),IF(AND(ISNUMBER(M41),ISNUMBER(N41)),IF(N41&gt;0,ROUND(M41/N41*100,1),""),"")))</f>
        <v/>
      </c>
      <c r="S41" s="0" t="str">
        <f aca="false">IF(Q41="","",IF(RIGHT(UPPER(TRIM(L41&amp;"")),2)="-N","비경쟁",""))</f>
        <v/>
      </c>
      <c r="T41" s="0" t="str">
        <f aca="false">IF(Q41="","",IF(COUNTIF(참가자!$A$3:$A$52,Q41)=0,"명단에 없는 코드",""))</f>
        <v/>
      </c>
    </row>
    <row r="42" customFormat="false" ht="15" hidden="false" customHeight="false" outlineLevel="0" collapsed="false">
      <c r="A42" s="7" t="str">
        <f aca="false">IF(참가자!A42="","",UPPER(TRIM(참가자!A42)))</f>
        <v/>
      </c>
      <c r="B42" s="7" t="str">
        <f aca="false">IF(A42="","",IF(참가자!B42="","(팀 없음)",TRIM(참가자!B42)))</f>
        <v/>
      </c>
      <c r="C42" s="7" t="str">
        <f aca="false">IF(A42="","",IFERROR(INDEX($R$3:$R$102,MATCH(A42,$Q$3:$Q$102,0)),""))</f>
        <v/>
      </c>
      <c r="D42" s="7" t="str">
        <f aca="false">IF(A42="","",IF(C42="","결석",IF(IFERROR(INDEX($S$3:$S$102,MATCH(A42,$Q$3:$Q$102,0)),"")="비경쟁","비경쟁 응시","응시")))</f>
        <v/>
      </c>
      <c r="E42" s="7" t="str">
        <f aca="false">IF(A42="","",IF(COUNTIF($Q$3:$Q$102,A42)&gt;1,"중복! 확인",""))</f>
        <v/>
      </c>
      <c r="F42" s="7" t="str">
        <f aca="false">IF(A42="","",평가A!F42)</f>
        <v/>
      </c>
      <c r="G42" s="7" t="str">
        <f aca="false">IF(A42="","",IF(OR(C42="",F42=""),"",ROUND(C42-F42,1)))</f>
        <v/>
      </c>
      <c r="H42" s="7" t="str">
        <f aca="false">IF(A42="","",IF(C42="","",IF(C42&gt;=HIGH_CUT,PTS_HIGH,IF(F42="","",IF(G42&gt;=STEP2,PTS_HIGH,IF(G42&gt;=STEP1,PTS_MID,PTS_LOW))))))</f>
        <v/>
      </c>
      <c r="I42" s="7" t="str">
        <f aca="false">IF(A42="","",IF(AND(D42="응시",ISNUMBER(H42)),H42,""))</f>
        <v/>
      </c>
      <c r="J42" s="7" t="str">
        <f aca="false">IF(A42="","",IF(C42="","결석 - 기록 없음",IF(C42&gt;=HIGH_CUT,"높은 점수 유지",IF(F42="","기준점수 없음",IF(G42&gt;=STEP2,"향상",IF(G42&gt;=STEP1,"유지","이번에는 내려감"))))&amp;IF(D42="비경쟁 응시"," / 비경쟁: 팀 점수 제외","")))</f>
        <v/>
      </c>
      <c r="L42" s="8"/>
      <c r="M42" s="8"/>
      <c r="N42" s="8"/>
      <c r="O42" s="8"/>
      <c r="Q42" s="0" t="str">
        <f aca="false">IF(UPPER(TRIM(L42&amp;""))="","",IF(RIGHT(UPPER(TRIM(L42&amp;"")),2)="-N",TRIM(LEFT(UPPER(TRIM(L42&amp;"")),LEN(UPPER(TRIM(L42&amp;"")))-2)),UPPER(TRIM(L42&amp;""))))</f>
        <v/>
      </c>
      <c r="R42" s="0" t="str">
        <f aca="false">IF(Q42="","",IF(ISNUMBER(O42),ROUND(O42,1),IF(AND(ISNUMBER(M42),ISNUMBER(N42)),IF(N42&gt;0,ROUND(M42/N42*100,1),""),"")))</f>
        <v/>
      </c>
      <c r="S42" s="0" t="str">
        <f aca="false">IF(Q42="","",IF(RIGHT(UPPER(TRIM(L42&amp;"")),2)="-N","비경쟁",""))</f>
        <v/>
      </c>
      <c r="T42" s="0" t="str">
        <f aca="false">IF(Q42="","",IF(COUNTIF(참가자!$A$3:$A$52,Q42)=0,"명단에 없는 코드",""))</f>
        <v/>
      </c>
    </row>
    <row r="43" customFormat="false" ht="15" hidden="false" customHeight="false" outlineLevel="0" collapsed="false">
      <c r="A43" s="7" t="str">
        <f aca="false">IF(참가자!A43="","",UPPER(TRIM(참가자!A43)))</f>
        <v/>
      </c>
      <c r="B43" s="7" t="str">
        <f aca="false">IF(A43="","",IF(참가자!B43="","(팀 없음)",TRIM(참가자!B43)))</f>
        <v/>
      </c>
      <c r="C43" s="7" t="str">
        <f aca="false">IF(A43="","",IFERROR(INDEX($R$3:$R$102,MATCH(A43,$Q$3:$Q$102,0)),""))</f>
        <v/>
      </c>
      <c r="D43" s="7" t="str">
        <f aca="false">IF(A43="","",IF(C43="","결석",IF(IFERROR(INDEX($S$3:$S$102,MATCH(A43,$Q$3:$Q$102,0)),"")="비경쟁","비경쟁 응시","응시")))</f>
        <v/>
      </c>
      <c r="E43" s="7" t="str">
        <f aca="false">IF(A43="","",IF(COUNTIF($Q$3:$Q$102,A43)&gt;1,"중복! 확인",""))</f>
        <v/>
      </c>
      <c r="F43" s="7" t="str">
        <f aca="false">IF(A43="","",평가A!F43)</f>
        <v/>
      </c>
      <c r="G43" s="7" t="str">
        <f aca="false">IF(A43="","",IF(OR(C43="",F43=""),"",ROUND(C43-F43,1)))</f>
        <v/>
      </c>
      <c r="H43" s="7" t="str">
        <f aca="false">IF(A43="","",IF(C43="","",IF(C43&gt;=HIGH_CUT,PTS_HIGH,IF(F43="","",IF(G43&gt;=STEP2,PTS_HIGH,IF(G43&gt;=STEP1,PTS_MID,PTS_LOW))))))</f>
        <v/>
      </c>
      <c r="I43" s="7" t="str">
        <f aca="false">IF(A43="","",IF(AND(D43="응시",ISNUMBER(H43)),H43,""))</f>
        <v/>
      </c>
      <c r="J43" s="7" t="str">
        <f aca="false">IF(A43="","",IF(C43="","결석 - 기록 없음",IF(C43&gt;=HIGH_CUT,"높은 점수 유지",IF(F43="","기준점수 없음",IF(G43&gt;=STEP2,"향상",IF(G43&gt;=STEP1,"유지","이번에는 내려감"))))&amp;IF(D43="비경쟁 응시"," / 비경쟁: 팀 점수 제외","")))</f>
        <v/>
      </c>
      <c r="L43" s="8"/>
      <c r="M43" s="8"/>
      <c r="N43" s="8"/>
      <c r="O43" s="8"/>
      <c r="Q43" s="0" t="str">
        <f aca="false">IF(UPPER(TRIM(L43&amp;""))="","",IF(RIGHT(UPPER(TRIM(L43&amp;"")),2)="-N",TRIM(LEFT(UPPER(TRIM(L43&amp;"")),LEN(UPPER(TRIM(L43&amp;"")))-2)),UPPER(TRIM(L43&amp;""))))</f>
        <v/>
      </c>
      <c r="R43" s="0" t="str">
        <f aca="false">IF(Q43="","",IF(ISNUMBER(O43),ROUND(O43,1),IF(AND(ISNUMBER(M43),ISNUMBER(N43)),IF(N43&gt;0,ROUND(M43/N43*100,1),""),"")))</f>
        <v/>
      </c>
      <c r="S43" s="0" t="str">
        <f aca="false">IF(Q43="","",IF(RIGHT(UPPER(TRIM(L43&amp;"")),2)="-N","비경쟁",""))</f>
        <v/>
      </c>
      <c r="T43" s="0" t="str">
        <f aca="false">IF(Q43="","",IF(COUNTIF(참가자!$A$3:$A$52,Q43)=0,"명단에 없는 코드",""))</f>
        <v/>
      </c>
    </row>
    <row r="44" customFormat="false" ht="15" hidden="false" customHeight="false" outlineLevel="0" collapsed="false">
      <c r="A44" s="7" t="str">
        <f aca="false">IF(참가자!A44="","",UPPER(TRIM(참가자!A44)))</f>
        <v/>
      </c>
      <c r="B44" s="7" t="str">
        <f aca="false">IF(A44="","",IF(참가자!B44="","(팀 없음)",TRIM(참가자!B44)))</f>
        <v/>
      </c>
      <c r="C44" s="7" t="str">
        <f aca="false">IF(A44="","",IFERROR(INDEX($R$3:$R$102,MATCH(A44,$Q$3:$Q$102,0)),""))</f>
        <v/>
      </c>
      <c r="D44" s="7" t="str">
        <f aca="false">IF(A44="","",IF(C44="","결석",IF(IFERROR(INDEX($S$3:$S$102,MATCH(A44,$Q$3:$Q$102,0)),"")="비경쟁","비경쟁 응시","응시")))</f>
        <v/>
      </c>
      <c r="E44" s="7" t="str">
        <f aca="false">IF(A44="","",IF(COUNTIF($Q$3:$Q$102,A44)&gt;1,"중복! 확인",""))</f>
        <v/>
      </c>
      <c r="F44" s="7" t="str">
        <f aca="false">IF(A44="","",평가A!F44)</f>
        <v/>
      </c>
      <c r="G44" s="7" t="str">
        <f aca="false">IF(A44="","",IF(OR(C44="",F44=""),"",ROUND(C44-F44,1)))</f>
        <v/>
      </c>
      <c r="H44" s="7" t="str">
        <f aca="false">IF(A44="","",IF(C44="","",IF(C44&gt;=HIGH_CUT,PTS_HIGH,IF(F44="","",IF(G44&gt;=STEP2,PTS_HIGH,IF(G44&gt;=STEP1,PTS_MID,PTS_LOW))))))</f>
        <v/>
      </c>
      <c r="I44" s="7" t="str">
        <f aca="false">IF(A44="","",IF(AND(D44="응시",ISNUMBER(H44)),H44,""))</f>
        <v/>
      </c>
      <c r="J44" s="7" t="str">
        <f aca="false">IF(A44="","",IF(C44="","결석 - 기록 없음",IF(C44&gt;=HIGH_CUT,"높은 점수 유지",IF(F44="","기준점수 없음",IF(G44&gt;=STEP2,"향상",IF(G44&gt;=STEP1,"유지","이번에는 내려감"))))&amp;IF(D44="비경쟁 응시"," / 비경쟁: 팀 점수 제외","")))</f>
        <v/>
      </c>
      <c r="L44" s="8"/>
      <c r="M44" s="8"/>
      <c r="N44" s="8"/>
      <c r="O44" s="8"/>
      <c r="Q44" s="0" t="str">
        <f aca="false">IF(UPPER(TRIM(L44&amp;""))="","",IF(RIGHT(UPPER(TRIM(L44&amp;"")),2)="-N",TRIM(LEFT(UPPER(TRIM(L44&amp;"")),LEN(UPPER(TRIM(L44&amp;"")))-2)),UPPER(TRIM(L44&amp;""))))</f>
        <v/>
      </c>
      <c r="R44" s="0" t="str">
        <f aca="false">IF(Q44="","",IF(ISNUMBER(O44),ROUND(O44,1),IF(AND(ISNUMBER(M44),ISNUMBER(N44)),IF(N44&gt;0,ROUND(M44/N44*100,1),""),"")))</f>
        <v/>
      </c>
      <c r="S44" s="0" t="str">
        <f aca="false">IF(Q44="","",IF(RIGHT(UPPER(TRIM(L44&amp;"")),2)="-N","비경쟁",""))</f>
        <v/>
      </c>
      <c r="T44" s="0" t="str">
        <f aca="false">IF(Q44="","",IF(COUNTIF(참가자!$A$3:$A$52,Q44)=0,"명단에 없는 코드",""))</f>
        <v/>
      </c>
    </row>
    <row r="45" customFormat="false" ht="15" hidden="false" customHeight="false" outlineLevel="0" collapsed="false">
      <c r="A45" s="7" t="str">
        <f aca="false">IF(참가자!A45="","",UPPER(TRIM(참가자!A45)))</f>
        <v/>
      </c>
      <c r="B45" s="7" t="str">
        <f aca="false">IF(A45="","",IF(참가자!B45="","(팀 없음)",TRIM(참가자!B45)))</f>
        <v/>
      </c>
      <c r="C45" s="7" t="str">
        <f aca="false">IF(A45="","",IFERROR(INDEX($R$3:$R$102,MATCH(A45,$Q$3:$Q$102,0)),""))</f>
        <v/>
      </c>
      <c r="D45" s="7" t="str">
        <f aca="false">IF(A45="","",IF(C45="","결석",IF(IFERROR(INDEX($S$3:$S$102,MATCH(A45,$Q$3:$Q$102,0)),"")="비경쟁","비경쟁 응시","응시")))</f>
        <v/>
      </c>
      <c r="E45" s="7" t="str">
        <f aca="false">IF(A45="","",IF(COUNTIF($Q$3:$Q$102,A45)&gt;1,"중복! 확인",""))</f>
        <v/>
      </c>
      <c r="F45" s="7" t="str">
        <f aca="false">IF(A45="","",평가A!F45)</f>
        <v/>
      </c>
      <c r="G45" s="7" t="str">
        <f aca="false">IF(A45="","",IF(OR(C45="",F45=""),"",ROUND(C45-F45,1)))</f>
        <v/>
      </c>
      <c r="H45" s="7" t="str">
        <f aca="false">IF(A45="","",IF(C45="","",IF(C45&gt;=HIGH_CUT,PTS_HIGH,IF(F45="","",IF(G45&gt;=STEP2,PTS_HIGH,IF(G45&gt;=STEP1,PTS_MID,PTS_LOW))))))</f>
        <v/>
      </c>
      <c r="I45" s="7" t="str">
        <f aca="false">IF(A45="","",IF(AND(D45="응시",ISNUMBER(H45)),H45,""))</f>
        <v/>
      </c>
      <c r="J45" s="7" t="str">
        <f aca="false">IF(A45="","",IF(C45="","결석 - 기록 없음",IF(C45&gt;=HIGH_CUT,"높은 점수 유지",IF(F45="","기준점수 없음",IF(G45&gt;=STEP2,"향상",IF(G45&gt;=STEP1,"유지","이번에는 내려감"))))&amp;IF(D45="비경쟁 응시"," / 비경쟁: 팀 점수 제외","")))</f>
        <v/>
      </c>
      <c r="L45" s="8"/>
      <c r="M45" s="8"/>
      <c r="N45" s="8"/>
      <c r="O45" s="8"/>
      <c r="Q45" s="0" t="str">
        <f aca="false">IF(UPPER(TRIM(L45&amp;""))="","",IF(RIGHT(UPPER(TRIM(L45&amp;"")),2)="-N",TRIM(LEFT(UPPER(TRIM(L45&amp;"")),LEN(UPPER(TRIM(L45&amp;"")))-2)),UPPER(TRIM(L45&amp;""))))</f>
        <v/>
      </c>
      <c r="R45" s="0" t="str">
        <f aca="false">IF(Q45="","",IF(ISNUMBER(O45),ROUND(O45,1),IF(AND(ISNUMBER(M45),ISNUMBER(N45)),IF(N45&gt;0,ROUND(M45/N45*100,1),""),"")))</f>
        <v/>
      </c>
      <c r="S45" s="0" t="str">
        <f aca="false">IF(Q45="","",IF(RIGHT(UPPER(TRIM(L45&amp;"")),2)="-N","비경쟁",""))</f>
        <v/>
      </c>
      <c r="T45" s="0" t="str">
        <f aca="false">IF(Q45="","",IF(COUNTIF(참가자!$A$3:$A$52,Q45)=0,"명단에 없는 코드",""))</f>
        <v/>
      </c>
    </row>
    <row r="46" customFormat="false" ht="15" hidden="false" customHeight="false" outlineLevel="0" collapsed="false">
      <c r="A46" s="7" t="str">
        <f aca="false">IF(참가자!A46="","",UPPER(TRIM(참가자!A46)))</f>
        <v/>
      </c>
      <c r="B46" s="7" t="str">
        <f aca="false">IF(A46="","",IF(참가자!B46="","(팀 없음)",TRIM(참가자!B46)))</f>
        <v/>
      </c>
      <c r="C46" s="7" t="str">
        <f aca="false">IF(A46="","",IFERROR(INDEX($R$3:$R$102,MATCH(A46,$Q$3:$Q$102,0)),""))</f>
        <v/>
      </c>
      <c r="D46" s="7" t="str">
        <f aca="false">IF(A46="","",IF(C46="","결석",IF(IFERROR(INDEX($S$3:$S$102,MATCH(A46,$Q$3:$Q$102,0)),"")="비경쟁","비경쟁 응시","응시")))</f>
        <v/>
      </c>
      <c r="E46" s="7" t="str">
        <f aca="false">IF(A46="","",IF(COUNTIF($Q$3:$Q$102,A46)&gt;1,"중복! 확인",""))</f>
        <v/>
      </c>
      <c r="F46" s="7" t="str">
        <f aca="false">IF(A46="","",평가A!F46)</f>
        <v/>
      </c>
      <c r="G46" s="7" t="str">
        <f aca="false">IF(A46="","",IF(OR(C46="",F46=""),"",ROUND(C46-F46,1)))</f>
        <v/>
      </c>
      <c r="H46" s="7" t="str">
        <f aca="false">IF(A46="","",IF(C46="","",IF(C46&gt;=HIGH_CUT,PTS_HIGH,IF(F46="","",IF(G46&gt;=STEP2,PTS_HIGH,IF(G46&gt;=STEP1,PTS_MID,PTS_LOW))))))</f>
        <v/>
      </c>
      <c r="I46" s="7" t="str">
        <f aca="false">IF(A46="","",IF(AND(D46="응시",ISNUMBER(H46)),H46,""))</f>
        <v/>
      </c>
      <c r="J46" s="7" t="str">
        <f aca="false">IF(A46="","",IF(C46="","결석 - 기록 없음",IF(C46&gt;=HIGH_CUT,"높은 점수 유지",IF(F46="","기준점수 없음",IF(G46&gt;=STEP2,"향상",IF(G46&gt;=STEP1,"유지","이번에는 내려감"))))&amp;IF(D46="비경쟁 응시"," / 비경쟁: 팀 점수 제외","")))</f>
        <v/>
      </c>
      <c r="L46" s="8"/>
      <c r="M46" s="8"/>
      <c r="N46" s="8"/>
      <c r="O46" s="8"/>
      <c r="Q46" s="0" t="str">
        <f aca="false">IF(UPPER(TRIM(L46&amp;""))="","",IF(RIGHT(UPPER(TRIM(L46&amp;"")),2)="-N",TRIM(LEFT(UPPER(TRIM(L46&amp;"")),LEN(UPPER(TRIM(L46&amp;"")))-2)),UPPER(TRIM(L46&amp;""))))</f>
        <v/>
      </c>
      <c r="R46" s="0" t="str">
        <f aca="false">IF(Q46="","",IF(ISNUMBER(O46),ROUND(O46,1),IF(AND(ISNUMBER(M46),ISNUMBER(N46)),IF(N46&gt;0,ROUND(M46/N46*100,1),""),"")))</f>
        <v/>
      </c>
      <c r="S46" s="0" t="str">
        <f aca="false">IF(Q46="","",IF(RIGHT(UPPER(TRIM(L46&amp;"")),2)="-N","비경쟁",""))</f>
        <v/>
      </c>
      <c r="T46" s="0" t="str">
        <f aca="false">IF(Q46="","",IF(COUNTIF(참가자!$A$3:$A$52,Q46)=0,"명단에 없는 코드",""))</f>
        <v/>
      </c>
    </row>
    <row r="47" customFormat="false" ht="15" hidden="false" customHeight="false" outlineLevel="0" collapsed="false">
      <c r="A47" s="7" t="str">
        <f aca="false">IF(참가자!A47="","",UPPER(TRIM(참가자!A47)))</f>
        <v/>
      </c>
      <c r="B47" s="7" t="str">
        <f aca="false">IF(A47="","",IF(참가자!B47="","(팀 없음)",TRIM(참가자!B47)))</f>
        <v/>
      </c>
      <c r="C47" s="7" t="str">
        <f aca="false">IF(A47="","",IFERROR(INDEX($R$3:$R$102,MATCH(A47,$Q$3:$Q$102,0)),""))</f>
        <v/>
      </c>
      <c r="D47" s="7" t="str">
        <f aca="false">IF(A47="","",IF(C47="","결석",IF(IFERROR(INDEX($S$3:$S$102,MATCH(A47,$Q$3:$Q$102,0)),"")="비경쟁","비경쟁 응시","응시")))</f>
        <v/>
      </c>
      <c r="E47" s="7" t="str">
        <f aca="false">IF(A47="","",IF(COUNTIF($Q$3:$Q$102,A47)&gt;1,"중복! 확인",""))</f>
        <v/>
      </c>
      <c r="F47" s="7" t="str">
        <f aca="false">IF(A47="","",평가A!F47)</f>
        <v/>
      </c>
      <c r="G47" s="7" t="str">
        <f aca="false">IF(A47="","",IF(OR(C47="",F47=""),"",ROUND(C47-F47,1)))</f>
        <v/>
      </c>
      <c r="H47" s="7" t="str">
        <f aca="false">IF(A47="","",IF(C47="","",IF(C47&gt;=HIGH_CUT,PTS_HIGH,IF(F47="","",IF(G47&gt;=STEP2,PTS_HIGH,IF(G47&gt;=STEP1,PTS_MID,PTS_LOW))))))</f>
        <v/>
      </c>
      <c r="I47" s="7" t="str">
        <f aca="false">IF(A47="","",IF(AND(D47="응시",ISNUMBER(H47)),H47,""))</f>
        <v/>
      </c>
      <c r="J47" s="7" t="str">
        <f aca="false">IF(A47="","",IF(C47="","결석 - 기록 없음",IF(C47&gt;=HIGH_CUT,"높은 점수 유지",IF(F47="","기준점수 없음",IF(G47&gt;=STEP2,"향상",IF(G47&gt;=STEP1,"유지","이번에는 내려감"))))&amp;IF(D47="비경쟁 응시"," / 비경쟁: 팀 점수 제외","")))</f>
        <v/>
      </c>
      <c r="L47" s="8"/>
      <c r="M47" s="8"/>
      <c r="N47" s="8"/>
      <c r="O47" s="8"/>
      <c r="Q47" s="0" t="str">
        <f aca="false">IF(UPPER(TRIM(L47&amp;""))="","",IF(RIGHT(UPPER(TRIM(L47&amp;"")),2)="-N",TRIM(LEFT(UPPER(TRIM(L47&amp;"")),LEN(UPPER(TRIM(L47&amp;"")))-2)),UPPER(TRIM(L47&amp;""))))</f>
        <v/>
      </c>
      <c r="R47" s="0" t="str">
        <f aca="false">IF(Q47="","",IF(ISNUMBER(O47),ROUND(O47,1),IF(AND(ISNUMBER(M47),ISNUMBER(N47)),IF(N47&gt;0,ROUND(M47/N47*100,1),""),"")))</f>
        <v/>
      </c>
      <c r="S47" s="0" t="str">
        <f aca="false">IF(Q47="","",IF(RIGHT(UPPER(TRIM(L47&amp;"")),2)="-N","비경쟁",""))</f>
        <v/>
      </c>
      <c r="T47" s="0" t="str">
        <f aca="false">IF(Q47="","",IF(COUNTIF(참가자!$A$3:$A$52,Q47)=0,"명단에 없는 코드",""))</f>
        <v/>
      </c>
    </row>
    <row r="48" customFormat="false" ht="15" hidden="false" customHeight="false" outlineLevel="0" collapsed="false">
      <c r="A48" s="7" t="str">
        <f aca="false">IF(참가자!A48="","",UPPER(TRIM(참가자!A48)))</f>
        <v/>
      </c>
      <c r="B48" s="7" t="str">
        <f aca="false">IF(A48="","",IF(참가자!B48="","(팀 없음)",TRIM(참가자!B48)))</f>
        <v/>
      </c>
      <c r="C48" s="7" t="str">
        <f aca="false">IF(A48="","",IFERROR(INDEX($R$3:$R$102,MATCH(A48,$Q$3:$Q$102,0)),""))</f>
        <v/>
      </c>
      <c r="D48" s="7" t="str">
        <f aca="false">IF(A48="","",IF(C48="","결석",IF(IFERROR(INDEX($S$3:$S$102,MATCH(A48,$Q$3:$Q$102,0)),"")="비경쟁","비경쟁 응시","응시")))</f>
        <v/>
      </c>
      <c r="E48" s="7" t="str">
        <f aca="false">IF(A48="","",IF(COUNTIF($Q$3:$Q$102,A48)&gt;1,"중복! 확인",""))</f>
        <v/>
      </c>
      <c r="F48" s="7" t="str">
        <f aca="false">IF(A48="","",평가A!F48)</f>
        <v/>
      </c>
      <c r="G48" s="7" t="str">
        <f aca="false">IF(A48="","",IF(OR(C48="",F48=""),"",ROUND(C48-F48,1)))</f>
        <v/>
      </c>
      <c r="H48" s="7" t="str">
        <f aca="false">IF(A48="","",IF(C48="","",IF(C48&gt;=HIGH_CUT,PTS_HIGH,IF(F48="","",IF(G48&gt;=STEP2,PTS_HIGH,IF(G48&gt;=STEP1,PTS_MID,PTS_LOW))))))</f>
        <v/>
      </c>
      <c r="I48" s="7" t="str">
        <f aca="false">IF(A48="","",IF(AND(D48="응시",ISNUMBER(H48)),H48,""))</f>
        <v/>
      </c>
      <c r="J48" s="7" t="str">
        <f aca="false">IF(A48="","",IF(C48="","결석 - 기록 없음",IF(C48&gt;=HIGH_CUT,"높은 점수 유지",IF(F48="","기준점수 없음",IF(G48&gt;=STEP2,"향상",IF(G48&gt;=STEP1,"유지","이번에는 내려감"))))&amp;IF(D48="비경쟁 응시"," / 비경쟁: 팀 점수 제외","")))</f>
        <v/>
      </c>
      <c r="L48" s="8"/>
      <c r="M48" s="8"/>
      <c r="N48" s="8"/>
      <c r="O48" s="8"/>
      <c r="Q48" s="0" t="str">
        <f aca="false">IF(UPPER(TRIM(L48&amp;""))="","",IF(RIGHT(UPPER(TRIM(L48&amp;"")),2)="-N",TRIM(LEFT(UPPER(TRIM(L48&amp;"")),LEN(UPPER(TRIM(L48&amp;"")))-2)),UPPER(TRIM(L48&amp;""))))</f>
        <v/>
      </c>
      <c r="R48" s="0" t="str">
        <f aca="false">IF(Q48="","",IF(ISNUMBER(O48),ROUND(O48,1),IF(AND(ISNUMBER(M48),ISNUMBER(N48)),IF(N48&gt;0,ROUND(M48/N48*100,1),""),"")))</f>
        <v/>
      </c>
      <c r="S48" s="0" t="str">
        <f aca="false">IF(Q48="","",IF(RIGHT(UPPER(TRIM(L48&amp;"")),2)="-N","비경쟁",""))</f>
        <v/>
      </c>
      <c r="T48" s="0" t="str">
        <f aca="false">IF(Q48="","",IF(COUNTIF(참가자!$A$3:$A$52,Q48)=0,"명단에 없는 코드",""))</f>
        <v/>
      </c>
    </row>
    <row r="49" customFormat="false" ht="15" hidden="false" customHeight="false" outlineLevel="0" collapsed="false">
      <c r="A49" s="7" t="str">
        <f aca="false">IF(참가자!A49="","",UPPER(TRIM(참가자!A49)))</f>
        <v/>
      </c>
      <c r="B49" s="7" t="str">
        <f aca="false">IF(A49="","",IF(참가자!B49="","(팀 없음)",TRIM(참가자!B49)))</f>
        <v/>
      </c>
      <c r="C49" s="7" t="str">
        <f aca="false">IF(A49="","",IFERROR(INDEX($R$3:$R$102,MATCH(A49,$Q$3:$Q$102,0)),""))</f>
        <v/>
      </c>
      <c r="D49" s="7" t="str">
        <f aca="false">IF(A49="","",IF(C49="","결석",IF(IFERROR(INDEX($S$3:$S$102,MATCH(A49,$Q$3:$Q$102,0)),"")="비경쟁","비경쟁 응시","응시")))</f>
        <v/>
      </c>
      <c r="E49" s="7" t="str">
        <f aca="false">IF(A49="","",IF(COUNTIF($Q$3:$Q$102,A49)&gt;1,"중복! 확인",""))</f>
        <v/>
      </c>
      <c r="F49" s="7" t="str">
        <f aca="false">IF(A49="","",평가A!F49)</f>
        <v/>
      </c>
      <c r="G49" s="7" t="str">
        <f aca="false">IF(A49="","",IF(OR(C49="",F49=""),"",ROUND(C49-F49,1)))</f>
        <v/>
      </c>
      <c r="H49" s="7" t="str">
        <f aca="false">IF(A49="","",IF(C49="","",IF(C49&gt;=HIGH_CUT,PTS_HIGH,IF(F49="","",IF(G49&gt;=STEP2,PTS_HIGH,IF(G49&gt;=STEP1,PTS_MID,PTS_LOW))))))</f>
        <v/>
      </c>
      <c r="I49" s="7" t="str">
        <f aca="false">IF(A49="","",IF(AND(D49="응시",ISNUMBER(H49)),H49,""))</f>
        <v/>
      </c>
      <c r="J49" s="7" t="str">
        <f aca="false">IF(A49="","",IF(C49="","결석 - 기록 없음",IF(C49&gt;=HIGH_CUT,"높은 점수 유지",IF(F49="","기준점수 없음",IF(G49&gt;=STEP2,"향상",IF(G49&gt;=STEP1,"유지","이번에는 내려감"))))&amp;IF(D49="비경쟁 응시"," / 비경쟁: 팀 점수 제외","")))</f>
        <v/>
      </c>
      <c r="L49" s="8"/>
      <c r="M49" s="8"/>
      <c r="N49" s="8"/>
      <c r="O49" s="8"/>
      <c r="Q49" s="0" t="str">
        <f aca="false">IF(UPPER(TRIM(L49&amp;""))="","",IF(RIGHT(UPPER(TRIM(L49&amp;"")),2)="-N",TRIM(LEFT(UPPER(TRIM(L49&amp;"")),LEN(UPPER(TRIM(L49&amp;"")))-2)),UPPER(TRIM(L49&amp;""))))</f>
        <v/>
      </c>
      <c r="R49" s="0" t="str">
        <f aca="false">IF(Q49="","",IF(ISNUMBER(O49),ROUND(O49,1),IF(AND(ISNUMBER(M49),ISNUMBER(N49)),IF(N49&gt;0,ROUND(M49/N49*100,1),""),"")))</f>
        <v/>
      </c>
      <c r="S49" s="0" t="str">
        <f aca="false">IF(Q49="","",IF(RIGHT(UPPER(TRIM(L49&amp;"")),2)="-N","비경쟁",""))</f>
        <v/>
      </c>
      <c r="T49" s="0" t="str">
        <f aca="false">IF(Q49="","",IF(COUNTIF(참가자!$A$3:$A$52,Q49)=0,"명단에 없는 코드",""))</f>
        <v/>
      </c>
    </row>
    <row r="50" customFormat="false" ht="15" hidden="false" customHeight="false" outlineLevel="0" collapsed="false">
      <c r="A50" s="7" t="str">
        <f aca="false">IF(참가자!A50="","",UPPER(TRIM(참가자!A50)))</f>
        <v/>
      </c>
      <c r="B50" s="7" t="str">
        <f aca="false">IF(A50="","",IF(참가자!B50="","(팀 없음)",TRIM(참가자!B50)))</f>
        <v/>
      </c>
      <c r="C50" s="7" t="str">
        <f aca="false">IF(A50="","",IFERROR(INDEX($R$3:$R$102,MATCH(A50,$Q$3:$Q$102,0)),""))</f>
        <v/>
      </c>
      <c r="D50" s="7" t="str">
        <f aca="false">IF(A50="","",IF(C50="","결석",IF(IFERROR(INDEX($S$3:$S$102,MATCH(A50,$Q$3:$Q$102,0)),"")="비경쟁","비경쟁 응시","응시")))</f>
        <v/>
      </c>
      <c r="E50" s="7" t="str">
        <f aca="false">IF(A50="","",IF(COUNTIF($Q$3:$Q$102,A50)&gt;1,"중복! 확인",""))</f>
        <v/>
      </c>
      <c r="F50" s="7" t="str">
        <f aca="false">IF(A50="","",평가A!F50)</f>
        <v/>
      </c>
      <c r="G50" s="7" t="str">
        <f aca="false">IF(A50="","",IF(OR(C50="",F50=""),"",ROUND(C50-F50,1)))</f>
        <v/>
      </c>
      <c r="H50" s="7" t="str">
        <f aca="false">IF(A50="","",IF(C50="","",IF(C50&gt;=HIGH_CUT,PTS_HIGH,IF(F50="","",IF(G50&gt;=STEP2,PTS_HIGH,IF(G50&gt;=STEP1,PTS_MID,PTS_LOW))))))</f>
        <v/>
      </c>
      <c r="I50" s="7" t="str">
        <f aca="false">IF(A50="","",IF(AND(D50="응시",ISNUMBER(H50)),H50,""))</f>
        <v/>
      </c>
      <c r="J50" s="7" t="str">
        <f aca="false">IF(A50="","",IF(C50="","결석 - 기록 없음",IF(C50&gt;=HIGH_CUT,"높은 점수 유지",IF(F50="","기준점수 없음",IF(G50&gt;=STEP2,"향상",IF(G50&gt;=STEP1,"유지","이번에는 내려감"))))&amp;IF(D50="비경쟁 응시"," / 비경쟁: 팀 점수 제외","")))</f>
        <v/>
      </c>
      <c r="L50" s="8"/>
      <c r="M50" s="8"/>
      <c r="N50" s="8"/>
      <c r="O50" s="8"/>
      <c r="Q50" s="0" t="str">
        <f aca="false">IF(UPPER(TRIM(L50&amp;""))="","",IF(RIGHT(UPPER(TRIM(L50&amp;"")),2)="-N",TRIM(LEFT(UPPER(TRIM(L50&amp;"")),LEN(UPPER(TRIM(L50&amp;"")))-2)),UPPER(TRIM(L50&amp;""))))</f>
        <v/>
      </c>
      <c r="R50" s="0" t="str">
        <f aca="false">IF(Q50="","",IF(ISNUMBER(O50),ROUND(O50,1),IF(AND(ISNUMBER(M50),ISNUMBER(N50)),IF(N50&gt;0,ROUND(M50/N50*100,1),""),"")))</f>
        <v/>
      </c>
      <c r="S50" s="0" t="str">
        <f aca="false">IF(Q50="","",IF(RIGHT(UPPER(TRIM(L50&amp;"")),2)="-N","비경쟁",""))</f>
        <v/>
      </c>
      <c r="T50" s="0" t="str">
        <f aca="false">IF(Q50="","",IF(COUNTIF(참가자!$A$3:$A$52,Q50)=0,"명단에 없는 코드",""))</f>
        <v/>
      </c>
    </row>
    <row r="51" customFormat="false" ht="15" hidden="false" customHeight="false" outlineLevel="0" collapsed="false">
      <c r="A51" s="7" t="str">
        <f aca="false">IF(참가자!A51="","",UPPER(TRIM(참가자!A51)))</f>
        <v/>
      </c>
      <c r="B51" s="7" t="str">
        <f aca="false">IF(A51="","",IF(참가자!B51="","(팀 없음)",TRIM(참가자!B51)))</f>
        <v/>
      </c>
      <c r="C51" s="7" t="str">
        <f aca="false">IF(A51="","",IFERROR(INDEX($R$3:$R$102,MATCH(A51,$Q$3:$Q$102,0)),""))</f>
        <v/>
      </c>
      <c r="D51" s="7" t="str">
        <f aca="false">IF(A51="","",IF(C51="","결석",IF(IFERROR(INDEX($S$3:$S$102,MATCH(A51,$Q$3:$Q$102,0)),"")="비경쟁","비경쟁 응시","응시")))</f>
        <v/>
      </c>
      <c r="E51" s="7" t="str">
        <f aca="false">IF(A51="","",IF(COUNTIF($Q$3:$Q$102,A51)&gt;1,"중복! 확인",""))</f>
        <v/>
      </c>
      <c r="F51" s="7" t="str">
        <f aca="false">IF(A51="","",평가A!F51)</f>
        <v/>
      </c>
      <c r="G51" s="7" t="str">
        <f aca="false">IF(A51="","",IF(OR(C51="",F51=""),"",ROUND(C51-F51,1)))</f>
        <v/>
      </c>
      <c r="H51" s="7" t="str">
        <f aca="false">IF(A51="","",IF(C51="","",IF(C51&gt;=HIGH_CUT,PTS_HIGH,IF(F51="","",IF(G51&gt;=STEP2,PTS_HIGH,IF(G51&gt;=STEP1,PTS_MID,PTS_LOW))))))</f>
        <v/>
      </c>
      <c r="I51" s="7" t="str">
        <f aca="false">IF(A51="","",IF(AND(D51="응시",ISNUMBER(H51)),H51,""))</f>
        <v/>
      </c>
      <c r="J51" s="7" t="str">
        <f aca="false">IF(A51="","",IF(C51="","결석 - 기록 없음",IF(C51&gt;=HIGH_CUT,"높은 점수 유지",IF(F51="","기준점수 없음",IF(G51&gt;=STEP2,"향상",IF(G51&gt;=STEP1,"유지","이번에는 내려감"))))&amp;IF(D51="비경쟁 응시"," / 비경쟁: 팀 점수 제외","")))</f>
        <v/>
      </c>
      <c r="L51" s="8"/>
      <c r="M51" s="8"/>
      <c r="N51" s="8"/>
      <c r="O51" s="8"/>
      <c r="Q51" s="0" t="str">
        <f aca="false">IF(UPPER(TRIM(L51&amp;""))="","",IF(RIGHT(UPPER(TRIM(L51&amp;"")),2)="-N",TRIM(LEFT(UPPER(TRIM(L51&amp;"")),LEN(UPPER(TRIM(L51&amp;"")))-2)),UPPER(TRIM(L51&amp;""))))</f>
        <v/>
      </c>
      <c r="R51" s="0" t="str">
        <f aca="false">IF(Q51="","",IF(ISNUMBER(O51),ROUND(O51,1),IF(AND(ISNUMBER(M51),ISNUMBER(N51)),IF(N51&gt;0,ROUND(M51/N51*100,1),""),"")))</f>
        <v/>
      </c>
      <c r="S51" s="0" t="str">
        <f aca="false">IF(Q51="","",IF(RIGHT(UPPER(TRIM(L51&amp;"")),2)="-N","비경쟁",""))</f>
        <v/>
      </c>
      <c r="T51" s="0" t="str">
        <f aca="false">IF(Q51="","",IF(COUNTIF(참가자!$A$3:$A$52,Q51)=0,"명단에 없는 코드",""))</f>
        <v/>
      </c>
    </row>
    <row r="52" customFormat="false" ht="15" hidden="false" customHeight="false" outlineLevel="0" collapsed="false">
      <c r="A52" s="7" t="str">
        <f aca="false">IF(참가자!A52="","",UPPER(TRIM(참가자!A52)))</f>
        <v/>
      </c>
      <c r="B52" s="7" t="str">
        <f aca="false">IF(A52="","",IF(참가자!B52="","(팀 없음)",TRIM(참가자!B52)))</f>
        <v/>
      </c>
      <c r="C52" s="7" t="str">
        <f aca="false">IF(A52="","",IFERROR(INDEX($R$3:$R$102,MATCH(A52,$Q$3:$Q$102,0)),""))</f>
        <v/>
      </c>
      <c r="D52" s="7" t="str">
        <f aca="false">IF(A52="","",IF(C52="","결석",IF(IFERROR(INDEX($S$3:$S$102,MATCH(A52,$Q$3:$Q$102,0)),"")="비경쟁","비경쟁 응시","응시")))</f>
        <v/>
      </c>
      <c r="E52" s="7" t="str">
        <f aca="false">IF(A52="","",IF(COUNTIF($Q$3:$Q$102,A52)&gt;1,"중복! 확인",""))</f>
        <v/>
      </c>
      <c r="F52" s="7" t="str">
        <f aca="false">IF(A52="","",평가A!F52)</f>
        <v/>
      </c>
      <c r="G52" s="7" t="str">
        <f aca="false">IF(A52="","",IF(OR(C52="",F52=""),"",ROUND(C52-F52,1)))</f>
        <v/>
      </c>
      <c r="H52" s="7" t="str">
        <f aca="false">IF(A52="","",IF(C52="","",IF(C52&gt;=HIGH_CUT,PTS_HIGH,IF(F52="","",IF(G52&gt;=STEP2,PTS_HIGH,IF(G52&gt;=STEP1,PTS_MID,PTS_LOW))))))</f>
        <v/>
      </c>
      <c r="I52" s="7" t="str">
        <f aca="false">IF(A52="","",IF(AND(D52="응시",ISNUMBER(H52)),H52,""))</f>
        <v/>
      </c>
      <c r="J52" s="7" t="str">
        <f aca="false">IF(A52="","",IF(C52="","결석 - 기록 없음",IF(C52&gt;=HIGH_CUT,"높은 점수 유지",IF(F52="","기준점수 없음",IF(G52&gt;=STEP2,"향상",IF(G52&gt;=STEP1,"유지","이번에는 내려감"))))&amp;IF(D52="비경쟁 응시"," / 비경쟁: 팀 점수 제외","")))</f>
        <v/>
      </c>
      <c r="L52" s="8"/>
      <c r="M52" s="8"/>
      <c r="N52" s="8"/>
      <c r="O52" s="8"/>
      <c r="Q52" s="0" t="str">
        <f aca="false">IF(UPPER(TRIM(L52&amp;""))="","",IF(RIGHT(UPPER(TRIM(L52&amp;"")),2)="-N",TRIM(LEFT(UPPER(TRIM(L52&amp;"")),LEN(UPPER(TRIM(L52&amp;"")))-2)),UPPER(TRIM(L52&amp;""))))</f>
        <v/>
      </c>
      <c r="R52" s="0" t="str">
        <f aca="false">IF(Q52="","",IF(ISNUMBER(O52),ROUND(O52,1),IF(AND(ISNUMBER(M52),ISNUMBER(N52)),IF(N52&gt;0,ROUND(M52/N52*100,1),""),"")))</f>
        <v/>
      </c>
      <c r="S52" s="0" t="str">
        <f aca="false">IF(Q52="","",IF(RIGHT(UPPER(TRIM(L52&amp;"")),2)="-N","비경쟁",""))</f>
        <v/>
      </c>
      <c r="T52" s="0" t="str">
        <f aca="false">IF(Q52="","",IF(COUNTIF(참가자!$A$3:$A$52,Q52)=0,"명단에 없는 코드",""))</f>
        <v/>
      </c>
    </row>
    <row r="53" customFormat="false" ht="15" hidden="false" customHeight="false" outlineLevel="0" collapsed="false">
      <c r="L53" s="8"/>
      <c r="M53" s="8"/>
      <c r="N53" s="8"/>
      <c r="O53" s="8"/>
      <c r="Q53" s="0" t="str">
        <f aca="false">IF(UPPER(TRIM(L53&amp;""))="","",IF(RIGHT(UPPER(TRIM(L53&amp;"")),2)="-N",TRIM(LEFT(UPPER(TRIM(L53&amp;"")),LEN(UPPER(TRIM(L53&amp;"")))-2)),UPPER(TRIM(L53&amp;""))))</f>
        <v/>
      </c>
      <c r="R53" s="0" t="str">
        <f aca="false">IF(Q53="","",IF(ISNUMBER(O53),ROUND(O53,1),IF(AND(ISNUMBER(M53),ISNUMBER(N53)),IF(N53&gt;0,ROUND(M53/N53*100,1),""),"")))</f>
        <v/>
      </c>
      <c r="S53" s="0" t="str">
        <f aca="false">IF(Q53="","",IF(RIGHT(UPPER(TRIM(L53&amp;"")),2)="-N","비경쟁",""))</f>
        <v/>
      </c>
      <c r="T53" s="0" t="str">
        <f aca="false">IF(Q53="","",IF(COUNTIF(참가자!$A$3:$A$52,Q53)=0,"명단에 없는 코드",""))</f>
        <v/>
      </c>
    </row>
    <row r="54" customFormat="false" ht="15" hidden="false" customHeight="false" outlineLevel="0" collapsed="false">
      <c r="L54" s="8"/>
      <c r="M54" s="8"/>
      <c r="N54" s="8"/>
      <c r="O54" s="8"/>
      <c r="Q54" s="0" t="str">
        <f aca="false">IF(UPPER(TRIM(L54&amp;""))="","",IF(RIGHT(UPPER(TRIM(L54&amp;"")),2)="-N",TRIM(LEFT(UPPER(TRIM(L54&amp;"")),LEN(UPPER(TRIM(L54&amp;"")))-2)),UPPER(TRIM(L54&amp;""))))</f>
        <v/>
      </c>
      <c r="R54" s="0" t="str">
        <f aca="false">IF(Q54="","",IF(ISNUMBER(O54),ROUND(O54,1),IF(AND(ISNUMBER(M54),ISNUMBER(N54)),IF(N54&gt;0,ROUND(M54/N54*100,1),""),"")))</f>
        <v/>
      </c>
      <c r="S54" s="0" t="str">
        <f aca="false">IF(Q54="","",IF(RIGHT(UPPER(TRIM(L54&amp;"")),2)="-N","비경쟁",""))</f>
        <v/>
      </c>
      <c r="T54" s="0" t="str">
        <f aca="false">IF(Q54="","",IF(COUNTIF(참가자!$A$3:$A$52,Q54)=0,"명단에 없는 코드",""))</f>
        <v/>
      </c>
    </row>
    <row r="55" customFormat="false" ht="15" hidden="false" customHeight="false" outlineLevel="0" collapsed="false">
      <c r="L55" s="8"/>
      <c r="M55" s="8"/>
      <c r="N55" s="8"/>
      <c r="O55" s="8"/>
      <c r="Q55" s="0" t="str">
        <f aca="false">IF(UPPER(TRIM(L55&amp;""))="","",IF(RIGHT(UPPER(TRIM(L55&amp;"")),2)="-N",TRIM(LEFT(UPPER(TRIM(L55&amp;"")),LEN(UPPER(TRIM(L55&amp;"")))-2)),UPPER(TRIM(L55&amp;""))))</f>
        <v/>
      </c>
      <c r="R55" s="0" t="str">
        <f aca="false">IF(Q55="","",IF(ISNUMBER(O55),ROUND(O55,1),IF(AND(ISNUMBER(M55),ISNUMBER(N55)),IF(N55&gt;0,ROUND(M55/N55*100,1),""),"")))</f>
        <v/>
      </c>
      <c r="S55" s="0" t="str">
        <f aca="false">IF(Q55="","",IF(RIGHT(UPPER(TRIM(L55&amp;"")),2)="-N","비경쟁",""))</f>
        <v/>
      </c>
      <c r="T55" s="0" t="str">
        <f aca="false">IF(Q55="","",IF(COUNTIF(참가자!$A$3:$A$52,Q55)=0,"명단에 없는 코드",""))</f>
        <v/>
      </c>
    </row>
    <row r="56" customFormat="false" ht="15" hidden="false" customHeight="false" outlineLevel="0" collapsed="false">
      <c r="L56" s="8"/>
      <c r="M56" s="8"/>
      <c r="N56" s="8"/>
      <c r="O56" s="8"/>
      <c r="Q56" s="0" t="str">
        <f aca="false">IF(UPPER(TRIM(L56&amp;""))="","",IF(RIGHT(UPPER(TRIM(L56&amp;"")),2)="-N",TRIM(LEFT(UPPER(TRIM(L56&amp;"")),LEN(UPPER(TRIM(L56&amp;"")))-2)),UPPER(TRIM(L56&amp;""))))</f>
        <v/>
      </c>
      <c r="R56" s="0" t="str">
        <f aca="false">IF(Q56="","",IF(ISNUMBER(O56),ROUND(O56,1),IF(AND(ISNUMBER(M56),ISNUMBER(N56)),IF(N56&gt;0,ROUND(M56/N56*100,1),""),"")))</f>
        <v/>
      </c>
      <c r="S56" s="0" t="str">
        <f aca="false">IF(Q56="","",IF(RIGHT(UPPER(TRIM(L56&amp;"")),2)="-N","비경쟁",""))</f>
        <v/>
      </c>
      <c r="T56" s="0" t="str">
        <f aca="false">IF(Q56="","",IF(COUNTIF(참가자!$A$3:$A$52,Q56)=0,"명단에 없는 코드",""))</f>
        <v/>
      </c>
    </row>
    <row r="57" customFormat="false" ht="15" hidden="false" customHeight="false" outlineLevel="0" collapsed="false">
      <c r="L57" s="8"/>
      <c r="M57" s="8"/>
      <c r="N57" s="8"/>
      <c r="O57" s="8"/>
      <c r="Q57" s="0" t="str">
        <f aca="false">IF(UPPER(TRIM(L57&amp;""))="","",IF(RIGHT(UPPER(TRIM(L57&amp;"")),2)="-N",TRIM(LEFT(UPPER(TRIM(L57&amp;"")),LEN(UPPER(TRIM(L57&amp;"")))-2)),UPPER(TRIM(L57&amp;""))))</f>
        <v/>
      </c>
      <c r="R57" s="0" t="str">
        <f aca="false">IF(Q57="","",IF(ISNUMBER(O57),ROUND(O57,1),IF(AND(ISNUMBER(M57),ISNUMBER(N57)),IF(N57&gt;0,ROUND(M57/N57*100,1),""),"")))</f>
        <v/>
      </c>
      <c r="S57" s="0" t="str">
        <f aca="false">IF(Q57="","",IF(RIGHT(UPPER(TRIM(L57&amp;"")),2)="-N","비경쟁",""))</f>
        <v/>
      </c>
      <c r="T57" s="0" t="str">
        <f aca="false">IF(Q57="","",IF(COUNTIF(참가자!$A$3:$A$52,Q57)=0,"명단에 없는 코드",""))</f>
        <v/>
      </c>
    </row>
    <row r="58" customFormat="false" ht="15" hidden="false" customHeight="false" outlineLevel="0" collapsed="false">
      <c r="L58" s="8"/>
      <c r="M58" s="8"/>
      <c r="N58" s="8"/>
      <c r="O58" s="8"/>
      <c r="Q58" s="0" t="str">
        <f aca="false">IF(UPPER(TRIM(L58&amp;""))="","",IF(RIGHT(UPPER(TRIM(L58&amp;"")),2)="-N",TRIM(LEFT(UPPER(TRIM(L58&amp;"")),LEN(UPPER(TRIM(L58&amp;"")))-2)),UPPER(TRIM(L58&amp;""))))</f>
        <v/>
      </c>
      <c r="R58" s="0" t="str">
        <f aca="false">IF(Q58="","",IF(ISNUMBER(O58),ROUND(O58,1),IF(AND(ISNUMBER(M58),ISNUMBER(N58)),IF(N58&gt;0,ROUND(M58/N58*100,1),""),"")))</f>
        <v/>
      </c>
      <c r="S58" s="0" t="str">
        <f aca="false">IF(Q58="","",IF(RIGHT(UPPER(TRIM(L58&amp;"")),2)="-N","비경쟁",""))</f>
        <v/>
      </c>
      <c r="T58" s="0" t="str">
        <f aca="false">IF(Q58="","",IF(COUNTIF(참가자!$A$3:$A$52,Q58)=0,"명단에 없는 코드",""))</f>
        <v/>
      </c>
    </row>
    <row r="59" customFormat="false" ht="15" hidden="false" customHeight="false" outlineLevel="0" collapsed="false">
      <c r="L59" s="8"/>
      <c r="M59" s="8"/>
      <c r="N59" s="8"/>
      <c r="O59" s="8"/>
      <c r="Q59" s="0" t="str">
        <f aca="false">IF(UPPER(TRIM(L59&amp;""))="","",IF(RIGHT(UPPER(TRIM(L59&amp;"")),2)="-N",TRIM(LEFT(UPPER(TRIM(L59&amp;"")),LEN(UPPER(TRIM(L59&amp;"")))-2)),UPPER(TRIM(L59&amp;""))))</f>
        <v/>
      </c>
      <c r="R59" s="0" t="str">
        <f aca="false">IF(Q59="","",IF(ISNUMBER(O59),ROUND(O59,1),IF(AND(ISNUMBER(M59),ISNUMBER(N59)),IF(N59&gt;0,ROUND(M59/N59*100,1),""),"")))</f>
        <v/>
      </c>
      <c r="S59" s="0" t="str">
        <f aca="false">IF(Q59="","",IF(RIGHT(UPPER(TRIM(L59&amp;"")),2)="-N","비경쟁",""))</f>
        <v/>
      </c>
      <c r="T59" s="0" t="str">
        <f aca="false">IF(Q59="","",IF(COUNTIF(참가자!$A$3:$A$52,Q59)=0,"명단에 없는 코드",""))</f>
        <v/>
      </c>
    </row>
    <row r="60" customFormat="false" ht="15" hidden="false" customHeight="false" outlineLevel="0" collapsed="false">
      <c r="L60" s="8"/>
      <c r="M60" s="8"/>
      <c r="N60" s="8"/>
      <c r="O60" s="8"/>
      <c r="Q60" s="0" t="str">
        <f aca="false">IF(UPPER(TRIM(L60&amp;""))="","",IF(RIGHT(UPPER(TRIM(L60&amp;"")),2)="-N",TRIM(LEFT(UPPER(TRIM(L60&amp;"")),LEN(UPPER(TRIM(L60&amp;"")))-2)),UPPER(TRIM(L60&amp;""))))</f>
        <v/>
      </c>
      <c r="R60" s="0" t="str">
        <f aca="false">IF(Q60="","",IF(ISNUMBER(O60),ROUND(O60,1),IF(AND(ISNUMBER(M60),ISNUMBER(N60)),IF(N60&gt;0,ROUND(M60/N60*100,1),""),"")))</f>
        <v/>
      </c>
      <c r="S60" s="0" t="str">
        <f aca="false">IF(Q60="","",IF(RIGHT(UPPER(TRIM(L60&amp;"")),2)="-N","비경쟁",""))</f>
        <v/>
      </c>
      <c r="T60" s="0" t="str">
        <f aca="false">IF(Q60="","",IF(COUNTIF(참가자!$A$3:$A$52,Q60)=0,"명단에 없는 코드",""))</f>
        <v/>
      </c>
    </row>
    <row r="61" customFormat="false" ht="15" hidden="false" customHeight="false" outlineLevel="0" collapsed="false">
      <c r="L61" s="8"/>
      <c r="M61" s="8"/>
      <c r="N61" s="8"/>
      <c r="O61" s="8"/>
      <c r="Q61" s="0" t="str">
        <f aca="false">IF(UPPER(TRIM(L61&amp;""))="","",IF(RIGHT(UPPER(TRIM(L61&amp;"")),2)="-N",TRIM(LEFT(UPPER(TRIM(L61&amp;"")),LEN(UPPER(TRIM(L61&amp;"")))-2)),UPPER(TRIM(L61&amp;""))))</f>
        <v/>
      </c>
      <c r="R61" s="0" t="str">
        <f aca="false">IF(Q61="","",IF(ISNUMBER(O61),ROUND(O61,1),IF(AND(ISNUMBER(M61),ISNUMBER(N61)),IF(N61&gt;0,ROUND(M61/N61*100,1),""),"")))</f>
        <v/>
      </c>
      <c r="S61" s="0" t="str">
        <f aca="false">IF(Q61="","",IF(RIGHT(UPPER(TRIM(L61&amp;"")),2)="-N","비경쟁",""))</f>
        <v/>
      </c>
      <c r="T61" s="0" t="str">
        <f aca="false">IF(Q61="","",IF(COUNTIF(참가자!$A$3:$A$52,Q61)=0,"명단에 없는 코드",""))</f>
        <v/>
      </c>
    </row>
    <row r="62" customFormat="false" ht="15" hidden="false" customHeight="false" outlineLevel="0" collapsed="false">
      <c r="L62" s="8"/>
      <c r="M62" s="8"/>
      <c r="N62" s="8"/>
      <c r="O62" s="8"/>
      <c r="Q62" s="0" t="str">
        <f aca="false">IF(UPPER(TRIM(L62&amp;""))="","",IF(RIGHT(UPPER(TRIM(L62&amp;"")),2)="-N",TRIM(LEFT(UPPER(TRIM(L62&amp;"")),LEN(UPPER(TRIM(L62&amp;"")))-2)),UPPER(TRIM(L62&amp;""))))</f>
        <v/>
      </c>
      <c r="R62" s="0" t="str">
        <f aca="false">IF(Q62="","",IF(ISNUMBER(O62),ROUND(O62,1),IF(AND(ISNUMBER(M62),ISNUMBER(N62)),IF(N62&gt;0,ROUND(M62/N62*100,1),""),"")))</f>
        <v/>
      </c>
      <c r="S62" s="0" t="str">
        <f aca="false">IF(Q62="","",IF(RIGHT(UPPER(TRIM(L62&amp;"")),2)="-N","비경쟁",""))</f>
        <v/>
      </c>
      <c r="T62" s="0" t="str">
        <f aca="false">IF(Q62="","",IF(COUNTIF(참가자!$A$3:$A$52,Q62)=0,"명단에 없는 코드",""))</f>
        <v/>
      </c>
    </row>
    <row r="63" customFormat="false" ht="15" hidden="false" customHeight="false" outlineLevel="0" collapsed="false">
      <c r="L63" s="8"/>
      <c r="M63" s="8"/>
      <c r="N63" s="8"/>
      <c r="O63" s="8"/>
      <c r="Q63" s="0" t="str">
        <f aca="false">IF(UPPER(TRIM(L63&amp;""))="","",IF(RIGHT(UPPER(TRIM(L63&amp;"")),2)="-N",TRIM(LEFT(UPPER(TRIM(L63&amp;"")),LEN(UPPER(TRIM(L63&amp;"")))-2)),UPPER(TRIM(L63&amp;""))))</f>
        <v/>
      </c>
      <c r="R63" s="0" t="str">
        <f aca="false">IF(Q63="","",IF(ISNUMBER(O63),ROUND(O63,1),IF(AND(ISNUMBER(M63),ISNUMBER(N63)),IF(N63&gt;0,ROUND(M63/N63*100,1),""),"")))</f>
        <v/>
      </c>
      <c r="S63" s="0" t="str">
        <f aca="false">IF(Q63="","",IF(RIGHT(UPPER(TRIM(L63&amp;"")),2)="-N","비경쟁",""))</f>
        <v/>
      </c>
      <c r="T63" s="0" t="str">
        <f aca="false">IF(Q63="","",IF(COUNTIF(참가자!$A$3:$A$52,Q63)=0,"명단에 없는 코드",""))</f>
        <v/>
      </c>
    </row>
    <row r="64" customFormat="false" ht="15" hidden="false" customHeight="false" outlineLevel="0" collapsed="false">
      <c r="L64" s="8"/>
      <c r="M64" s="8"/>
      <c r="N64" s="8"/>
      <c r="O64" s="8"/>
      <c r="Q64" s="0" t="str">
        <f aca="false">IF(UPPER(TRIM(L64&amp;""))="","",IF(RIGHT(UPPER(TRIM(L64&amp;"")),2)="-N",TRIM(LEFT(UPPER(TRIM(L64&amp;"")),LEN(UPPER(TRIM(L64&amp;"")))-2)),UPPER(TRIM(L64&amp;""))))</f>
        <v/>
      </c>
      <c r="R64" s="0" t="str">
        <f aca="false">IF(Q64="","",IF(ISNUMBER(O64),ROUND(O64,1),IF(AND(ISNUMBER(M64),ISNUMBER(N64)),IF(N64&gt;0,ROUND(M64/N64*100,1),""),"")))</f>
        <v/>
      </c>
      <c r="S64" s="0" t="str">
        <f aca="false">IF(Q64="","",IF(RIGHT(UPPER(TRIM(L64&amp;"")),2)="-N","비경쟁",""))</f>
        <v/>
      </c>
      <c r="T64" s="0" t="str">
        <f aca="false">IF(Q64="","",IF(COUNTIF(참가자!$A$3:$A$52,Q64)=0,"명단에 없는 코드",""))</f>
        <v/>
      </c>
    </row>
    <row r="65" customFormat="false" ht="15" hidden="false" customHeight="false" outlineLevel="0" collapsed="false">
      <c r="L65" s="8"/>
      <c r="M65" s="8"/>
      <c r="N65" s="8"/>
      <c r="O65" s="8"/>
      <c r="Q65" s="0" t="str">
        <f aca="false">IF(UPPER(TRIM(L65&amp;""))="","",IF(RIGHT(UPPER(TRIM(L65&amp;"")),2)="-N",TRIM(LEFT(UPPER(TRIM(L65&amp;"")),LEN(UPPER(TRIM(L65&amp;"")))-2)),UPPER(TRIM(L65&amp;""))))</f>
        <v/>
      </c>
      <c r="R65" s="0" t="str">
        <f aca="false">IF(Q65="","",IF(ISNUMBER(O65),ROUND(O65,1),IF(AND(ISNUMBER(M65),ISNUMBER(N65)),IF(N65&gt;0,ROUND(M65/N65*100,1),""),"")))</f>
        <v/>
      </c>
      <c r="S65" s="0" t="str">
        <f aca="false">IF(Q65="","",IF(RIGHT(UPPER(TRIM(L65&amp;"")),2)="-N","비경쟁",""))</f>
        <v/>
      </c>
      <c r="T65" s="0" t="str">
        <f aca="false">IF(Q65="","",IF(COUNTIF(참가자!$A$3:$A$52,Q65)=0,"명단에 없는 코드",""))</f>
        <v/>
      </c>
    </row>
    <row r="66" customFormat="false" ht="15" hidden="false" customHeight="false" outlineLevel="0" collapsed="false">
      <c r="L66" s="8"/>
      <c r="M66" s="8"/>
      <c r="N66" s="8"/>
      <c r="O66" s="8"/>
      <c r="Q66" s="0" t="str">
        <f aca="false">IF(UPPER(TRIM(L66&amp;""))="","",IF(RIGHT(UPPER(TRIM(L66&amp;"")),2)="-N",TRIM(LEFT(UPPER(TRIM(L66&amp;"")),LEN(UPPER(TRIM(L66&amp;"")))-2)),UPPER(TRIM(L66&amp;""))))</f>
        <v/>
      </c>
      <c r="R66" s="0" t="str">
        <f aca="false">IF(Q66="","",IF(ISNUMBER(O66),ROUND(O66,1),IF(AND(ISNUMBER(M66),ISNUMBER(N66)),IF(N66&gt;0,ROUND(M66/N66*100,1),""),"")))</f>
        <v/>
      </c>
      <c r="S66" s="0" t="str">
        <f aca="false">IF(Q66="","",IF(RIGHT(UPPER(TRIM(L66&amp;"")),2)="-N","비경쟁",""))</f>
        <v/>
      </c>
      <c r="T66" s="0" t="str">
        <f aca="false">IF(Q66="","",IF(COUNTIF(참가자!$A$3:$A$52,Q66)=0,"명단에 없는 코드",""))</f>
        <v/>
      </c>
    </row>
    <row r="67" customFormat="false" ht="15" hidden="false" customHeight="false" outlineLevel="0" collapsed="false">
      <c r="L67" s="8"/>
      <c r="M67" s="8"/>
      <c r="N67" s="8"/>
      <c r="O67" s="8"/>
      <c r="Q67" s="0" t="str">
        <f aca="false">IF(UPPER(TRIM(L67&amp;""))="","",IF(RIGHT(UPPER(TRIM(L67&amp;"")),2)="-N",TRIM(LEFT(UPPER(TRIM(L67&amp;"")),LEN(UPPER(TRIM(L67&amp;"")))-2)),UPPER(TRIM(L67&amp;""))))</f>
        <v/>
      </c>
      <c r="R67" s="0" t="str">
        <f aca="false">IF(Q67="","",IF(ISNUMBER(O67),ROUND(O67,1),IF(AND(ISNUMBER(M67),ISNUMBER(N67)),IF(N67&gt;0,ROUND(M67/N67*100,1),""),"")))</f>
        <v/>
      </c>
      <c r="S67" s="0" t="str">
        <f aca="false">IF(Q67="","",IF(RIGHT(UPPER(TRIM(L67&amp;"")),2)="-N","비경쟁",""))</f>
        <v/>
      </c>
      <c r="T67" s="0" t="str">
        <f aca="false">IF(Q67="","",IF(COUNTIF(참가자!$A$3:$A$52,Q67)=0,"명단에 없는 코드",""))</f>
        <v/>
      </c>
    </row>
    <row r="68" customFormat="false" ht="15" hidden="false" customHeight="false" outlineLevel="0" collapsed="false">
      <c r="L68" s="8"/>
      <c r="M68" s="8"/>
      <c r="N68" s="8"/>
      <c r="O68" s="8"/>
      <c r="Q68" s="0" t="str">
        <f aca="false">IF(UPPER(TRIM(L68&amp;""))="","",IF(RIGHT(UPPER(TRIM(L68&amp;"")),2)="-N",TRIM(LEFT(UPPER(TRIM(L68&amp;"")),LEN(UPPER(TRIM(L68&amp;"")))-2)),UPPER(TRIM(L68&amp;""))))</f>
        <v/>
      </c>
      <c r="R68" s="0" t="str">
        <f aca="false">IF(Q68="","",IF(ISNUMBER(O68),ROUND(O68,1),IF(AND(ISNUMBER(M68),ISNUMBER(N68)),IF(N68&gt;0,ROUND(M68/N68*100,1),""),"")))</f>
        <v/>
      </c>
      <c r="S68" s="0" t="str">
        <f aca="false">IF(Q68="","",IF(RIGHT(UPPER(TRIM(L68&amp;"")),2)="-N","비경쟁",""))</f>
        <v/>
      </c>
      <c r="T68" s="0" t="str">
        <f aca="false">IF(Q68="","",IF(COUNTIF(참가자!$A$3:$A$52,Q68)=0,"명단에 없는 코드",""))</f>
        <v/>
      </c>
    </row>
    <row r="69" customFormat="false" ht="15" hidden="false" customHeight="false" outlineLevel="0" collapsed="false">
      <c r="L69" s="8"/>
      <c r="M69" s="8"/>
      <c r="N69" s="8"/>
      <c r="O69" s="8"/>
      <c r="Q69" s="0" t="str">
        <f aca="false">IF(UPPER(TRIM(L69&amp;""))="","",IF(RIGHT(UPPER(TRIM(L69&amp;"")),2)="-N",TRIM(LEFT(UPPER(TRIM(L69&amp;"")),LEN(UPPER(TRIM(L69&amp;"")))-2)),UPPER(TRIM(L69&amp;""))))</f>
        <v/>
      </c>
      <c r="R69" s="0" t="str">
        <f aca="false">IF(Q69="","",IF(ISNUMBER(O69),ROUND(O69,1),IF(AND(ISNUMBER(M69),ISNUMBER(N69)),IF(N69&gt;0,ROUND(M69/N69*100,1),""),"")))</f>
        <v/>
      </c>
      <c r="S69" s="0" t="str">
        <f aca="false">IF(Q69="","",IF(RIGHT(UPPER(TRIM(L69&amp;"")),2)="-N","비경쟁",""))</f>
        <v/>
      </c>
      <c r="T69" s="0" t="str">
        <f aca="false">IF(Q69="","",IF(COUNTIF(참가자!$A$3:$A$52,Q69)=0,"명단에 없는 코드",""))</f>
        <v/>
      </c>
    </row>
    <row r="70" customFormat="false" ht="15" hidden="false" customHeight="false" outlineLevel="0" collapsed="false">
      <c r="L70" s="8"/>
      <c r="M70" s="8"/>
      <c r="N70" s="8"/>
      <c r="O70" s="8"/>
      <c r="Q70" s="0" t="str">
        <f aca="false">IF(UPPER(TRIM(L70&amp;""))="","",IF(RIGHT(UPPER(TRIM(L70&amp;"")),2)="-N",TRIM(LEFT(UPPER(TRIM(L70&amp;"")),LEN(UPPER(TRIM(L70&amp;"")))-2)),UPPER(TRIM(L70&amp;""))))</f>
        <v/>
      </c>
      <c r="R70" s="0" t="str">
        <f aca="false">IF(Q70="","",IF(ISNUMBER(O70),ROUND(O70,1),IF(AND(ISNUMBER(M70),ISNUMBER(N70)),IF(N70&gt;0,ROUND(M70/N70*100,1),""),"")))</f>
        <v/>
      </c>
      <c r="S70" s="0" t="str">
        <f aca="false">IF(Q70="","",IF(RIGHT(UPPER(TRIM(L70&amp;"")),2)="-N","비경쟁",""))</f>
        <v/>
      </c>
      <c r="T70" s="0" t="str">
        <f aca="false">IF(Q70="","",IF(COUNTIF(참가자!$A$3:$A$52,Q70)=0,"명단에 없는 코드",""))</f>
        <v/>
      </c>
    </row>
    <row r="71" customFormat="false" ht="15" hidden="false" customHeight="false" outlineLevel="0" collapsed="false">
      <c r="L71" s="8"/>
      <c r="M71" s="8"/>
      <c r="N71" s="8"/>
      <c r="O71" s="8"/>
      <c r="Q71" s="0" t="str">
        <f aca="false">IF(UPPER(TRIM(L71&amp;""))="","",IF(RIGHT(UPPER(TRIM(L71&amp;"")),2)="-N",TRIM(LEFT(UPPER(TRIM(L71&amp;"")),LEN(UPPER(TRIM(L71&amp;"")))-2)),UPPER(TRIM(L71&amp;""))))</f>
        <v/>
      </c>
      <c r="R71" s="0" t="str">
        <f aca="false">IF(Q71="","",IF(ISNUMBER(O71),ROUND(O71,1),IF(AND(ISNUMBER(M71),ISNUMBER(N71)),IF(N71&gt;0,ROUND(M71/N71*100,1),""),"")))</f>
        <v/>
      </c>
      <c r="S71" s="0" t="str">
        <f aca="false">IF(Q71="","",IF(RIGHT(UPPER(TRIM(L71&amp;"")),2)="-N","비경쟁",""))</f>
        <v/>
      </c>
      <c r="T71" s="0" t="str">
        <f aca="false">IF(Q71="","",IF(COUNTIF(참가자!$A$3:$A$52,Q71)=0,"명단에 없는 코드",""))</f>
        <v/>
      </c>
    </row>
    <row r="72" customFormat="false" ht="15" hidden="false" customHeight="false" outlineLevel="0" collapsed="false">
      <c r="L72" s="8"/>
      <c r="M72" s="8"/>
      <c r="N72" s="8"/>
      <c r="O72" s="8"/>
      <c r="Q72" s="0" t="str">
        <f aca="false">IF(UPPER(TRIM(L72&amp;""))="","",IF(RIGHT(UPPER(TRIM(L72&amp;"")),2)="-N",TRIM(LEFT(UPPER(TRIM(L72&amp;"")),LEN(UPPER(TRIM(L72&amp;"")))-2)),UPPER(TRIM(L72&amp;""))))</f>
        <v/>
      </c>
      <c r="R72" s="0" t="str">
        <f aca="false">IF(Q72="","",IF(ISNUMBER(O72),ROUND(O72,1),IF(AND(ISNUMBER(M72),ISNUMBER(N72)),IF(N72&gt;0,ROUND(M72/N72*100,1),""),"")))</f>
        <v/>
      </c>
      <c r="S72" s="0" t="str">
        <f aca="false">IF(Q72="","",IF(RIGHT(UPPER(TRIM(L72&amp;"")),2)="-N","비경쟁",""))</f>
        <v/>
      </c>
      <c r="T72" s="0" t="str">
        <f aca="false">IF(Q72="","",IF(COUNTIF(참가자!$A$3:$A$52,Q72)=0,"명단에 없는 코드",""))</f>
        <v/>
      </c>
    </row>
    <row r="73" customFormat="false" ht="15" hidden="false" customHeight="false" outlineLevel="0" collapsed="false">
      <c r="L73" s="8"/>
      <c r="M73" s="8"/>
      <c r="N73" s="8"/>
      <c r="O73" s="8"/>
      <c r="Q73" s="0" t="str">
        <f aca="false">IF(UPPER(TRIM(L73&amp;""))="","",IF(RIGHT(UPPER(TRIM(L73&amp;"")),2)="-N",TRIM(LEFT(UPPER(TRIM(L73&amp;"")),LEN(UPPER(TRIM(L73&amp;"")))-2)),UPPER(TRIM(L73&amp;""))))</f>
        <v/>
      </c>
      <c r="R73" s="0" t="str">
        <f aca="false">IF(Q73="","",IF(ISNUMBER(O73),ROUND(O73,1),IF(AND(ISNUMBER(M73),ISNUMBER(N73)),IF(N73&gt;0,ROUND(M73/N73*100,1),""),"")))</f>
        <v/>
      </c>
      <c r="S73" s="0" t="str">
        <f aca="false">IF(Q73="","",IF(RIGHT(UPPER(TRIM(L73&amp;"")),2)="-N","비경쟁",""))</f>
        <v/>
      </c>
      <c r="T73" s="0" t="str">
        <f aca="false">IF(Q73="","",IF(COUNTIF(참가자!$A$3:$A$52,Q73)=0,"명단에 없는 코드",""))</f>
        <v/>
      </c>
    </row>
    <row r="74" customFormat="false" ht="15" hidden="false" customHeight="false" outlineLevel="0" collapsed="false">
      <c r="L74" s="8"/>
      <c r="M74" s="8"/>
      <c r="N74" s="8"/>
      <c r="O74" s="8"/>
      <c r="Q74" s="0" t="str">
        <f aca="false">IF(UPPER(TRIM(L74&amp;""))="","",IF(RIGHT(UPPER(TRIM(L74&amp;"")),2)="-N",TRIM(LEFT(UPPER(TRIM(L74&amp;"")),LEN(UPPER(TRIM(L74&amp;"")))-2)),UPPER(TRIM(L74&amp;""))))</f>
        <v/>
      </c>
      <c r="R74" s="0" t="str">
        <f aca="false">IF(Q74="","",IF(ISNUMBER(O74),ROUND(O74,1),IF(AND(ISNUMBER(M74),ISNUMBER(N74)),IF(N74&gt;0,ROUND(M74/N74*100,1),""),"")))</f>
        <v/>
      </c>
      <c r="S74" s="0" t="str">
        <f aca="false">IF(Q74="","",IF(RIGHT(UPPER(TRIM(L74&amp;"")),2)="-N","비경쟁",""))</f>
        <v/>
      </c>
      <c r="T74" s="0" t="str">
        <f aca="false">IF(Q74="","",IF(COUNTIF(참가자!$A$3:$A$52,Q74)=0,"명단에 없는 코드",""))</f>
        <v/>
      </c>
    </row>
    <row r="75" customFormat="false" ht="15" hidden="false" customHeight="false" outlineLevel="0" collapsed="false">
      <c r="L75" s="8"/>
      <c r="M75" s="8"/>
      <c r="N75" s="8"/>
      <c r="O75" s="8"/>
      <c r="Q75" s="0" t="str">
        <f aca="false">IF(UPPER(TRIM(L75&amp;""))="","",IF(RIGHT(UPPER(TRIM(L75&amp;"")),2)="-N",TRIM(LEFT(UPPER(TRIM(L75&amp;"")),LEN(UPPER(TRIM(L75&amp;"")))-2)),UPPER(TRIM(L75&amp;""))))</f>
        <v/>
      </c>
      <c r="R75" s="0" t="str">
        <f aca="false">IF(Q75="","",IF(ISNUMBER(O75),ROUND(O75,1),IF(AND(ISNUMBER(M75),ISNUMBER(N75)),IF(N75&gt;0,ROUND(M75/N75*100,1),""),"")))</f>
        <v/>
      </c>
      <c r="S75" s="0" t="str">
        <f aca="false">IF(Q75="","",IF(RIGHT(UPPER(TRIM(L75&amp;"")),2)="-N","비경쟁",""))</f>
        <v/>
      </c>
      <c r="T75" s="0" t="str">
        <f aca="false">IF(Q75="","",IF(COUNTIF(참가자!$A$3:$A$52,Q75)=0,"명단에 없는 코드",""))</f>
        <v/>
      </c>
    </row>
    <row r="76" customFormat="false" ht="15" hidden="false" customHeight="false" outlineLevel="0" collapsed="false">
      <c r="L76" s="8"/>
      <c r="M76" s="8"/>
      <c r="N76" s="8"/>
      <c r="O76" s="8"/>
      <c r="Q76" s="0" t="str">
        <f aca="false">IF(UPPER(TRIM(L76&amp;""))="","",IF(RIGHT(UPPER(TRIM(L76&amp;"")),2)="-N",TRIM(LEFT(UPPER(TRIM(L76&amp;"")),LEN(UPPER(TRIM(L76&amp;"")))-2)),UPPER(TRIM(L76&amp;""))))</f>
        <v/>
      </c>
      <c r="R76" s="0" t="str">
        <f aca="false">IF(Q76="","",IF(ISNUMBER(O76),ROUND(O76,1),IF(AND(ISNUMBER(M76),ISNUMBER(N76)),IF(N76&gt;0,ROUND(M76/N76*100,1),""),"")))</f>
        <v/>
      </c>
      <c r="S76" s="0" t="str">
        <f aca="false">IF(Q76="","",IF(RIGHT(UPPER(TRIM(L76&amp;"")),2)="-N","비경쟁",""))</f>
        <v/>
      </c>
      <c r="T76" s="0" t="str">
        <f aca="false">IF(Q76="","",IF(COUNTIF(참가자!$A$3:$A$52,Q76)=0,"명단에 없는 코드",""))</f>
        <v/>
      </c>
    </row>
    <row r="77" customFormat="false" ht="15" hidden="false" customHeight="false" outlineLevel="0" collapsed="false">
      <c r="L77" s="8"/>
      <c r="M77" s="8"/>
      <c r="N77" s="8"/>
      <c r="O77" s="8"/>
      <c r="Q77" s="0" t="str">
        <f aca="false">IF(UPPER(TRIM(L77&amp;""))="","",IF(RIGHT(UPPER(TRIM(L77&amp;"")),2)="-N",TRIM(LEFT(UPPER(TRIM(L77&amp;"")),LEN(UPPER(TRIM(L77&amp;"")))-2)),UPPER(TRIM(L77&amp;""))))</f>
        <v/>
      </c>
      <c r="R77" s="0" t="str">
        <f aca="false">IF(Q77="","",IF(ISNUMBER(O77),ROUND(O77,1),IF(AND(ISNUMBER(M77),ISNUMBER(N77)),IF(N77&gt;0,ROUND(M77/N77*100,1),""),"")))</f>
        <v/>
      </c>
      <c r="S77" s="0" t="str">
        <f aca="false">IF(Q77="","",IF(RIGHT(UPPER(TRIM(L77&amp;"")),2)="-N","비경쟁",""))</f>
        <v/>
      </c>
      <c r="T77" s="0" t="str">
        <f aca="false">IF(Q77="","",IF(COUNTIF(참가자!$A$3:$A$52,Q77)=0,"명단에 없는 코드",""))</f>
        <v/>
      </c>
    </row>
    <row r="78" customFormat="false" ht="15" hidden="false" customHeight="false" outlineLevel="0" collapsed="false">
      <c r="L78" s="8"/>
      <c r="M78" s="8"/>
      <c r="N78" s="8"/>
      <c r="O78" s="8"/>
      <c r="Q78" s="0" t="str">
        <f aca="false">IF(UPPER(TRIM(L78&amp;""))="","",IF(RIGHT(UPPER(TRIM(L78&amp;"")),2)="-N",TRIM(LEFT(UPPER(TRIM(L78&amp;"")),LEN(UPPER(TRIM(L78&amp;"")))-2)),UPPER(TRIM(L78&amp;""))))</f>
        <v/>
      </c>
      <c r="R78" s="0" t="str">
        <f aca="false">IF(Q78="","",IF(ISNUMBER(O78),ROUND(O78,1),IF(AND(ISNUMBER(M78),ISNUMBER(N78)),IF(N78&gt;0,ROUND(M78/N78*100,1),""),"")))</f>
        <v/>
      </c>
      <c r="S78" s="0" t="str">
        <f aca="false">IF(Q78="","",IF(RIGHT(UPPER(TRIM(L78&amp;"")),2)="-N","비경쟁",""))</f>
        <v/>
      </c>
      <c r="T78" s="0" t="str">
        <f aca="false">IF(Q78="","",IF(COUNTIF(참가자!$A$3:$A$52,Q78)=0,"명단에 없는 코드",""))</f>
        <v/>
      </c>
    </row>
    <row r="79" customFormat="false" ht="15" hidden="false" customHeight="false" outlineLevel="0" collapsed="false">
      <c r="L79" s="8"/>
      <c r="M79" s="8"/>
      <c r="N79" s="8"/>
      <c r="O79" s="8"/>
      <c r="Q79" s="0" t="str">
        <f aca="false">IF(UPPER(TRIM(L79&amp;""))="","",IF(RIGHT(UPPER(TRIM(L79&amp;"")),2)="-N",TRIM(LEFT(UPPER(TRIM(L79&amp;"")),LEN(UPPER(TRIM(L79&amp;"")))-2)),UPPER(TRIM(L79&amp;""))))</f>
        <v/>
      </c>
      <c r="R79" s="0" t="str">
        <f aca="false">IF(Q79="","",IF(ISNUMBER(O79),ROUND(O79,1),IF(AND(ISNUMBER(M79),ISNUMBER(N79)),IF(N79&gt;0,ROUND(M79/N79*100,1),""),"")))</f>
        <v/>
      </c>
      <c r="S79" s="0" t="str">
        <f aca="false">IF(Q79="","",IF(RIGHT(UPPER(TRIM(L79&amp;"")),2)="-N","비경쟁",""))</f>
        <v/>
      </c>
      <c r="T79" s="0" t="str">
        <f aca="false">IF(Q79="","",IF(COUNTIF(참가자!$A$3:$A$52,Q79)=0,"명단에 없는 코드",""))</f>
        <v/>
      </c>
    </row>
    <row r="80" customFormat="false" ht="15" hidden="false" customHeight="false" outlineLevel="0" collapsed="false">
      <c r="L80" s="8"/>
      <c r="M80" s="8"/>
      <c r="N80" s="8"/>
      <c r="O80" s="8"/>
      <c r="Q80" s="0" t="str">
        <f aca="false">IF(UPPER(TRIM(L80&amp;""))="","",IF(RIGHT(UPPER(TRIM(L80&amp;"")),2)="-N",TRIM(LEFT(UPPER(TRIM(L80&amp;"")),LEN(UPPER(TRIM(L80&amp;"")))-2)),UPPER(TRIM(L80&amp;""))))</f>
        <v/>
      </c>
      <c r="R80" s="0" t="str">
        <f aca="false">IF(Q80="","",IF(ISNUMBER(O80),ROUND(O80,1),IF(AND(ISNUMBER(M80),ISNUMBER(N80)),IF(N80&gt;0,ROUND(M80/N80*100,1),""),"")))</f>
        <v/>
      </c>
      <c r="S80" s="0" t="str">
        <f aca="false">IF(Q80="","",IF(RIGHT(UPPER(TRIM(L80&amp;"")),2)="-N","비경쟁",""))</f>
        <v/>
      </c>
      <c r="T80" s="0" t="str">
        <f aca="false">IF(Q80="","",IF(COUNTIF(참가자!$A$3:$A$52,Q80)=0,"명단에 없는 코드",""))</f>
        <v/>
      </c>
    </row>
    <row r="81" customFormat="false" ht="15" hidden="false" customHeight="false" outlineLevel="0" collapsed="false">
      <c r="L81" s="8"/>
      <c r="M81" s="8"/>
      <c r="N81" s="8"/>
      <c r="O81" s="8"/>
      <c r="Q81" s="0" t="str">
        <f aca="false">IF(UPPER(TRIM(L81&amp;""))="","",IF(RIGHT(UPPER(TRIM(L81&amp;"")),2)="-N",TRIM(LEFT(UPPER(TRIM(L81&amp;"")),LEN(UPPER(TRIM(L81&amp;"")))-2)),UPPER(TRIM(L81&amp;""))))</f>
        <v/>
      </c>
      <c r="R81" s="0" t="str">
        <f aca="false">IF(Q81="","",IF(ISNUMBER(O81),ROUND(O81,1),IF(AND(ISNUMBER(M81),ISNUMBER(N81)),IF(N81&gt;0,ROUND(M81/N81*100,1),""),"")))</f>
        <v/>
      </c>
      <c r="S81" s="0" t="str">
        <f aca="false">IF(Q81="","",IF(RIGHT(UPPER(TRIM(L81&amp;"")),2)="-N","비경쟁",""))</f>
        <v/>
      </c>
      <c r="T81" s="0" t="str">
        <f aca="false">IF(Q81="","",IF(COUNTIF(참가자!$A$3:$A$52,Q81)=0,"명단에 없는 코드",""))</f>
        <v/>
      </c>
    </row>
    <row r="82" customFormat="false" ht="15" hidden="false" customHeight="false" outlineLevel="0" collapsed="false">
      <c r="L82" s="8"/>
      <c r="M82" s="8"/>
      <c r="N82" s="8"/>
      <c r="O82" s="8"/>
      <c r="Q82" s="0" t="str">
        <f aca="false">IF(UPPER(TRIM(L82&amp;""))="","",IF(RIGHT(UPPER(TRIM(L82&amp;"")),2)="-N",TRIM(LEFT(UPPER(TRIM(L82&amp;"")),LEN(UPPER(TRIM(L82&amp;"")))-2)),UPPER(TRIM(L82&amp;""))))</f>
        <v/>
      </c>
      <c r="R82" s="0" t="str">
        <f aca="false">IF(Q82="","",IF(ISNUMBER(O82),ROUND(O82,1),IF(AND(ISNUMBER(M82),ISNUMBER(N82)),IF(N82&gt;0,ROUND(M82/N82*100,1),""),"")))</f>
        <v/>
      </c>
      <c r="S82" s="0" t="str">
        <f aca="false">IF(Q82="","",IF(RIGHT(UPPER(TRIM(L82&amp;"")),2)="-N","비경쟁",""))</f>
        <v/>
      </c>
      <c r="T82" s="0" t="str">
        <f aca="false">IF(Q82="","",IF(COUNTIF(참가자!$A$3:$A$52,Q82)=0,"명단에 없는 코드",""))</f>
        <v/>
      </c>
    </row>
    <row r="83" customFormat="false" ht="15" hidden="false" customHeight="false" outlineLevel="0" collapsed="false">
      <c r="L83" s="8"/>
      <c r="M83" s="8"/>
      <c r="N83" s="8"/>
      <c r="O83" s="8"/>
      <c r="Q83" s="0" t="str">
        <f aca="false">IF(UPPER(TRIM(L83&amp;""))="","",IF(RIGHT(UPPER(TRIM(L83&amp;"")),2)="-N",TRIM(LEFT(UPPER(TRIM(L83&amp;"")),LEN(UPPER(TRIM(L83&amp;"")))-2)),UPPER(TRIM(L83&amp;""))))</f>
        <v/>
      </c>
      <c r="R83" s="0" t="str">
        <f aca="false">IF(Q83="","",IF(ISNUMBER(O83),ROUND(O83,1),IF(AND(ISNUMBER(M83),ISNUMBER(N83)),IF(N83&gt;0,ROUND(M83/N83*100,1),""),"")))</f>
        <v/>
      </c>
      <c r="S83" s="0" t="str">
        <f aca="false">IF(Q83="","",IF(RIGHT(UPPER(TRIM(L83&amp;"")),2)="-N","비경쟁",""))</f>
        <v/>
      </c>
      <c r="T83" s="0" t="str">
        <f aca="false">IF(Q83="","",IF(COUNTIF(참가자!$A$3:$A$52,Q83)=0,"명단에 없는 코드",""))</f>
        <v/>
      </c>
    </row>
    <row r="84" customFormat="false" ht="15" hidden="false" customHeight="false" outlineLevel="0" collapsed="false">
      <c r="L84" s="8"/>
      <c r="M84" s="8"/>
      <c r="N84" s="8"/>
      <c r="O84" s="8"/>
      <c r="Q84" s="0" t="str">
        <f aca="false">IF(UPPER(TRIM(L84&amp;""))="","",IF(RIGHT(UPPER(TRIM(L84&amp;"")),2)="-N",TRIM(LEFT(UPPER(TRIM(L84&amp;"")),LEN(UPPER(TRIM(L84&amp;"")))-2)),UPPER(TRIM(L84&amp;""))))</f>
        <v/>
      </c>
      <c r="R84" s="0" t="str">
        <f aca="false">IF(Q84="","",IF(ISNUMBER(O84),ROUND(O84,1),IF(AND(ISNUMBER(M84),ISNUMBER(N84)),IF(N84&gt;0,ROUND(M84/N84*100,1),""),"")))</f>
        <v/>
      </c>
      <c r="S84" s="0" t="str">
        <f aca="false">IF(Q84="","",IF(RIGHT(UPPER(TRIM(L84&amp;"")),2)="-N","비경쟁",""))</f>
        <v/>
      </c>
      <c r="T84" s="0" t="str">
        <f aca="false">IF(Q84="","",IF(COUNTIF(참가자!$A$3:$A$52,Q84)=0,"명단에 없는 코드",""))</f>
        <v/>
      </c>
    </row>
    <row r="85" customFormat="false" ht="15" hidden="false" customHeight="false" outlineLevel="0" collapsed="false">
      <c r="L85" s="8"/>
      <c r="M85" s="8"/>
      <c r="N85" s="8"/>
      <c r="O85" s="8"/>
      <c r="Q85" s="0" t="str">
        <f aca="false">IF(UPPER(TRIM(L85&amp;""))="","",IF(RIGHT(UPPER(TRIM(L85&amp;"")),2)="-N",TRIM(LEFT(UPPER(TRIM(L85&amp;"")),LEN(UPPER(TRIM(L85&amp;"")))-2)),UPPER(TRIM(L85&amp;""))))</f>
        <v/>
      </c>
      <c r="R85" s="0" t="str">
        <f aca="false">IF(Q85="","",IF(ISNUMBER(O85),ROUND(O85,1),IF(AND(ISNUMBER(M85),ISNUMBER(N85)),IF(N85&gt;0,ROUND(M85/N85*100,1),""),"")))</f>
        <v/>
      </c>
      <c r="S85" s="0" t="str">
        <f aca="false">IF(Q85="","",IF(RIGHT(UPPER(TRIM(L85&amp;"")),2)="-N","비경쟁",""))</f>
        <v/>
      </c>
      <c r="T85" s="0" t="str">
        <f aca="false">IF(Q85="","",IF(COUNTIF(참가자!$A$3:$A$52,Q85)=0,"명단에 없는 코드",""))</f>
        <v/>
      </c>
    </row>
    <row r="86" customFormat="false" ht="15" hidden="false" customHeight="false" outlineLevel="0" collapsed="false">
      <c r="L86" s="8"/>
      <c r="M86" s="8"/>
      <c r="N86" s="8"/>
      <c r="O86" s="8"/>
      <c r="Q86" s="0" t="str">
        <f aca="false">IF(UPPER(TRIM(L86&amp;""))="","",IF(RIGHT(UPPER(TRIM(L86&amp;"")),2)="-N",TRIM(LEFT(UPPER(TRIM(L86&amp;"")),LEN(UPPER(TRIM(L86&amp;"")))-2)),UPPER(TRIM(L86&amp;""))))</f>
        <v/>
      </c>
      <c r="R86" s="0" t="str">
        <f aca="false">IF(Q86="","",IF(ISNUMBER(O86),ROUND(O86,1),IF(AND(ISNUMBER(M86),ISNUMBER(N86)),IF(N86&gt;0,ROUND(M86/N86*100,1),""),"")))</f>
        <v/>
      </c>
      <c r="S86" s="0" t="str">
        <f aca="false">IF(Q86="","",IF(RIGHT(UPPER(TRIM(L86&amp;"")),2)="-N","비경쟁",""))</f>
        <v/>
      </c>
      <c r="T86" s="0" t="str">
        <f aca="false">IF(Q86="","",IF(COUNTIF(참가자!$A$3:$A$52,Q86)=0,"명단에 없는 코드",""))</f>
        <v/>
      </c>
    </row>
    <row r="87" customFormat="false" ht="15" hidden="false" customHeight="false" outlineLevel="0" collapsed="false">
      <c r="L87" s="8"/>
      <c r="M87" s="8"/>
      <c r="N87" s="8"/>
      <c r="O87" s="8"/>
      <c r="Q87" s="0" t="str">
        <f aca="false">IF(UPPER(TRIM(L87&amp;""))="","",IF(RIGHT(UPPER(TRIM(L87&amp;"")),2)="-N",TRIM(LEFT(UPPER(TRIM(L87&amp;"")),LEN(UPPER(TRIM(L87&amp;"")))-2)),UPPER(TRIM(L87&amp;""))))</f>
        <v/>
      </c>
      <c r="R87" s="0" t="str">
        <f aca="false">IF(Q87="","",IF(ISNUMBER(O87),ROUND(O87,1),IF(AND(ISNUMBER(M87),ISNUMBER(N87)),IF(N87&gt;0,ROUND(M87/N87*100,1),""),"")))</f>
        <v/>
      </c>
      <c r="S87" s="0" t="str">
        <f aca="false">IF(Q87="","",IF(RIGHT(UPPER(TRIM(L87&amp;"")),2)="-N","비경쟁",""))</f>
        <v/>
      </c>
      <c r="T87" s="0" t="str">
        <f aca="false">IF(Q87="","",IF(COUNTIF(참가자!$A$3:$A$52,Q87)=0,"명단에 없는 코드",""))</f>
        <v/>
      </c>
    </row>
    <row r="88" customFormat="false" ht="15" hidden="false" customHeight="false" outlineLevel="0" collapsed="false">
      <c r="L88" s="8"/>
      <c r="M88" s="8"/>
      <c r="N88" s="8"/>
      <c r="O88" s="8"/>
      <c r="Q88" s="0" t="str">
        <f aca="false">IF(UPPER(TRIM(L88&amp;""))="","",IF(RIGHT(UPPER(TRIM(L88&amp;"")),2)="-N",TRIM(LEFT(UPPER(TRIM(L88&amp;"")),LEN(UPPER(TRIM(L88&amp;"")))-2)),UPPER(TRIM(L88&amp;""))))</f>
        <v/>
      </c>
      <c r="R88" s="0" t="str">
        <f aca="false">IF(Q88="","",IF(ISNUMBER(O88),ROUND(O88,1),IF(AND(ISNUMBER(M88),ISNUMBER(N88)),IF(N88&gt;0,ROUND(M88/N88*100,1),""),"")))</f>
        <v/>
      </c>
      <c r="S88" s="0" t="str">
        <f aca="false">IF(Q88="","",IF(RIGHT(UPPER(TRIM(L88&amp;"")),2)="-N","비경쟁",""))</f>
        <v/>
      </c>
      <c r="T88" s="0" t="str">
        <f aca="false">IF(Q88="","",IF(COUNTIF(참가자!$A$3:$A$52,Q88)=0,"명단에 없는 코드",""))</f>
        <v/>
      </c>
    </row>
    <row r="89" customFormat="false" ht="15" hidden="false" customHeight="false" outlineLevel="0" collapsed="false">
      <c r="L89" s="8"/>
      <c r="M89" s="8"/>
      <c r="N89" s="8"/>
      <c r="O89" s="8"/>
      <c r="Q89" s="0" t="str">
        <f aca="false">IF(UPPER(TRIM(L89&amp;""))="","",IF(RIGHT(UPPER(TRIM(L89&amp;"")),2)="-N",TRIM(LEFT(UPPER(TRIM(L89&amp;"")),LEN(UPPER(TRIM(L89&amp;"")))-2)),UPPER(TRIM(L89&amp;""))))</f>
        <v/>
      </c>
      <c r="R89" s="0" t="str">
        <f aca="false">IF(Q89="","",IF(ISNUMBER(O89),ROUND(O89,1),IF(AND(ISNUMBER(M89),ISNUMBER(N89)),IF(N89&gt;0,ROUND(M89/N89*100,1),""),"")))</f>
        <v/>
      </c>
      <c r="S89" s="0" t="str">
        <f aca="false">IF(Q89="","",IF(RIGHT(UPPER(TRIM(L89&amp;"")),2)="-N","비경쟁",""))</f>
        <v/>
      </c>
      <c r="T89" s="0" t="str">
        <f aca="false">IF(Q89="","",IF(COUNTIF(참가자!$A$3:$A$52,Q89)=0,"명단에 없는 코드",""))</f>
        <v/>
      </c>
    </row>
    <row r="90" customFormat="false" ht="15" hidden="false" customHeight="false" outlineLevel="0" collapsed="false">
      <c r="L90" s="8"/>
      <c r="M90" s="8"/>
      <c r="N90" s="8"/>
      <c r="O90" s="8"/>
      <c r="Q90" s="0" t="str">
        <f aca="false">IF(UPPER(TRIM(L90&amp;""))="","",IF(RIGHT(UPPER(TRIM(L90&amp;"")),2)="-N",TRIM(LEFT(UPPER(TRIM(L90&amp;"")),LEN(UPPER(TRIM(L90&amp;"")))-2)),UPPER(TRIM(L90&amp;""))))</f>
        <v/>
      </c>
      <c r="R90" s="0" t="str">
        <f aca="false">IF(Q90="","",IF(ISNUMBER(O90),ROUND(O90,1),IF(AND(ISNUMBER(M90),ISNUMBER(N90)),IF(N90&gt;0,ROUND(M90/N90*100,1),""),"")))</f>
        <v/>
      </c>
      <c r="S90" s="0" t="str">
        <f aca="false">IF(Q90="","",IF(RIGHT(UPPER(TRIM(L90&amp;"")),2)="-N","비경쟁",""))</f>
        <v/>
      </c>
      <c r="T90" s="0" t="str">
        <f aca="false">IF(Q90="","",IF(COUNTIF(참가자!$A$3:$A$52,Q90)=0,"명단에 없는 코드",""))</f>
        <v/>
      </c>
    </row>
    <row r="91" customFormat="false" ht="15" hidden="false" customHeight="false" outlineLevel="0" collapsed="false">
      <c r="L91" s="8"/>
      <c r="M91" s="8"/>
      <c r="N91" s="8"/>
      <c r="O91" s="8"/>
      <c r="Q91" s="0" t="str">
        <f aca="false">IF(UPPER(TRIM(L91&amp;""))="","",IF(RIGHT(UPPER(TRIM(L91&amp;"")),2)="-N",TRIM(LEFT(UPPER(TRIM(L91&amp;"")),LEN(UPPER(TRIM(L91&amp;"")))-2)),UPPER(TRIM(L91&amp;""))))</f>
        <v/>
      </c>
      <c r="R91" s="0" t="str">
        <f aca="false">IF(Q91="","",IF(ISNUMBER(O91),ROUND(O91,1),IF(AND(ISNUMBER(M91),ISNUMBER(N91)),IF(N91&gt;0,ROUND(M91/N91*100,1),""),"")))</f>
        <v/>
      </c>
      <c r="S91" s="0" t="str">
        <f aca="false">IF(Q91="","",IF(RIGHT(UPPER(TRIM(L91&amp;"")),2)="-N","비경쟁",""))</f>
        <v/>
      </c>
      <c r="T91" s="0" t="str">
        <f aca="false">IF(Q91="","",IF(COUNTIF(참가자!$A$3:$A$52,Q91)=0,"명단에 없는 코드",""))</f>
        <v/>
      </c>
    </row>
    <row r="92" customFormat="false" ht="15" hidden="false" customHeight="false" outlineLevel="0" collapsed="false">
      <c r="L92" s="8"/>
      <c r="M92" s="8"/>
      <c r="N92" s="8"/>
      <c r="O92" s="8"/>
      <c r="Q92" s="0" t="str">
        <f aca="false">IF(UPPER(TRIM(L92&amp;""))="","",IF(RIGHT(UPPER(TRIM(L92&amp;"")),2)="-N",TRIM(LEFT(UPPER(TRIM(L92&amp;"")),LEN(UPPER(TRIM(L92&amp;"")))-2)),UPPER(TRIM(L92&amp;""))))</f>
        <v/>
      </c>
      <c r="R92" s="0" t="str">
        <f aca="false">IF(Q92="","",IF(ISNUMBER(O92),ROUND(O92,1),IF(AND(ISNUMBER(M92),ISNUMBER(N92)),IF(N92&gt;0,ROUND(M92/N92*100,1),""),"")))</f>
        <v/>
      </c>
      <c r="S92" s="0" t="str">
        <f aca="false">IF(Q92="","",IF(RIGHT(UPPER(TRIM(L92&amp;"")),2)="-N","비경쟁",""))</f>
        <v/>
      </c>
      <c r="T92" s="0" t="str">
        <f aca="false">IF(Q92="","",IF(COUNTIF(참가자!$A$3:$A$52,Q92)=0,"명단에 없는 코드",""))</f>
        <v/>
      </c>
    </row>
    <row r="93" customFormat="false" ht="15" hidden="false" customHeight="false" outlineLevel="0" collapsed="false">
      <c r="L93" s="8"/>
      <c r="M93" s="8"/>
      <c r="N93" s="8"/>
      <c r="O93" s="8"/>
      <c r="Q93" s="0" t="str">
        <f aca="false">IF(UPPER(TRIM(L93&amp;""))="","",IF(RIGHT(UPPER(TRIM(L93&amp;"")),2)="-N",TRIM(LEFT(UPPER(TRIM(L93&amp;"")),LEN(UPPER(TRIM(L93&amp;"")))-2)),UPPER(TRIM(L93&amp;""))))</f>
        <v/>
      </c>
      <c r="R93" s="0" t="str">
        <f aca="false">IF(Q93="","",IF(ISNUMBER(O93),ROUND(O93,1),IF(AND(ISNUMBER(M93),ISNUMBER(N93)),IF(N93&gt;0,ROUND(M93/N93*100,1),""),"")))</f>
        <v/>
      </c>
      <c r="S93" s="0" t="str">
        <f aca="false">IF(Q93="","",IF(RIGHT(UPPER(TRIM(L93&amp;"")),2)="-N","비경쟁",""))</f>
        <v/>
      </c>
      <c r="T93" s="0" t="str">
        <f aca="false">IF(Q93="","",IF(COUNTIF(참가자!$A$3:$A$52,Q93)=0,"명단에 없는 코드",""))</f>
        <v/>
      </c>
    </row>
    <row r="94" customFormat="false" ht="15" hidden="false" customHeight="false" outlineLevel="0" collapsed="false">
      <c r="L94" s="8"/>
      <c r="M94" s="8"/>
      <c r="N94" s="8"/>
      <c r="O94" s="8"/>
      <c r="Q94" s="0" t="str">
        <f aca="false">IF(UPPER(TRIM(L94&amp;""))="","",IF(RIGHT(UPPER(TRIM(L94&amp;"")),2)="-N",TRIM(LEFT(UPPER(TRIM(L94&amp;"")),LEN(UPPER(TRIM(L94&amp;"")))-2)),UPPER(TRIM(L94&amp;""))))</f>
        <v/>
      </c>
      <c r="R94" s="0" t="str">
        <f aca="false">IF(Q94="","",IF(ISNUMBER(O94),ROUND(O94,1),IF(AND(ISNUMBER(M94),ISNUMBER(N94)),IF(N94&gt;0,ROUND(M94/N94*100,1),""),"")))</f>
        <v/>
      </c>
      <c r="S94" s="0" t="str">
        <f aca="false">IF(Q94="","",IF(RIGHT(UPPER(TRIM(L94&amp;"")),2)="-N","비경쟁",""))</f>
        <v/>
      </c>
      <c r="T94" s="0" t="str">
        <f aca="false">IF(Q94="","",IF(COUNTIF(참가자!$A$3:$A$52,Q94)=0,"명단에 없는 코드",""))</f>
        <v/>
      </c>
    </row>
    <row r="95" customFormat="false" ht="15" hidden="false" customHeight="false" outlineLevel="0" collapsed="false">
      <c r="L95" s="8"/>
      <c r="M95" s="8"/>
      <c r="N95" s="8"/>
      <c r="O95" s="8"/>
      <c r="Q95" s="0" t="str">
        <f aca="false">IF(UPPER(TRIM(L95&amp;""))="","",IF(RIGHT(UPPER(TRIM(L95&amp;"")),2)="-N",TRIM(LEFT(UPPER(TRIM(L95&amp;"")),LEN(UPPER(TRIM(L95&amp;"")))-2)),UPPER(TRIM(L95&amp;""))))</f>
        <v/>
      </c>
      <c r="R95" s="0" t="str">
        <f aca="false">IF(Q95="","",IF(ISNUMBER(O95),ROUND(O95,1),IF(AND(ISNUMBER(M95),ISNUMBER(N95)),IF(N95&gt;0,ROUND(M95/N95*100,1),""),"")))</f>
        <v/>
      </c>
      <c r="S95" s="0" t="str">
        <f aca="false">IF(Q95="","",IF(RIGHT(UPPER(TRIM(L95&amp;"")),2)="-N","비경쟁",""))</f>
        <v/>
      </c>
      <c r="T95" s="0" t="str">
        <f aca="false">IF(Q95="","",IF(COUNTIF(참가자!$A$3:$A$52,Q95)=0,"명단에 없는 코드",""))</f>
        <v/>
      </c>
    </row>
    <row r="96" customFormat="false" ht="15" hidden="false" customHeight="false" outlineLevel="0" collapsed="false">
      <c r="L96" s="8"/>
      <c r="M96" s="8"/>
      <c r="N96" s="8"/>
      <c r="O96" s="8"/>
      <c r="Q96" s="0" t="str">
        <f aca="false">IF(UPPER(TRIM(L96&amp;""))="","",IF(RIGHT(UPPER(TRIM(L96&amp;"")),2)="-N",TRIM(LEFT(UPPER(TRIM(L96&amp;"")),LEN(UPPER(TRIM(L96&amp;"")))-2)),UPPER(TRIM(L96&amp;""))))</f>
        <v/>
      </c>
      <c r="R96" s="0" t="str">
        <f aca="false">IF(Q96="","",IF(ISNUMBER(O96),ROUND(O96,1),IF(AND(ISNUMBER(M96),ISNUMBER(N96)),IF(N96&gt;0,ROUND(M96/N96*100,1),""),"")))</f>
        <v/>
      </c>
      <c r="S96" s="0" t="str">
        <f aca="false">IF(Q96="","",IF(RIGHT(UPPER(TRIM(L96&amp;"")),2)="-N","비경쟁",""))</f>
        <v/>
      </c>
      <c r="T96" s="0" t="str">
        <f aca="false">IF(Q96="","",IF(COUNTIF(참가자!$A$3:$A$52,Q96)=0,"명단에 없는 코드",""))</f>
        <v/>
      </c>
    </row>
    <row r="97" customFormat="false" ht="15" hidden="false" customHeight="false" outlineLevel="0" collapsed="false">
      <c r="L97" s="8"/>
      <c r="M97" s="8"/>
      <c r="N97" s="8"/>
      <c r="O97" s="8"/>
      <c r="Q97" s="0" t="str">
        <f aca="false">IF(UPPER(TRIM(L97&amp;""))="","",IF(RIGHT(UPPER(TRIM(L97&amp;"")),2)="-N",TRIM(LEFT(UPPER(TRIM(L97&amp;"")),LEN(UPPER(TRIM(L97&amp;"")))-2)),UPPER(TRIM(L97&amp;""))))</f>
        <v/>
      </c>
      <c r="R97" s="0" t="str">
        <f aca="false">IF(Q97="","",IF(ISNUMBER(O97),ROUND(O97,1),IF(AND(ISNUMBER(M97),ISNUMBER(N97)),IF(N97&gt;0,ROUND(M97/N97*100,1),""),"")))</f>
        <v/>
      </c>
      <c r="S97" s="0" t="str">
        <f aca="false">IF(Q97="","",IF(RIGHT(UPPER(TRIM(L97&amp;"")),2)="-N","비경쟁",""))</f>
        <v/>
      </c>
      <c r="T97" s="0" t="str">
        <f aca="false">IF(Q97="","",IF(COUNTIF(참가자!$A$3:$A$52,Q97)=0,"명단에 없는 코드",""))</f>
        <v/>
      </c>
    </row>
    <row r="98" customFormat="false" ht="15" hidden="false" customHeight="false" outlineLevel="0" collapsed="false">
      <c r="L98" s="8"/>
      <c r="M98" s="8"/>
      <c r="N98" s="8"/>
      <c r="O98" s="8"/>
      <c r="Q98" s="0" t="str">
        <f aca="false">IF(UPPER(TRIM(L98&amp;""))="","",IF(RIGHT(UPPER(TRIM(L98&amp;"")),2)="-N",TRIM(LEFT(UPPER(TRIM(L98&amp;"")),LEN(UPPER(TRIM(L98&amp;"")))-2)),UPPER(TRIM(L98&amp;""))))</f>
        <v/>
      </c>
      <c r="R98" s="0" t="str">
        <f aca="false">IF(Q98="","",IF(ISNUMBER(O98),ROUND(O98,1),IF(AND(ISNUMBER(M98),ISNUMBER(N98)),IF(N98&gt;0,ROUND(M98/N98*100,1),""),"")))</f>
        <v/>
      </c>
      <c r="S98" s="0" t="str">
        <f aca="false">IF(Q98="","",IF(RIGHT(UPPER(TRIM(L98&amp;"")),2)="-N","비경쟁",""))</f>
        <v/>
      </c>
      <c r="T98" s="0" t="str">
        <f aca="false">IF(Q98="","",IF(COUNTIF(참가자!$A$3:$A$52,Q98)=0,"명단에 없는 코드",""))</f>
        <v/>
      </c>
    </row>
    <row r="99" customFormat="false" ht="15" hidden="false" customHeight="false" outlineLevel="0" collapsed="false">
      <c r="L99" s="8"/>
      <c r="M99" s="8"/>
      <c r="N99" s="8"/>
      <c r="O99" s="8"/>
      <c r="Q99" s="0" t="str">
        <f aca="false">IF(UPPER(TRIM(L99&amp;""))="","",IF(RIGHT(UPPER(TRIM(L99&amp;"")),2)="-N",TRIM(LEFT(UPPER(TRIM(L99&amp;"")),LEN(UPPER(TRIM(L99&amp;"")))-2)),UPPER(TRIM(L99&amp;""))))</f>
        <v/>
      </c>
      <c r="R99" s="0" t="str">
        <f aca="false">IF(Q99="","",IF(ISNUMBER(O99),ROUND(O99,1),IF(AND(ISNUMBER(M99),ISNUMBER(N99)),IF(N99&gt;0,ROUND(M99/N99*100,1),""),"")))</f>
        <v/>
      </c>
      <c r="S99" s="0" t="str">
        <f aca="false">IF(Q99="","",IF(RIGHT(UPPER(TRIM(L99&amp;"")),2)="-N","비경쟁",""))</f>
        <v/>
      </c>
      <c r="T99" s="0" t="str">
        <f aca="false">IF(Q99="","",IF(COUNTIF(참가자!$A$3:$A$52,Q99)=0,"명단에 없는 코드",""))</f>
        <v/>
      </c>
    </row>
    <row r="100" customFormat="false" ht="15" hidden="false" customHeight="false" outlineLevel="0" collapsed="false">
      <c r="L100" s="8"/>
      <c r="M100" s="8"/>
      <c r="N100" s="8"/>
      <c r="O100" s="8"/>
      <c r="Q100" s="0" t="str">
        <f aca="false">IF(UPPER(TRIM(L100&amp;""))="","",IF(RIGHT(UPPER(TRIM(L100&amp;"")),2)="-N",TRIM(LEFT(UPPER(TRIM(L100&amp;"")),LEN(UPPER(TRIM(L100&amp;"")))-2)),UPPER(TRIM(L100&amp;""))))</f>
        <v/>
      </c>
      <c r="R100" s="0" t="str">
        <f aca="false">IF(Q100="","",IF(ISNUMBER(O100),ROUND(O100,1),IF(AND(ISNUMBER(M100),ISNUMBER(N100)),IF(N100&gt;0,ROUND(M100/N100*100,1),""),"")))</f>
        <v/>
      </c>
      <c r="S100" s="0" t="str">
        <f aca="false">IF(Q100="","",IF(RIGHT(UPPER(TRIM(L100&amp;"")),2)="-N","비경쟁",""))</f>
        <v/>
      </c>
      <c r="T100" s="0" t="str">
        <f aca="false">IF(Q100="","",IF(COUNTIF(참가자!$A$3:$A$52,Q100)=0,"명단에 없는 코드",""))</f>
        <v/>
      </c>
    </row>
    <row r="101" customFormat="false" ht="15" hidden="false" customHeight="false" outlineLevel="0" collapsed="false">
      <c r="L101" s="8"/>
      <c r="M101" s="8"/>
      <c r="N101" s="8"/>
      <c r="O101" s="8"/>
      <c r="Q101" s="0" t="str">
        <f aca="false">IF(UPPER(TRIM(L101&amp;""))="","",IF(RIGHT(UPPER(TRIM(L101&amp;"")),2)="-N",TRIM(LEFT(UPPER(TRIM(L101&amp;"")),LEN(UPPER(TRIM(L101&amp;"")))-2)),UPPER(TRIM(L101&amp;""))))</f>
        <v/>
      </c>
      <c r="R101" s="0" t="str">
        <f aca="false">IF(Q101="","",IF(ISNUMBER(O101),ROUND(O101,1),IF(AND(ISNUMBER(M101),ISNUMBER(N101)),IF(N101&gt;0,ROUND(M101/N101*100,1),""),"")))</f>
        <v/>
      </c>
      <c r="S101" s="0" t="str">
        <f aca="false">IF(Q101="","",IF(RIGHT(UPPER(TRIM(L101&amp;"")),2)="-N","비경쟁",""))</f>
        <v/>
      </c>
      <c r="T101" s="0" t="str">
        <f aca="false">IF(Q101="","",IF(COUNTIF(참가자!$A$3:$A$52,Q101)=0,"명단에 없는 코드",""))</f>
        <v/>
      </c>
    </row>
    <row r="102" customFormat="false" ht="15" hidden="false" customHeight="false" outlineLevel="0" collapsed="false">
      <c r="L102" s="8"/>
      <c r="M102" s="8"/>
      <c r="N102" s="8"/>
      <c r="O102" s="8"/>
      <c r="Q102" s="0" t="str">
        <f aca="false">IF(UPPER(TRIM(L102&amp;""))="","",IF(RIGHT(UPPER(TRIM(L102&amp;"")),2)="-N",TRIM(LEFT(UPPER(TRIM(L102&amp;"")),LEN(UPPER(TRIM(L102&amp;"")))-2)),UPPER(TRIM(L102&amp;""))))</f>
        <v/>
      </c>
      <c r="R102" s="0" t="str">
        <f aca="false">IF(Q102="","",IF(ISNUMBER(O102),ROUND(O102,1),IF(AND(ISNUMBER(M102),ISNUMBER(N102)),IF(N102&gt;0,ROUND(M102/N102*100,1),""),"")))</f>
        <v/>
      </c>
      <c r="S102" s="0" t="str">
        <f aca="false">IF(Q102="","",IF(RIGHT(UPPER(TRIM(L102&amp;"")),2)="-N","비경쟁",""))</f>
        <v/>
      </c>
      <c r="T102" s="0" t="str">
        <f aca="false">IF(Q102="","",IF(COUNTIF(참가자!$A$3:$A$52,Q102)=0,"명단에 없는 코드",""))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7" min="4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3"/>
    <col collapsed="false" customWidth="true" hidden="false" outlineLevel="0" max="12" min="12" style="0" width="12"/>
    <col collapsed="false" customWidth="true" hidden="false" outlineLevel="0" max="14" min="13" style="0" width="8"/>
    <col collapsed="false" customWidth="true" hidden="false" outlineLevel="0" max="15" min="15" style="0" width="10"/>
    <col collapsed="false" customWidth="true" hidden="false" outlineLevel="0" max="16" min="16" style="0" width="3"/>
    <col collapsed="false" customWidth="true" hidden="false" outlineLevel="0" max="18" min="17" style="0" width="12"/>
    <col collapsed="false" customWidth="true" hidden="false" outlineLevel="0" max="19" min="19" style="0" width="10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4" t="s">
        <v>42</v>
      </c>
      <c r="L1" s="1" t="s">
        <v>21</v>
      </c>
    </row>
    <row r="2" customFormat="false" ht="28.35" hidden="false" customHeight="false" outlineLevel="0" collapsed="false">
      <c r="A2" s="5" t="s">
        <v>1</v>
      </c>
      <c r="B2" s="5" t="s">
        <v>2</v>
      </c>
      <c r="C2" s="5" t="s">
        <v>22</v>
      </c>
      <c r="D2" s="5" t="s">
        <v>23</v>
      </c>
      <c r="E2" s="5" t="s">
        <v>24</v>
      </c>
      <c r="F2" s="5" t="s">
        <v>32</v>
      </c>
      <c r="G2" s="5" t="s">
        <v>36</v>
      </c>
      <c r="H2" s="5" t="s">
        <v>37</v>
      </c>
      <c r="I2" s="5" t="s">
        <v>38</v>
      </c>
      <c r="J2" s="5" t="s">
        <v>39</v>
      </c>
      <c r="L2" s="6" t="s">
        <v>1</v>
      </c>
      <c r="M2" s="6" t="s">
        <v>25</v>
      </c>
      <c r="N2" s="6" t="s">
        <v>26</v>
      </c>
      <c r="O2" s="6" t="s">
        <v>22</v>
      </c>
      <c r="Q2" s="2" t="s">
        <v>27</v>
      </c>
      <c r="R2" s="2" t="s">
        <v>28</v>
      </c>
      <c r="S2" s="2" t="s">
        <v>29</v>
      </c>
      <c r="T2" s="2" t="s">
        <v>30</v>
      </c>
    </row>
    <row r="3" customFormat="false" ht="15" hidden="false" customHeight="false" outlineLevel="0" collapsed="false">
      <c r="A3" s="7" t="str">
        <f aca="false">IF(참가자!A3="","",UPPER(TRIM(참가자!A3)))</f>
        <v>K7QM</v>
      </c>
      <c r="B3" s="7" t="str">
        <f aca="false">IF(A3="","",IF(참가자!B3="","(팀 없음)",TRIM(참가자!B3)))</f>
        <v>1팀</v>
      </c>
      <c r="C3" s="7" t="n">
        <f aca="false">IF(A3="","",IFERROR(INDEX($R$3:$R$102,MATCH(A3,$Q$3:$Q$102,0)),""))</f>
        <v>70</v>
      </c>
      <c r="D3" s="7" t="str">
        <f aca="false">IF(A3="","",IF(C3="","결석",IF(IFERROR(INDEX($S$3:$S$102,MATCH(A3,$Q$3:$Q$102,0)),"")="비경쟁","비경쟁 응시","응시")))</f>
        <v>응시</v>
      </c>
      <c r="E3" s="7" t="str">
        <f aca="false">IF(A3="","",IF(COUNTIF($Q$3:$Q$102,A3)&gt;1,"중복! 확인",""))</f>
        <v/>
      </c>
      <c r="F3" s="7" t="n">
        <f aca="false">IF(A3="","",평가A!F3)</f>
        <v>50</v>
      </c>
      <c r="G3" s="7" t="n">
        <f aca="false">IF(A3="","",IF(OR(C3="",F3=""),"",ROUND(C3-F3,1)))</f>
        <v>20</v>
      </c>
      <c r="H3" s="7" t="n">
        <f aca="false">IF(A3="","",IF(C3="","",IF(C3&gt;=HIGH_CUT,PTS_HIGH,IF(F3="","",IF(G3&gt;=STEP2,PTS_HIGH,IF(G3&gt;=STEP1,PTS_MID,PTS_LOW))))))</f>
        <v>20</v>
      </c>
      <c r="I3" s="7" t="n">
        <f aca="false">IF(A3="","",IF(AND(D3="응시",ISNUMBER(H3)),H3,""))</f>
        <v>20</v>
      </c>
      <c r="J3" s="7" t="str">
        <f aca="false">IF(A3="","",IF(C3="","결석 - 기록 없음",IF(C3&gt;=HIGH_CUT,"높은 점수 유지",IF(F3="","기준점수 없음",IF(G3&gt;=STEP2,"향상",IF(G3&gt;=STEP1,"유지","이번에는 내려감"))))&amp;IF(D3="비경쟁 응시"," / 비경쟁: 팀 점수 제외","")))</f>
        <v>향상</v>
      </c>
      <c r="L3" s="8" t="s">
        <v>4</v>
      </c>
      <c r="M3" s="8"/>
      <c r="N3" s="8"/>
      <c r="O3" s="8" t="n">
        <v>70</v>
      </c>
      <c r="Q3" s="0" t="str">
        <f aca="false">IF(UPPER(TRIM(L3&amp;""))="","",IF(RIGHT(UPPER(TRIM(L3&amp;"")),2)="-N",TRIM(LEFT(UPPER(TRIM(L3&amp;"")),LEN(UPPER(TRIM(L3&amp;"")))-2)),UPPER(TRIM(L3&amp;""))))</f>
        <v>K7QM</v>
      </c>
      <c r="R3" s="9" t="n">
        <f aca="false">IF(Q3="","",IF(ISNUMBER(O3),ROUND(O3,1),IF(AND(ISNUMBER(M3),ISNUMBER(N3)),IF(N3&gt;0,ROUND(M3/N3*100,1),""),"")))</f>
        <v>70</v>
      </c>
      <c r="S3" s="0" t="str">
        <f aca="false">IF(Q3="","",IF(RIGHT(UPPER(TRIM(L3&amp;"")),2)="-N","비경쟁",""))</f>
        <v/>
      </c>
      <c r="T3" s="0" t="str">
        <f aca="false">IF(Q3="","",IF(COUNTIF(참가자!$A$3:$A$52,Q3)=0,"명단에 없는 코드",""))</f>
        <v/>
      </c>
    </row>
    <row r="4" customFormat="false" ht="15" hidden="false" customHeight="false" outlineLevel="0" collapsed="false">
      <c r="A4" s="7" t="str">
        <f aca="false">IF(참가자!A4="","",UPPER(TRIM(참가자!A4)))</f>
        <v>R4XT</v>
      </c>
      <c r="B4" s="7" t="str">
        <f aca="false">IF(A4="","",IF(참가자!B4="","(팀 없음)",TRIM(참가자!B4)))</f>
        <v>1팀</v>
      </c>
      <c r="C4" s="7" t="n">
        <f aca="false">IF(A4="","",IFERROR(INDEX($R$3:$R$102,MATCH(A4,$Q$3:$Q$102,0)),""))</f>
        <v>67.5</v>
      </c>
      <c r="D4" s="7" t="str">
        <f aca="false">IF(A4="","",IF(C4="","결석",IF(IFERROR(INDEX($S$3:$S$102,MATCH(A4,$Q$3:$Q$102,0)),"")="비경쟁","비경쟁 응시","응시")))</f>
        <v>응시</v>
      </c>
      <c r="E4" s="7" t="str">
        <f aca="false">IF(A4="","",IF(COUNTIF($Q$3:$Q$102,A4)&gt;1,"중복! 확인",""))</f>
        <v/>
      </c>
      <c r="F4" s="7" t="n">
        <f aca="false">IF(A4="","",평가A!F4)</f>
        <v>87.5</v>
      </c>
      <c r="G4" s="7" t="n">
        <f aca="false">IF(A4="","",IF(OR(C4="",F4=""),"",ROUND(C4-F4,1)))</f>
        <v>-20</v>
      </c>
      <c r="H4" s="7" t="n">
        <f aca="false">IF(A4="","",IF(C4="","",IF(C4&gt;=HIGH_CUT,PTS_HIGH,IF(F4="","",IF(G4&gt;=STEP2,PTS_HIGH,IF(G4&gt;=STEP1,PTS_MID,PTS_LOW))))))</f>
        <v>10</v>
      </c>
      <c r="I4" s="7" t="n">
        <f aca="false">IF(A4="","",IF(AND(D4="응시",ISNUMBER(H4)),H4,""))</f>
        <v>10</v>
      </c>
      <c r="J4" s="7" t="str">
        <f aca="false">IF(A4="","",IF(C4="","결석 - 기록 없음",IF(C4&gt;=HIGH_CUT,"높은 점수 유지",IF(F4="","기준점수 없음",IF(G4&gt;=STEP2,"향상",IF(G4&gt;=STEP1,"유지","이번에는 내려감"))))&amp;IF(D4="비경쟁 응시"," / 비경쟁: 팀 점수 제외","")))</f>
        <v>유지</v>
      </c>
      <c r="L4" s="8" t="s">
        <v>6</v>
      </c>
      <c r="M4" s="8"/>
      <c r="N4" s="8"/>
      <c r="O4" s="8" t="n">
        <v>67.5</v>
      </c>
      <c r="Q4" s="0" t="str">
        <f aca="false">IF(UPPER(TRIM(L4&amp;""))="","",IF(RIGHT(UPPER(TRIM(L4&amp;"")),2)="-N",TRIM(LEFT(UPPER(TRIM(L4&amp;"")),LEN(UPPER(TRIM(L4&amp;"")))-2)),UPPER(TRIM(L4&amp;""))))</f>
        <v>R4XT</v>
      </c>
      <c r="R4" s="9" t="n">
        <f aca="false">IF(Q4="","",IF(ISNUMBER(O4),ROUND(O4,1),IF(AND(ISNUMBER(M4),ISNUMBER(N4)),IF(N4&gt;0,ROUND(M4/N4*100,1),""),"")))</f>
        <v>67.5</v>
      </c>
      <c r="S4" s="0" t="str">
        <f aca="false">IF(Q4="","",IF(RIGHT(UPPER(TRIM(L4&amp;"")),2)="-N","비경쟁",""))</f>
        <v/>
      </c>
      <c r="T4" s="0" t="str">
        <f aca="false">IF(Q4="","",IF(COUNTIF(참가자!$A$3:$A$52,Q4)=0,"명단에 없는 코드",""))</f>
        <v/>
      </c>
    </row>
    <row r="5" customFormat="false" ht="15" hidden="false" customHeight="false" outlineLevel="0" collapsed="false">
      <c r="A5" s="7" t="str">
        <f aca="false">IF(참가자!A5="","",UPPER(TRIM(참가자!A5)))</f>
        <v>H9WC</v>
      </c>
      <c r="B5" s="7" t="str">
        <f aca="false">IF(A5="","",IF(참가자!B5="","(팀 없음)",TRIM(참가자!B5)))</f>
        <v>1팀</v>
      </c>
      <c r="C5" s="7" t="n">
        <f aca="false">IF(A5="","",IFERROR(INDEX($R$3:$R$102,MATCH(A5,$Q$3:$Q$102,0)),""))</f>
        <v>17.5</v>
      </c>
      <c r="D5" s="7" t="str">
        <f aca="false">IF(A5="","",IF(C5="","결석",IF(IFERROR(INDEX($S$3:$S$102,MATCH(A5,$Q$3:$Q$102,0)),"")="비경쟁","비경쟁 응시","응시")))</f>
        <v>응시</v>
      </c>
      <c r="E5" s="7" t="str">
        <f aca="false">IF(A5="","",IF(COUNTIF($Q$3:$Q$102,A5)&gt;1,"중복! 확인",""))</f>
        <v/>
      </c>
      <c r="F5" s="7" t="n">
        <f aca="false">IF(A5="","",평가A!F5)</f>
        <v>37.5</v>
      </c>
      <c r="G5" s="7" t="n">
        <f aca="false">IF(A5="","",IF(OR(C5="",F5=""),"",ROUND(C5-F5,1)))</f>
        <v>-20</v>
      </c>
      <c r="H5" s="7" t="n">
        <f aca="false">IF(A5="","",IF(C5="","",IF(C5&gt;=HIGH_CUT,PTS_HIGH,IF(F5="","",IF(G5&gt;=STEP2,PTS_HIGH,IF(G5&gt;=STEP1,PTS_MID,PTS_LOW))))))</f>
        <v>10</v>
      </c>
      <c r="I5" s="7" t="n">
        <f aca="false">IF(A5="","",IF(AND(D5="응시",ISNUMBER(H5)),H5,""))</f>
        <v>10</v>
      </c>
      <c r="J5" s="7" t="str">
        <f aca="false">IF(A5="","",IF(C5="","결석 - 기록 없음",IF(C5&gt;=HIGH_CUT,"높은 점수 유지",IF(F5="","기준점수 없음",IF(G5&gt;=STEP2,"향상",IF(G5&gt;=STEP1,"유지","이번에는 내려감"))))&amp;IF(D5="비경쟁 응시"," / 비경쟁: 팀 점수 제외","")))</f>
        <v>유지</v>
      </c>
      <c r="L5" s="8" t="s">
        <v>7</v>
      </c>
      <c r="M5" s="8"/>
      <c r="N5" s="8"/>
      <c r="O5" s="8" t="n">
        <v>17.5</v>
      </c>
      <c r="Q5" s="0" t="str">
        <f aca="false">IF(UPPER(TRIM(L5&amp;""))="","",IF(RIGHT(UPPER(TRIM(L5&amp;"")),2)="-N",TRIM(LEFT(UPPER(TRIM(L5&amp;"")),LEN(UPPER(TRIM(L5&amp;"")))-2)),UPPER(TRIM(L5&amp;""))))</f>
        <v>H9WC</v>
      </c>
      <c r="R5" s="9" t="n">
        <f aca="false">IF(Q5="","",IF(ISNUMBER(O5),ROUND(O5,1),IF(AND(ISNUMBER(M5),ISNUMBER(N5)),IF(N5&gt;0,ROUND(M5/N5*100,1),""),"")))</f>
        <v>17.5</v>
      </c>
      <c r="S5" s="0" t="str">
        <f aca="false">IF(Q5="","",IF(RIGHT(UPPER(TRIM(L5&amp;"")),2)="-N","비경쟁",""))</f>
        <v/>
      </c>
      <c r="T5" s="0" t="str">
        <f aca="false">IF(Q5="","",IF(COUNTIF(참가자!$A$3:$A$52,Q5)=0,"명단에 없는 코드",""))</f>
        <v/>
      </c>
    </row>
    <row r="6" customFormat="false" ht="15" hidden="false" customHeight="false" outlineLevel="0" collapsed="false">
      <c r="A6" s="7" t="str">
        <f aca="false">IF(참가자!A6="","",UPPER(TRIM(참가자!A6)))</f>
        <v>B3NV</v>
      </c>
      <c r="B6" s="7" t="str">
        <f aca="false">IF(A6="","",IF(참가자!B6="","(팀 없음)",TRIM(참가자!B6)))</f>
        <v>2팀</v>
      </c>
      <c r="C6" s="7" t="str">
        <f aca="false">IF(A6="","",IFERROR(INDEX($R$3:$R$102,MATCH(A6,$Q$3:$Q$102,0)),""))</f>
        <v/>
      </c>
      <c r="D6" s="7" t="str">
        <f aca="false">IF(A6="","",IF(C6="","결석",IF(IFERROR(INDEX($S$3:$S$102,MATCH(A6,$Q$3:$Q$102,0)),"")="비경쟁","비경쟁 응시","응시")))</f>
        <v>결석</v>
      </c>
      <c r="E6" s="7" t="str">
        <f aca="false">IF(A6="","",IF(COUNTIF($Q$3:$Q$102,A6)&gt;1,"중복! 확인",""))</f>
        <v/>
      </c>
      <c r="F6" s="7" t="n">
        <f aca="false">IF(A6="","",평가A!F6)</f>
        <v>75</v>
      </c>
      <c r="G6" s="7" t="str">
        <f aca="false">IF(A6="","",IF(OR(C6="",F6=""),"",ROUND(C6-F6,1)))</f>
        <v/>
      </c>
      <c r="H6" s="7" t="str">
        <f aca="false">IF(A6="","",IF(C6="","",IF(C6&gt;=HIGH_CUT,PTS_HIGH,IF(F6="","",IF(G6&gt;=STEP2,PTS_HIGH,IF(G6&gt;=STEP1,PTS_MID,PTS_LOW))))))</f>
        <v/>
      </c>
      <c r="I6" s="7" t="str">
        <f aca="false">IF(A6="","",IF(AND(D6="응시",ISNUMBER(H6)),H6,""))</f>
        <v/>
      </c>
      <c r="J6" s="7" t="str">
        <f aca="false">IF(A6="","",IF(C6="","결석 - 기록 없음",IF(C6&gt;=HIGH_CUT,"높은 점수 유지",IF(F6="","기준점수 없음",IF(G6&gt;=STEP2,"향상",IF(G6&gt;=STEP1,"유지","이번에는 내려감"))))&amp;IF(D6="비경쟁 응시"," / 비경쟁: 팀 점수 제외","")))</f>
        <v>결석 - 기록 없음</v>
      </c>
      <c r="L6" s="8" t="s">
        <v>10</v>
      </c>
      <c r="M6" s="8"/>
      <c r="N6" s="8"/>
      <c r="O6" s="8" t="n">
        <v>50</v>
      </c>
      <c r="Q6" s="0" t="str">
        <f aca="false">IF(UPPER(TRIM(L6&amp;""))="","",IF(RIGHT(UPPER(TRIM(L6&amp;"")),2)="-N",TRIM(LEFT(UPPER(TRIM(L6&amp;"")),LEN(UPPER(TRIM(L6&amp;"")))-2)),UPPER(TRIM(L6&amp;""))))</f>
        <v>Z8LD</v>
      </c>
      <c r="R6" s="9" t="n">
        <f aca="false">IF(Q6="","",IF(ISNUMBER(O6),ROUND(O6,1),IF(AND(ISNUMBER(M6),ISNUMBER(N6)),IF(N6&gt;0,ROUND(M6/N6*100,1),""),"")))</f>
        <v>50</v>
      </c>
      <c r="S6" s="0" t="str">
        <f aca="false">IF(Q6="","",IF(RIGHT(UPPER(TRIM(L6&amp;"")),2)="-N","비경쟁",""))</f>
        <v/>
      </c>
      <c r="T6" s="0" t="str">
        <f aca="false">IF(Q6="","",IF(COUNTIF(참가자!$A$3:$A$52,Q6)=0,"명단에 없는 코드",""))</f>
        <v/>
      </c>
    </row>
    <row r="7" customFormat="false" ht="15" hidden="false" customHeight="false" outlineLevel="0" collapsed="false">
      <c r="A7" s="7" t="str">
        <f aca="false">IF(참가자!A7="","",UPPER(TRIM(참가자!A7)))</f>
        <v>Z8LD</v>
      </c>
      <c r="B7" s="7" t="str">
        <f aca="false">IF(A7="","",IF(참가자!B7="","(팀 없음)",TRIM(참가자!B7)))</f>
        <v>2팀</v>
      </c>
      <c r="C7" s="7" t="n">
        <f aca="false">IF(A7="","",IFERROR(INDEX($R$3:$R$102,MATCH(A7,$Q$3:$Q$102,0)),""))</f>
        <v>50</v>
      </c>
      <c r="D7" s="7" t="str">
        <f aca="false">IF(A7="","",IF(C7="","결석",IF(IFERROR(INDEX($S$3:$S$102,MATCH(A7,$Q$3:$Q$102,0)),"")="비경쟁","비경쟁 응시","응시")))</f>
        <v>응시</v>
      </c>
      <c r="E7" s="7" t="str">
        <f aca="false">IF(A7="","",IF(COUNTIF($Q$3:$Q$102,A7)&gt;1,"중복! 확인",""))</f>
        <v/>
      </c>
      <c r="F7" s="7" t="n">
        <f aca="false">IF(A7="","",평가A!F7)</f>
        <v>58.3</v>
      </c>
      <c r="G7" s="7" t="n">
        <f aca="false">IF(A7="","",IF(OR(C7="",F7=""),"",ROUND(C7-F7,1)))</f>
        <v>-8.3</v>
      </c>
      <c r="H7" s="7" t="n">
        <f aca="false">IF(A7="","",IF(C7="","",IF(C7&gt;=HIGH_CUT,PTS_HIGH,IF(F7="","",IF(G7&gt;=STEP2,PTS_HIGH,IF(G7&gt;=STEP1,PTS_MID,PTS_LOW))))))</f>
        <v>10</v>
      </c>
      <c r="I7" s="7" t="n">
        <f aca="false">IF(A7="","",IF(AND(D7="응시",ISNUMBER(H7)),H7,""))</f>
        <v>10</v>
      </c>
      <c r="J7" s="7" t="str">
        <f aca="false">IF(A7="","",IF(C7="","결석 - 기록 없음",IF(C7&gt;=HIGH_CUT,"높은 점수 유지",IF(F7="","기준점수 없음",IF(G7&gt;=STEP2,"향상",IF(G7&gt;=STEP1,"유지","이번에는 내려감"))))&amp;IF(D7="비경쟁 응시"," / 비경쟁: 팀 점수 제외","")))</f>
        <v>유지</v>
      </c>
      <c r="L7" s="8" t="s">
        <v>11</v>
      </c>
      <c r="M7" s="8"/>
      <c r="N7" s="8"/>
      <c r="O7" s="8" t="n">
        <v>50</v>
      </c>
      <c r="Q7" s="0" t="str">
        <f aca="false">IF(UPPER(TRIM(L7&amp;""))="","",IF(RIGHT(UPPER(TRIM(L7&amp;"")),2)="-N",TRIM(LEFT(UPPER(TRIM(L7&amp;"")),LEN(UPPER(TRIM(L7&amp;"")))-2)),UPPER(TRIM(L7&amp;""))))</f>
        <v>M2PF</v>
      </c>
      <c r="R7" s="9" t="n">
        <f aca="false">IF(Q7="","",IF(ISNUMBER(O7),ROUND(O7,1),IF(AND(ISNUMBER(M7),ISNUMBER(N7)),IF(N7&gt;0,ROUND(M7/N7*100,1),""),"")))</f>
        <v>50</v>
      </c>
      <c r="S7" s="0" t="str">
        <f aca="false">IF(Q7="","",IF(RIGHT(UPPER(TRIM(L7&amp;"")),2)="-N","비경쟁",""))</f>
        <v/>
      </c>
      <c r="T7" s="0" t="str">
        <f aca="false">IF(Q7="","",IF(COUNTIF(참가자!$A$3:$A$52,Q7)=0,"명단에 없는 코드",""))</f>
        <v/>
      </c>
    </row>
    <row r="8" customFormat="false" ht="15" hidden="false" customHeight="false" outlineLevel="0" collapsed="false">
      <c r="A8" s="7" t="str">
        <f aca="false">IF(참가자!A8="","",UPPER(TRIM(참가자!A8)))</f>
        <v>M2PF</v>
      </c>
      <c r="B8" s="7" t="str">
        <f aca="false">IF(A8="","",IF(참가자!B8="","(팀 없음)",TRIM(참가자!B8)))</f>
        <v>2팀</v>
      </c>
      <c r="C8" s="7" t="n">
        <f aca="false">IF(A8="","",IFERROR(INDEX($R$3:$R$102,MATCH(A8,$Q$3:$Q$102,0)),""))</f>
        <v>50</v>
      </c>
      <c r="D8" s="7" t="str">
        <f aca="false">IF(A8="","",IF(C8="","결석",IF(IFERROR(INDEX($S$3:$S$102,MATCH(A8,$Q$3:$Q$102,0)),"")="비경쟁","비경쟁 응시","응시")))</f>
        <v>응시</v>
      </c>
      <c r="E8" s="7" t="str">
        <f aca="false">IF(A8="","",IF(COUNTIF($Q$3:$Q$102,A8)&gt;1,"중복! 확인",""))</f>
        <v/>
      </c>
      <c r="F8" s="7" t="n">
        <f aca="false">IF(A8="","",평가A!F8)</f>
        <v>62.5</v>
      </c>
      <c r="G8" s="7" t="n">
        <f aca="false">IF(A8="","",IF(OR(C8="",F8=""),"",ROUND(C8-F8,1)))</f>
        <v>-12.5</v>
      </c>
      <c r="H8" s="7" t="n">
        <f aca="false">IF(A8="","",IF(C8="","",IF(C8&gt;=HIGH_CUT,PTS_HIGH,IF(F8="","",IF(G8&gt;=STEP2,PTS_HIGH,IF(G8&gt;=STEP1,PTS_MID,PTS_LOW))))))</f>
        <v>10</v>
      </c>
      <c r="I8" s="7" t="n">
        <f aca="false">IF(A8="","",IF(AND(D8="응시",ISNUMBER(H8)),H8,""))</f>
        <v>10</v>
      </c>
      <c r="J8" s="7" t="str">
        <f aca="false">IF(A8="","",IF(C8="","결석 - 기록 없음",IF(C8&gt;=HIGH_CUT,"높은 점수 유지",IF(F8="","기준점수 없음",IF(G8&gt;=STEP2,"향상",IF(G8&gt;=STEP1,"유지","이번에는 내려감"))))&amp;IF(D8="비경쟁 응시"," / 비경쟁: 팀 점수 제외","")))</f>
        <v>유지</v>
      </c>
      <c r="L8" s="8" t="s">
        <v>12</v>
      </c>
      <c r="M8" s="8"/>
      <c r="N8" s="8"/>
      <c r="O8" s="8" t="n">
        <v>75</v>
      </c>
      <c r="Q8" s="0" t="str">
        <f aca="false">IF(UPPER(TRIM(L8&amp;""))="","",IF(RIGHT(UPPER(TRIM(L8&amp;"")),2)="-N",TRIM(LEFT(UPPER(TRIM(L8&amp;"")),LEN(UPPER(TRIM(L8&amp;"")))-2)),UPPER(TRIM(L8&amp;""))))</f>
        <v>T6YH</v>
      </c>
      <c r="R8" s="9" t="n">
        <f aca="false">IF(Q8="","",IF(ISNUMBER(O8),ROUND(O8,1),IF(AND(ISNUMBER(M8),ISNUMBER(N8)),IF(N8&gt;0,ROUND(M8/N8*100,1),""),"")))</f>
        <v>75</v>
      </c>
      <c r="S8" s="0" t="str">
        <f aca="false">IF(Q8="","",IF(RIGHT(UPPER(TRIM(L8&amp;"")),2)="-N","비경쟁",""))</f>
        <v/>
      </c>
      <c r="T8" s="0" t="str">
        <f aca="false">IF(Q8="","",IF(COUNTIF(참가자!$A$3:$A$52,Q8)=0,"명단에 없는 코드",""))</f>
        <v/>
      </c>
    </row>
    <row r="9" customFormat="false" ht="15" hidden="false" customHeight="false" outlineLevel="0" collapsed="false">
      <c r="A9" s="7" t="str">
        <f aca="false">IF(참가자!A9="","",UPPER(TRIM(참가자!A9)))</f>
        <v>T6YH</v>
      </c>
      <c r="B9" s="7" t="str">
        <f aca="false">IF(A9="","",IF(참가자!B9="","(팀 없음)",TRIM(참가자!B9)))</f>
        <v>3팀</v>
      </c>
      <c r="C9" s="7" t="n">
        <f aca="false">IF(A9="","",IFERROR(INDEX($R$3:$R$102,MATCH(A9,$Q$3:$Q$102,0)),""))</f>
        <v>75</v>
      </c>
      <c r="D9" s="7" t="str">
        <f aca="false">IF(A9="","",IF(C9="","결석",IF(IFERROR(INDEX($S$3:$S$102,MATCH(A9,$Q$3:$Q$102,0)),"")="비경쟁","비경쟁 응시","응시")))</f>
        <v>응시</v>
      </c>
      <c r="E9" s="7" t="str">
        <f aca="false">IF(A9="","",IF(COUNTIF($Q$3:$Q$102,A9)&gt;1,"중복! 확인",""))</f>
        <v/>
      </c>
      <c r="F9" s="7" t="n">
        <f aca="false">IF(A9="","",평가A!F9)</f>
        <v>45.9</v>
      </c>
      <c r="G9" s="7" t="n">
        <f aca="false">IF(A9="","",IF(OR(C9="",F9=""),"",ROUND(C9-F9,1)))</f>
        <v>29.1</v>
      </c>
      <c r="H9" s="7" t="n">
        <f aca="false">IF(A9="","",IF(C9="","",IF(C9&gt;=HIGH_CUT,PTS_HIGH,IF(F9="","",IF(G9&gt;=STEP2,PTS_HIGH,IF(G9&gt;=STEP1,PTS_MID,PTS_LOW))))))</f>
        <v>20</v>
      </c>
      <c r="I9" s="7" t="n">
        <f aca="false">IF(A9="","",IF(AND(D9="응시",ISNUMBER(H9)),H9,""))</f>
        <v>20</v>
      </c>
      <c r="J9" s="7" t="str">
        <f aca="false">IF(A9="","",IF(C9="","결석 - 기록 없음",IF(C9&gt;=HIGH_CUT,"높은 점수 유지",IF(F9="","기준점수 없음",IF(G9&gt;=STEP2,"향상",IF(G9&gt;=STEP1,"유지","이번에는 내려감"))))&amp;IF(D9="비경쟁 응시"," / 비경쟁: 팀 점수 제외","")))</f>
        <v>향상</v>
      </c>
      <c r="L9" s="8" t="s">
        <v>14</v>
      </c>
      <c r="M9" s="8"/>
      <c r="N9" s="8"/>
      <c r="O9" s="8" t="n">
        <v>75</v>
      </c>
      <c r="Q9" s="0" t="str">
        <f aca="false">IF(UPPER(TRIM(L9&amp;""))="","",IF(RIGHT(UPPER(TRIM(L9&amp;"")),2)="-N",TRIM(LEFT(UPPER(TRIM(L9&amp;"")),LEN(UPPER(TRIM(L9&amp;"")))-2)),UPPER(TRIM(L9&amp;""))))</f>
        <v>C5JR</v>
      </c>
      <c r="R9" s="9" t="n">
        <f aca="false">IF(Q9="","",IF(ISNUMBER(O9),ROUND(O9,1),IF(AND(ISNUMBER(M9),ISNUMBER(N9)),IF(N9&gt;0,ROUND(M9/N9*100,1),""),"")))</f>
        <v>75</v>
      </c>
      <c r="S9" s="0" t="str">
        <f aca="false">IF(Q9="","",IF(RIGHT(UPPER(TRIM(L9&amp;"")),2)="-N","비경쟁",""))</f>
        <v/>
      </c>
      <c r="T9" s="0" t="str">
        <f aca="false">IF(Q9="","",IF(COUNTIF(참가자!$A$3:$A$52,Q9)=0,"명단에 없는 코드",""))</f>
        <v/>
      </c>
    </row>
    <row r="10" customFormat="false" ht="15" hidden="false" customHeight="false" outlineLevel="0" collapsed="false">
      <c r="A10" s="7" t="str">
        <f aca="false">IF(참가자!A10="","",UPPER(TRIM(참가자!A10)))</f>
        <v>C5JR</v>
      </c>
      <c r="B10" s="7" t="str">
        <f aca="false">IF(A10="","",IF(참가자!B10="","(팀 없음)",TRIM(참가자!B10)))</f>
        <v>3팀</v>
      </c>
      <c r="C10" s="7" t="n">
        <f aca="false">IF(A10="","",IFERROR(INDEX($R$3:$R$102,MATCH(A10,$Q$3:$Q$102,0)),""))</f>
        <v>75</v>
      </c>
      <c r="D10" s="7" t="str">
        <f aca="false">IF(A10="","",IF(C10="","결석",IF(IFERROR(INDEX($S$3:$S$102,MATCH(A10,$Q$3:$Q$102,0)),"")="비경쟁","비경쟁 응시","응시")))</f>
        <v>응시</v>
      </c>
      <c r="E10" s="7" t="str">
        <f aca="false">IF(A10="","",IF(COUNTIF($Q$3:$Q$102,A10)&gt;1,"중복! 확인",""))</f>
        <v/>
      </c>
      <c r="F10" s="7" t="n">
        <f aca="false">IF(A10="","",평가A!F10)</f>
        <v>100</v>
      </c>
      <c r="G10" s="7" t="n">
        <f aca="false">IF(A10="","",IF(OR(C10="",F10=""),"",ROUND(C10-F10,1)))</f>
        <v>-25</v>
      </c>
      <c r="H10" s="7" t="n">
        <f aca="false">IF(A10="","",IF(C10="","",IF(C10&gt;=HIGH_CUT,PTS_HIGH,IF(F10="","",IF(G10&gt;=STEP2,PTS_HIGH,IF(G10&gt;=STEP1,PTS_MID,PTS_LOW))))))</f>
        <v>0</v>
      </c>
      <c r="I10" s="7" t="n">
        <f aca="false">IF(A10="","",IF(AND(D10="응시",ISNUMBER(H10)),H10,""))</f>
        <v>0</v>
      </c>
      <c r="J10" s="7" t="str">
        <f aca="false">IF(A10="","",IF(C10="","결석 - 기록 없음",IF(C10&gt;=HIGH_CUT,"높은 점수 유지",IF(F10="","기준점수 없음",IF(G10&gt;=STEP2,"향상",IF(G10&gt;=STEP1,"유지","이번에는 내려감"))))&amp;IF(D10="비경쟁 응시"," / 비경쟁: 팀 점수 제외","")))</f>
        <v>이번에는 내려감</v>
      </c>
      <c r="L10" s="8" t="s">
        <v>15</v>
      </c>
      <c r="M10" s="8"/>
      <c r="N10" s="8"/>
      <c r="O10" s="8" t="n">
        <v>75</v>
      </c>
      <c r="Q10" s="0" t="str">
        <f aca="false">IF(UPPER(TRIM(L10&amp;""))="","",IF(RIGHT(UPPER(TRIM(L10&amp;"")),2)="-N",TRIM(LEFT(UPPER(TRIM(L10&amp;"")),LEN(UPPER(TRIM(L10&amp;"")))-2)),UPPER(TRIM(L10&amp;""))))</f>
        <v>W3KE</v>
      </c>
      <c r="R10" s="9" t="n">
        <f aca="false">IF(Q10="","",IF(ISNUMBER(O10),ROUND(O10,1),IF(AND(ISNUMBER(M10),ISNUMBER(N10)),IF(N10&gt;0,ROUND(M10/N10*100,1),""),"")))</f>
        <v>75</v>
      </c>
      <c r="S10" s="0" t="str">
        <f aca="false">IF(Q10="","",IF(RIGHT(UPPER(TRIM(L10&amp;"")),2)="-N","비경쟁",""))</f>
        <v/>
      </c>
      <c r="T10" s="0" t="str">
        <f aca="false">IF(Q10="","",IF(COUNTIF(참가자!$A$3:$A$52,Q10)=0,"명단에 없는 코드",""))</f>
        <v/>
      </c>
    </row>
    <row r="11" customFormat="false" ht="15" hidden="false" customHeight="false" outlineLevel="0" collapsed="false">
      <c r="A11" s="7" t="str">
        <f aca="false">IF(참가자!A11="","",UPPER(TRIM(참가자!A11)))</f>
        <v>W3KE</v>
      </c>
      <c r="B11" s="7" t="str">
        <f aca="false">IF(A11="","",IF(참가자!B11="","(팀 없음)",TRIM(참가자!B11)))</f>
        <v>3팀</v>
      </c>
      <c r="C11" s="7" t="n">
        <f aca="false">IF(A11="","",IFERROR(INDEX($R$3:$R$102,MATCH(A11,$Q$3:$Q$102,0)),""))</f>
        <v>75</v>
      </c>
      <c r="D11" s="7" t="str">
        <f aca="false">IF(A11="","",IF(C11="","결석",IF(IFERROR(INDEX($S$3:$S$102,MATCH(A11,$Q$3:$Q$102,0)),"")="비경쟁","비경쟁 응시","응시")))</f>
        <v>응시</v>
      </c>
      <c r="E11" s="7" t="str">
        <f aca="false">IF(A11="","",IF(COUNTIF($Q$3:$Q$102,A11)&gt;1,"중복! 확인",""))</f>
        <v/>
      </c>
      <c r="F11" s="7" t="n">
        <f aca="false">IF(A11="","",평가A!F11)</f>
        <v>50</v>
      </c>
      <c r="G11" s="7" t="n">
        <f aca="false">IF(A11="","",IF(OR(C11="",F11=""),"",ROUND(C11-F11,1)))</f>
        <v>25</v>
      </c>
      <c r="H11" s="7" t="n">
        <f aca="false">IF(A11="","",IF(C11="","",IF(C11&gt;=HIGH_CUT,PTS_HIGH,IF(F11="","",IF(G11&gt;=STEP2,PTS_HIGH,IF(G11&gt;=STEP1,PTS_MID,PTS_LOW))))))</f>
        <v>20</v>
      </c>
      <c r="I11" s="7" t="n">
        <f aca="false">IF(A11="","",IF(AND(D11="응시",ISNUMBER(H11)),H11,""))</f>
        <v>20</v>
      </c>
      <c r="J11" s="7" t="str">
        <f aca="false">IF(A11="","",IF(C11="","결석 - 기록 없음",IF(C11&gt;=HIGH_CUT,"높은 점수 유지",IF(F11="","기준점수 없음",IF(G11&gt;=STEP2,"향상",IF(G11&gt;=STEP1,"유지","이번에는 내려감"))))&amp;IF(D11="비경쟁 응시"," / 비경쟁: 팀 점수 제외","")))</f>
        <v>향상</v>
      </c>
      <c r="L11" s="8" t="s">
        <v>43</v>
      </c>
      <c r="M11" s="8"/>
      <c r="N11" s="8"/>
      <c r="O11" s="8" t="n">
        <v>37.5</v>
      </c>
      <c r="Q11" s="0" t="str">
        <f aca="false">IF(UPPER(TRIM(L11&amp;""))="","",IF(RIGHT(UPPER(TRIM(L11&amp;"")),2)="-N",TRIM(LEFT(UPPER(TRIM(L11&amp;"")),LEN(UPPER(TRIM(L11&amp;"")))-2)),UPPER(TRIM(L11&amp;""))))</f>
        <v>F8UA</v>
      </c>
      <c r="R11" s="9" t="n">
        <f aca="false">IF(Q11="","",IF(ISNUMBER(O11),ROUND(O11,1),IF(AND(ISNUMBER(M11),ISNUMBER(N11)),IF(N11&gt;0,ROUND(M11/N11*100,1),""),"")))</f>
        <v>37.5</v>
      </c>
      <c r="S11" s="0" t="str">
        <f aca="false">IF(Q11="","",IF(RIGHT(UPPER(TRIM(L11&amp;"")),2)="-N","비경쟁",""))</f>
        <v>비경쟁</v>
      </c>
      <c r="T11" s="0" t="str">
        <f aca="false">IF(Q11="","",IF(COUNTIF(참가자!$A$3:$A$52,Q11)=0,"명단에 없는 코드",""))</f>
        <v/>
      </c>
    </row>
    <row r="12" customFormat="false" ht="15" hidden="false" customHeight="false" outlineLevel="0" collapsed="false">
      <c r="A12" s="7" t="str">
        <f aca="false">IF(참가자!A12="","",UPPER(TRIM(참가자!A12)))</f>
        <v>F8UA</v>
      </c>
      <c r="B12" s="7" t="str">
        <f aca="false">IF(A12="","",IF(참가자!B12="","(팀 없음)",TRIM(참가자!B12)))</f>
        <v>4팀</v>
      </c>
      <c r="C12" s="7" t="n">
        <f aca="false">IF(A12="","",IFERROR(INDEX($R$3:$R$102,MATCH(A12,$Q$3:$Q$102,0)),""))</f>
        <v>37.5</v>
      </c>
      <c r="D12" s="7" t="str">
        <f aca="false">IF(A12="","",IF(C12="","결석",IF(IFERROR(INDEX($S$3:$S$102,MATCH(A12,$Q$3:$Q$102,0)),"")="비경쟁","비경쟁 응시","응시")))</f>
        <v>비경쟁 응시</v>
      </c>
      <c r="E12" s="7" t="str">
        <f aca="false">IF(A12="","",IF(COUNTIF($Q$3:$Q$102,A12)&gt;1,"중복! 확인",""))</f>
        <v/>
      </c>
      <c r="F12" s="7" t="n">
        <f aca="false">IF(A12="","",평가A!F12)</f>
        <v>62.5</v>
      </c>
      <c r="G12" s="7" t="n">
        <f aca="false">IF(A12="","",IF(OR(C12="",F12=""),"",ROUND(C12-F12,1)))</f>
        <v>-25</v>
      </c>
      <c r="H12" s="7" t="n">
        <f aca="false">IF(A12="","",IF(C12="","",IF(C12&gt;=HIGH_CUT,PTS_HIGH,IF(F12="","",IF(G12&gt;=STEP2,PTS_HIGH,IF(G12&gt;=STEP1,PTS_MID,PTS_LOW))))))</f>
        <v>0</v>
      </c>
      <c r="I12" s="7" t="str">
        <f aca="false">IF(A12="","",IF(AND(D12="응시",ISNUMBER(H12)),H12,""))</f>
        <v/>
      </c>
      <c r="J12" s="7" t="str">
        <f aca="false">IF(A12="","",IF(C12="","결석 - 기록 없음",IF(C12&gt;=HIGH_CUT,"높은 점수 유지",IF(F12="","기준점수 없음",IF(G12&gt;=STEP2,"향상",IF(G12&gt;=STEP1,"유지","이번에는 내려감"))))&amp;IF(D12="비경쟁 응시"," / 비경쟁: 팀 점수 제외","")))</f>
        <v>이번에는 내려감 / 비경쟁: 팀 점수 제외</v>
      </c>
      <c r="L12" s="8" t="s">
        <v>18</v>
      </c>
      <c r="M12" s="8"/>
      <c r="N12" s="8"/>
      <c r="O12" s="8" t="n">
        <v>87.5</v>
      </c>
      <c r="Q12" s="0" t="str">
        <f aca="false">IF(UPPER(TRIM(L12&amp;""))="","",IF(RIGHT(UPPER(TRIM(L12&amp;"")),2)="-N",TRIM(LEFT(UPPER(TRIM(L12&amp;"")),LEN(UPPER(TRIM(L12&amp;"")))-2)),UPPER(TRIM(L12&amp;""))))</f>
        <v>N4GS</v>
      </c>
      <c r="R12" s="9" t="n">
        <f aca="false">IF(Q12="","",IF(ISNUMBER(O12),ROUND(O12,1),IF(AND(ISNUMBER(M12),ISNUMBER(N12)),IF(N12&gt;0,ROUND(M12/N12*100,1),""),"")))</f>
        <v>87.5</v>
      </c>
      <c r="S12" s="0" t="str">
        <f aca="false">IF(Q12="","",IF(RIGHT(UPPER(TRIM(L12&amp;"")),2)="-N","비경쟁",""))</f>
        <v/>
      </c>
      <c r="T12" s="0" t="str">
        <f aca="false">IF(Q12="","",IF(COUNTIF(참가자!$A$3:$A$52,Q12)=0,"명단에 없는 코드",""))</f>
        <v/>
      </c>
    </row>
    <row r="13" customFormat="false" ht="15" hidden="false" customHeight="false" outlineLevel="0" collapsed="false">
      <c r="A13" s="7" t="str">
        <f aca="false">IF(참가자!A13="","",UPPER(TRIM(참가자!A13)))</f>
        <v>N4GS</v>
      </c>
      <c r="B13" s="7" t="str">
        <f aca="false">IF(A13="","",IF(참가자!B13="","(팀 없음)",TRIM(참가자!B13)))</f>
        <v>4팀</v>
      </c>
      <c r="C13" s="7" t="n">
        <f aca="false">IF(A13="","",IFERROR(INDEX($R$3:$R$102,MATCH(A13,$Q$3:$Q$102,0)),""))</f>
        <v>87.5</v>
      </c>
      <c r="D13" s="7" t="str">
        <f aca="false">IF(A13="","",IF(C13="","결석",IF(IFERROR(INDEX($S$3:$S$102,MATCH(A13,$Q$3:$Q$102,0)),"")="비경쟁","비경쟁 응시","응시")))</f>
        <v>응시</v>
      </c>
      <c r="E13" s="7" t="str">
        <f aca="false">IF(A13="","",IF(COUNTIF($Q$3:$Q$102,A13)&gt;1,"중복! 확인",""))</f>
        <v/>
      </c>
      <c r="F13" s="7" t="n">
        <f aca="false">IF(A13="","",평가A!F13)</f>
        <v>58.8</v>
      </c>
      <c r="G13" s="7" t="n">
        <f aca="false">IF(A13="","",IF(OR(C13="",F13=""),"",ROUND(C13-F13,1)))</f>
        <v>28.7</v>
      </c>
      <c r="H13" s="7" t="n">
        <f aca="false">IF(A13="","",IF(C13="","",IF(C13&gt;=HIGH_CUT,PTS_HIGH,IF(F13="","",IF(G13&gt;=STEP2,PTS_HIGH,IF(G13&gt;=STEP1,PTS_MID,PTS_LOW))))))</f>
        <v>20</v>
      </c>
      <c r="I13" s="7" t="n">
        <f aca="false">IF(A13="","",IF(AND(D13="응시",ISNUMBER(H13)),H13,""))</f>
        <v>20</v>
      </c>
      <c r="J13" s="7" t="str">
        <f aca="false">IF(A13="","",IF(C13="","결석 - 기록 없음",IF(C13&gt;=HIGH_CUT,"높은 점수 유지",IF(F13="","기준점수 없음",IF(G13&gt;=STEP2,"향상",IF(G13&gt;=STEP1,"유지","이번에는 내려감"))))&amp;IF(D13="비경쟁 응시"," / 비경쟁: 팀 점수 제외","")))</f>
        <v>높은 점수 유지</v>
      </c>
      <c r="L13" s="8" t="s">
        <v>44</v>
      </c>
      <c r="M13" s="8"/>
      <c r="N13" s="8"/>
      <c r="O13" s="8" t="n">
        <v>62.5</v>
      </c>
      <c r="Q13" s="0" t="str">
        <f aca="false">IF(UPPER(TRIM(L13&amp;""))="","",IF(RIGHT(UPPER(TRIM(L13&amp;"")),2)="-N",TRIM(LEFT(UPPER(TRIM(L13&amp;"")),LEN(UPPER(TRIM(L13&amp;"")))-2)),UPPER(TRIM(L13&amp;""))))</f>
        <v>D7V8</v>
      </c>
      <c r="R13" s="9" t="n">
        <f aca="false">IF(Q13="","",IF(ISNUMBER(O13),ROUND(O13,1),IF(AND(ISNUMBER(M13),ISNUMBER(N13)),IF(N13&gt;0,ROUND(M13/N13*100,1),""),"")))</f>
        <v>62.5</v>
      </c>
      <c r="S13" s="0" t="str">
        <f aca="false">IF(Q13="","",IF(RIGHT(UPPER(TRIM(L13&amp;"")),2)="-N","비경쟁",""))</f>
        <v/>
      </c>
      <c r="T13" s="0" t="str">
        <f aca="false">IF(Q13="","",IF(COUNTIF(참가자!$A$3:$A$52,Q13)=0,"명단에 없는 코드",""))</f>
        <v>명단에 없는 코드</v>
      </c>
    </row>
    <row r="14" customFormat="false" ht="15" hidden="false" customHeight="false" outlineLevel="0" collapsed="false">
      <c r="A14" s="7" t="str">
        <f aca="false">IF(참가자!A14="","",UPPER(TRIM(참가자!A14)))</f>
        <v>D7VB</v>
      </c>
      <c r="B14" s="7" t="str">
        <f aca="false">IF(A14="","",IF(참가자!B14="","(팀 없음)",TRIM(참가자!B14)))</f>
        <v>4팀</v>
      </c>
      <c r="C14" s="7" t="str">
        <f aca="false">IF(A14="","",IFERROR(INDEX($R$3:$R$102,MATCH(A14,$Q$3:$Q$102,0)),""))</f>
        <v/>
      </c>
      <c r="D14" s="7" t="str">
        <f aca="false">IF(A14="","",IF(C14="","결석",IF(IFERROR(INDEX($S$3:$S$102,MATCH(A14,$Q$3:$Q$102,0)),"")="비경쟁","비경쟁 응시","응시")))</f>
        <v>결석</v>
      </c>
      <c r="E14" s="7" t="str">
        <f aca="false">IF(A14="","",IF(COUNTIF($Q$3:$Q$102,A14)&gt;1,"중복! 확인",""))</f>
        <v/>
      </c>
      <c r="F14" s="7" t="n">
        <f aca="false">IF(A14="","",평가A!F14)</f>
        <v>37.5</v>
      </c>
      <c r="G14" s="7" t="str">
        <f aca="false">IF(A14="","",IF(OR(C14="",F14=""),"",ROUND(C14-F14,1)))</f>
        <v/>
      </c>
      <c r="H14" s="7" t="str">
        <f aca="false">IF(A14="","",IF(C14="","",IF(C14&gt;=HIGH_CUT,PTS_HIGH,IF(F14="","",IF(G14&gt;=STEP2,PTS_HIGH,IF(G14&gt;=STEP1,PTS_MID,PTS_LOW))))))</f>
        <v/>
      </c>
      <c r="I14" s="7" t="str">
        <f aca="false">IF(A14="","",IF(AND(D14="응시",ISNUMBER(H14)),H14,""))</f>
        <v/>
      </c>
      <c r="J14" s="7" t="str">
        <f aca="false">IF(A14="","",IF(C14="","결석 - 기록 없음",IF(C14&gt;=HIGH_CUT,"높은 점수 유지",IF(F14="","기준점수 없음",IF(G14&gt;=STEP2,"향상",IF(G14&gt;=STEP1,"유지","이번에는 내려감"))))&amp;IF(D14="비경쟁 응시"," / 비경쟁: 팀 점수 제외","")))</f>
        <v>결석 - 기록 없음</v>
      </c>
      <c r="L14" s="8"/>
      <c r="M14" s="8"/>
      <c r="N14" s="8"/>
      <c r="O14" s="8"/>
      <c r="Q14" s="0" t="str">
        <f aca="false">IF(UPPER(TRIM(L14&amp;""))="","",IF(RIGHT(UPPER(TRIM(L14&amp;"")),2)="-N",TRIM(LEFT(UPPER(TRIM(L14&amp;"")),LEN(UPPER(TRIM(L14&amp;"")))-2)),UPPER(TRIM(L14&amp;""))))</f>
        <v/>
      </c>
      <c r="R14" s="0" t="str">
        <f aca="false">IF(Q14="","",IF(ISNUMBER(O14),ROUND(O14,1),IF(AND(ISNUMBER(M14),ISNUMBER(N14)),IF(N14&gt;0,ROUND(M14/N14*100,1),""),"")))</f>
        <v/>
      </c>
      <c r="S14" s="0" t="str">
        <f aca="false">IF(Q14="","",IF(RIGHT(UPPER(TRIM(L14&amp;"")),2)="-N","비경쟁",""))</f>
        <v/>
      </c>
      <c r="T14" s="0" t="str">
        <f aca="false">IF(Q14="","",IF(COUNTIF(참가자!$A$3:$A$52,Q14)=0,"명단에 없는 코드",""))</f>
        <v/>
      </c>
    </row>
    <row r="15" customFormat="false" ht="15" hidden="false" customHeight="false" outlineLevel="0" collapsed="false">
      <c r="A15" s="7" t="str">
        <f aca="false">IF(참가자!A15="","",UPPER(TRIM(참가자!A15)))</f>
        <v/>
      </c>
      <c r="B15" s="7" t="str">
        <f aca="false">IF(A15="","",IF(참가자!B15="","(팀 없음)",TRIM(참가자!B15)))</f>
        <v/>
      </c>
      <c r="C15" s="7" t="str">
        <f aca="false">IF(A15="","",IFERROR(INDEX($R$3:$R$102,MATCH(A15,$Q$3:$Q$102,0)),""))</f>
        <v/>
      </c>
      <c r="D15" s="7" t="str">
        <f aca="false">IF(A15="","",IF(C15="","결석",IF(IFERROR(INDEX($S$3:$S$102,MATCH(A15,$Q$3:$Q$102,0)),"")="비경쟁","비경쟁 응시","응시")))</f>
        <v/>
      </c>
      <c r="E15" s="7" t="str">
        <f aca="false">IF(A15="","",IF(COUNTIF($Q$3:$Q$102,A15)&gt;1,"중복! 확인",""))</f>
        <v/>
      </c>
      <c r="F15" s="7" t="str">
        <f aca="false">IF(A15="","",평가A!F15)</f>
        <v/>
      </c>
      <c r="G15" s="7" t="str">
        <f aca="false">IF(A15="","",IF(OR(C15="",F15=""),"",ROUND(C15-F15,1)))</f>
        <v/>
      </c>
      <c r="H15" s="7" t="str">
        <f aca="false">IF(A15="","",IF(C15="","",IF(C15&gt;=HIGH_CUT,PTS_HIGH,IF(F15="","",IF(G15&gt;=STEP2,PTS_HIGH,IF(G15&gt;=STEP1,PTS_MID,PTS_LOW))))))</f>
        <v/>
      </c>
      <c r="I15" s="7" t="str">
        <f aca="false">IF(A15="","",IF(AND(D15="응시",ISNUMBER(H15)),H15,""))</f>
        <v/>
      </c>
      <c r="J15" s="7" t="str">
        <f aca="false">IF(A15="","",IF(C15="","결석 - 기록 없음",IF(C15&gt;=HIGH_CUT,"높은 점수 유지",IF(F15="","기준점수 없음",IF(G15&gt;=STEP2,"향상",IF(G15&gt;=STEP1,"유지","이번에는 내려감"))))&amp;IF(D15="비경쟁 응시"," / 비경쟁: 팀 점수 제외","")))</f>
        <v/>
      </c>
      <c r="L15" s="8"/>
      <c r="M15" s="8"/>
      <c r="N15" s="8"/>
      <c r="O15" s="8"/>
      <c r="Q15" s="0" t="str">
        <f aca="false">IF(UPPER(TRIM(L15&amp;""))="","",IF(RIGHT(UPPER(TRIM(L15&amp;"")),2)="-N",TRIM(LEFT(UPPER(TRIM(L15&amp;"")),LEN(UPPER(TRIM(L15&amp;"")))-2)),UPPER(TRIM(L15&amp;""))))</f>
        <v/>
      </c>
      <c r="R15" s="0" t="str">
        <f aca="false">IF(Q15="","",IF(ISNUMBER(O15),ROUND(O15,1),IF(AND(ISNUMBER(M15),ISNUMBER(N15)),IF(N15&gt;0,ROUND(M15/N15*100,1),""),"")))</f>
        <v/>
      </c>
      <c r="S15" s="0" t="str">
        <f aca="false">IF(Q15="","",IF(RIGHT(UPPER(TRIM(L15&amp;"")),2)="-N","비경쟁",""))</f>
        <v/>
      </c>
      <c r="T15" s="0" t="str">
        <f aca="false">IF(Q15="","",IF(COUNTIF(참가자!$A$3:$A$52,Q15)=0,"명단에 없는 코드",""))</f>
        <v/>
      </c>
    </row>
    <row r="16" customFormat="false" ht="15" hidden="false" customHeight="false" outlineLevel="0" collapsed="false">
      <c r="A16" s="7" t="str">
        <f aca="false">IF(참가자!A16="","",UPPER(TRIM(참가자!A16)))</f>
        <v/>
      </c>
      <c r="B16" s="7" t="str">
        <f aca="false">IF(A16="","",IF(참가자!B16="","(팀 없음)",TRIM(참가자!B16)))</f>
        <v/>
      </c>
      <c r="C16" s="7" t="str">
        <f aca="false">IF(A16="","",IFERROR(INDEX($R$3:$R$102,MATCH(A16,$Q$3:$Q$102,0)),""))</f>
        <v/>
      </c>
      <c r="D16" s="7" t="str">
        <f aca="false">IF(A16="","",IF(C16="","결석",IF(IFERROR(INDEX($S$3:$S$102,MATCH(A16,$Q$3:$Q$102,0)),"")="비경쟁","비경쟁 응시","응시")))</f>
        <v/>
      </c>
      <c r="E16" s="7" t="str">
        <f aca="false">IF(A16="","",IF(COUNTIF($Q$3:$Q$102,A16)&gt;1,"중복! 확인",""))</f>
        <v/>
      </c>
      <c r="F16" s="7" t="str">
        <f aca="false">IF(A16="","",평가A!F16)</f>
        <v/>
      </c>
      <c r="G16" s="7" t="str">
        <f aca="false">IF(A16="","",IF(OR(C16="",F16=""),"",ROUND(C16-F16,1)))</f>
        <v/>
      </c>
      <c r="H16" s="7" t="str">
        <f aca="false">IF(A16="","",IF(C16="","",IF(C16&gt;=HIGH_CUT,PTS_HIGH,IF(F16="","",IF(G16&gt;=STEP2,PTS_HIGH,IF(G16&gt;=STEP1,PTS_MID,PTS_LOW))))))</f>
        <v/>
      </c>
      <c r="I16" s="7" t="str">
        <f aca="false">IF(A16="","",IF(AND(D16="응시",ISNUMBER(H16)),H16,""))</f>
        <v/>
      </c>
      <c r="J16" s="7" t="str">
        <f aca="false">IF(A16="","",IF(C16="","결석 - 기록 없음",IF(C16&gt;=HIGH_CUT,"높은 점수 유지",IF(F16="","기준점수 없음",IF(G16&gt;=STEP2,"향상",IF(G16&gt;=STEP1,"유지","이번에는 내려감"))))&amp;IF(D16="비경쟁 응시"," / 비경쟁: 팀 점수 제외","")))</f>
        <v/>
      </c>
      <c r="L16" s="8"/>
      <c r="M16" s="8"/>
      <c r="N16" s="8"/>
      <c r="O16" s="8"/>
      <c r="Q16" s="0" t="str">
        <f aca="false">IF(UPPER(TRIM(L16&amp;""))="","",IF(RIGHT(UPPER(TRIM(L16&amp;"")),2)="-N",TRIM(LEFT(UPPER(TRIM(L16&amp;"")),LEN(UPPER(TRIM(L16&amp;"")))-2)),UPPER(TRIM(L16&amp;""))))</f>
        <v/>
      </c>
      <c r="R16" s="0" t="str">
        <f aca="false">IF(Q16="","",IF(ISNUMBER(O16),ROUND(O16,1),IF(AND(ISNUMBER(M16),ISNUMBER(N16)),IF(N16&gt;0,ROUND(M16/N16*100,1),""),"")))</f>
        <v/>
      </c>
      <c r="S16" s="0" t="str">
        <f aca="false">IF(Q16="","",IF(RIGHT(UPPER(TRIM(L16&amp;"")),2)="-N","비경쟁",""))</f>
        <v/>
      </c>
      <c r="T16" s="0" t="str">
        <f aca="false">IF(Q16="","",IF(COUNTIF(참가자!$A$3:$A$52,Q16)=0,"명단에 없는 코드",""))</f>
        <v/>
      </c>
    </row>
    <row r="17" customFormat="false" ht="15" hidden="false" customHeight="false" outlineLevel="0" collapsed="false">
      <c r="A17" s="7" t="str">
        <f aca="false">IF(참가자!A17="","",UPPER(TRIM(참가자!A17)))</f>
        <v/>
      </c>
      <c r="B17" s="7" t="str">
        <f aca="false">IF(A17="","",IF(참가자!B17="","(팀 없음)",TRIM(참가자!B17)))</f>
        <v/>
      </c>
      <c r="C17" s="7" t="str">
        <f aca="false">IF(A17="","",IFERROR(INDEX($R$3:$R$102,MATCH(A17,$Q$3:$Q$102,0)),""))</f>
        <v/>
      </c>
      <c r="D17" s="7" t="str">
        <f aca="false">IF(A17="","",IF(C17="","결석",IF(IFERROR(INDEX($S$3:$S$102,MATCH(A17,$Q$3:$Q$102,0)),"")="비경쟁","비경쟁 응시","응시")))</f>
        <v/>
      </c>
      <c r="E17" s="7" t="str">
        <f aca="false">IF(A17="","",IF(COUNTIF($Q$3:$Q$102,A17)&gt;1,"중복! 확인",""))</f>
        <v/>
      </c>
      <c r="F17" s="7" t="str">
        <f aca="false">IF(A17="","",평가A!F17)</f>
        <v/>
      </c>
      <c r="G17" s="7" t="str">
        <f aca="false">IF(A17="","",IF(OR(C17="",F17=""),"",ROUND(C17-F17,1)))</f>
        <v/>
      </c>
      <c r="H17" s="7" t="str">
        <f aca="false">IF(A17="","",IF(C17="","",IF(C17&gt;=HIGH_CUT,PTS_HIGH,IF(F17="","",IF(G17&gt;=STEP2,PTS_HIGH,IF(G17&gt;=STEP1,PTS_MID,PTS_LOW))))))</f>
        <v/>
      </c>
      <c r="I17" s="7" t="str">
        <f aca="false">IF(A17="","",IF(AND(D17="응시",ISNUMBER(H17)),H17,""))</f>
        <v/>
      </c>
      <c r="J17" s="7" t="str">
        <f aca="false">IF(A17="","",IF(C17="","결석 - 기록 없음",IF(C17&gt;=HIGH_CUT,"높은 점수 유지",IF(F17="","기준점수 없음",IF(G17&gt;=STEP2,"향상",IF(G17&gt;=STEP1,"유지","이번에는 내려감"))))&amp;IF(D17="비경쟁 응시"," / 비경쟁: 팀 점수 제외","")))</f>
        <v/>
      </c>
      <c r="L17" s="8"/>
      <c r="M17" s="8"/>
      <c r="N17" s="8"/>
      <c r="O17" s="8"/>
      <c r="Q17" s="0" t="str">
        <f aca="false">IF(UPPER(TRIM(L17&amp;""))="","",IF(RIGHT(UPPER(TRIM(L17&amp;"")),2)="-N",TRIM(LEFT(UPPER(TRIM(L17&amp;"")),LEN(UPPER(TRIM(L17&amp;"")))-2)),UPPER(TRIM(L17&amp;""))))</f>
        <v/>
      </c>
      <c r="R17" s="0" t="str">
        <f aca="false">IF(Q17="","",IF(ISNUMBER(O17),ROUND(O17,1),IF(AND(ISNUMBER(M17),ISNUMBER(N17)),IF(N17&gt;0,ROUND(M17/N17*100,1),""),"")))</f>
        <v/>
      </c>
      <c r="S17" s="0" t="str">
        <f aca="false">IF(Q17="","",IF(RIGHT(UPPER(TRIM(L17&amp;"")),2)="-N","비경쟁",""))</f>
        <v/>
      </c>
      <c r="T17" s="0" t="str">
        <f aca="false">IF(Q17="","",IF(COUNTIF(참가자!$A$3:$A$52,Q17)=0,"명단에 없는 코드",""))</f>
        <v/>
      </c>
    </row>
    <row r="18" customFormat="false" ht="15" hidden="false" customHeight="false" outlineLevel="0" collapsed="false">
      <c r="A18" s="7" t="str">
        <f aca="false">IF(참가자!A18="","",UPPER(TRIM(참가자!A18)))</f>
        <v/>
      </c>
      <c r="B18" s="7" t="str">
        <f aca="false">IF(A18="","",IF(참가자!B18="","(팀 없음)",TRIM(참가자!B18)))</f>
        <v/>
      </c>
      <c r="C18" s="7" t="str">
        <f aca="false">IF(A18="","",IFERROR(INDEX($R$3:$R$102,MATCH(A18,$Q$3:$Q$102,0)),""))</f>
        <v/>
      </c>
      <c r="D18" s="7" t="str">
        <f aca="false">IF(A18="","",IF(C18="","결석",IF(IFERROR(INDEX($S$3:$S$102,MATCH(A18,$Q$3:$Q$102,0)),"")="비경쟁","비경쟁 응시","응시")))</f>
        <v/>
      </c>
      <c r="E18" s="7" t="str">
        <f aca="false">IF(A18="","",IF(COUNTIF($Q$3:$Q$102,A18)&gt;1,"중복! 확인",""))</f>
        <v/>
      </c>
      <c r="F18" s="7" t="str">
        <f aca="false">IF(A18="","",평가A!F18)</f>
        <v/>
      </c>
      <c r="G18" s="7" t="str">
        <f aca="false">IF(A18="","",IF(OR(C18="",F18=""),"",ROUND(C18-F18,1)))</f>
        <v/>
      </c>
      <c r="H18" s="7" t="str">
        <f aca="false">IF(A18="","",IF(C18="","",IF(C18&gt;=HIGH_CUT,PTS_HIGH,IF(F18="","",IF(G18&gt;=STEP2,PTS_HIGH,IF(G18&gt;=STEP1,PTS_MID,PTS_LOW))))))</f>
        <v/>
      </c>
      <c r="I18" s="7" t="str">
        <f aca="false">IF(A18="","",IF(AND(D18="응시",ISNUMBER(H18)),H18,""))</f>
        <v/>
      </c>
      <c r="J18" s="7" t="str">
        <f aca="false">IF(A18="","",IF(C18="","결석 - 기록 없음",IF(C18&gt;=HIGH_CUT,"높은 점수 유지",IF(F18="","기준점수 없음",IF(G18&gt;=STEP2,"향상",IF(G18&gt;=STEP1,"유지","이번에는 내려감"))))&amp;IF(D18="비경쟁 응시"," / 비경쟁: 팀 점수 제외","")))</f>
        <v/>
      </c>
      <c r="L18" s="8"/>
      <c r="M18" s="8"/>
      <c r="N18" s="8"/>
      <c r="O18" s="8"/>
      <c r="Q18" s="0" t="str">
        <f aca="false">IF(UPPER(TRIM(L18&amp;""))="","",IF(RIGHT(UPPER(TRIM(L18&amp;"")),2)="-N",TRIM(LEFT(UPPER(TRIM(L18&amp;"")),LEN(UPPER(TRIM(L18&amp;"")))-2)),UPPER(TRIM(L18&amp;""))))</f>
        <v/>
      </c>
      <c r="R18" s="0" t="str">
        <f aca="false">IF(Q18="","",IF(ISNUMBER(O18),ROUND(O18,1),IF(AND(ISNUMBER(M18),ISNUMBER(N18)),IF(N18&gt;0,ROUND(M18/N18*100,1),""),"")))</f>
        <v/>
      </c>
      <c r="S18" s="0" t="str">
        <f aca="false">IF(Q18="","",IF(RIGHT(UPPER(TRIM(L18&amp;"")),2)="-N","비경쟁",""))</f>
        <v/>
      </c>
      <c r="T18" s="0" t="str">
        <f aca="false">IF(Q18="","",IF(COUNTIF(참가자!$A$3:$A$52,Q18)=0,"명단에 없는 코드",""))</f>
        <v/>
      </c>
    </row>
    <row r="19" customFormat="false" ht="15" hidden="false" customHeight="false" outlineLevel="0" collapsed="false">
      <c r="A19" s="7" t="str">
        <f aca="false">IF(참가자!A19="","",UPPER(TRIM(참가자!A19)))</f>
        <v/>
      </c>
      <c r="B19" s="7" t="str">
        <f aca="false">IF(A19="","",IF(참가자!B19="","(팀 없음)",TRIM(참가자!B19)))</f>
        <v/>
      </c>
      <c r="C19" s="7" t="str">
        <f aca="false">IF(A19="","",IFERROR(INDEX($R$3:$R$102,MATCH(A19,$Q$3:$Q$102,0)),""))</f>
        <v/>
      </c>
      <c r="D19" s="7" t="str">
        <f aca="false">IF(A19="","",IF(C19="","결석",IF(IFERROR(INDEX($S$3:$S$102,MATCH(A19,$Q$3:$Q$102,0)),"")="비경쟁","비경쟁 응시","응시")))</f>
        <v/>
      </c>
      <c r="E19" s="7" t="str">
        <f aca="false">IF(A19="","",IF(COUNTIF($Q$3:$Q$102,A19)&gt;1,"중복! 확인",""))</f>
        <v/>
      </c>
      <c r="F19" s="7" t="str">
        <f aca="false">IF(A19="","",평가A!F19)</f>
        <v/>
      </c>
      <c r="G19" s="7" t="str">
        <f aca="false">IF(A19="","",IF(OR(C19="",F19=""),"",ROUND(C19-F19,1)))</f>
        <v/>
      </c>
      <c r="H19" s="7" t="str">
        <f aca="false">IF(A19="","",IF(C19="","",IF(C19&gt;=HIGH_CUT,PTS_HIGH,IF(F19="","",IF(G19&gt;=STEP2,PTS_HIGH,IF(G19&gt;=STEP1,PTS_MID,PTS_LOW))))))</f>
        <v/>
      </c>
      <c r="I19" s="7" t="str">
        <f aca="false">IF(A19="","",IF(AND(D19="응시",ISNUMBER(H19)),H19,""))</f>
        <v/>
      </c>
      <c r="J19" s="7" t="str">
        <f aca="false">IF(A19="","",IF(C19="","결석 - 기록 없음",IF(C19&gt;=HIGH_CUT,"높은 점수 유지",IF(F19="","기준점수 없음",IF(G19&gt;=STEP2,"향상",IF(G19&gt;=STEP1,"유지","이번에는 내려감"))))&amp;IF(D19="비경쟁 응시"," / 비경쟁: 팀 점수 제외","")))</f>
        <v/>
      </c>
      <c r="L19" s="8"/>
      <c r="M19" s="8"/>
      <c r="N19" s="8"/>
      <c r="O19" s="8"/>
      <c r="Q19" s="0" t="str">
        <f aca="false">IF(UPPER(TRIM(L19&amp;""))="","",IF(RIGHT(UPPER(TRIM(L19&amp;"")),2)="-N",TRIM(LEFT(UPPER(TRIM(L19&amp;"")),LEN(UPPER(TRIM(L19&amp;"")))-2)),UPPER(TRIM(L19&amp;""))))</f>
        <v/>
      </c>
      <c r="R19" s="0" t="str">
        <f aca="false">IF(Q19="","",IF(ISNUMBER(O19),ROUND(O19,1),IF(AND(ISNUMBER(M19),ISNUMBER(N19)),IF(N19&gt;0,ROUND(M19/N19*100,1),""),"")))</f>
        <v/>
      </c>
      <c r="S19" s="0" t="str">
        <f aca="false">IF(Q19="","",IF(RIGHT(UPPER(TRIM(L19&amp;"")),2)="-N","비경쟁",""))</f>
        <v/>
      </c>
      <c r="T19" s="0" t="str">
        <f aca="false">IF(Q19="","",IF(COUNTIF(참가자!$A$3:$A$52,Q19)=0,"명단에 없는 코드",""))</f>
        <v/>
      </c>
    </row>
    <row r="20" customFormat="false" ht="15" hidden="false" customHeight="false" outlineLevel="0" collapsed="false">
      <c r="A20" s="7" t="str">
        <f aca="false">IF(참가자!A20="","",UPPER(TRIM(참가자!A20)))</f>
        <v/>
      </c>
      <c r="B20" s="7" t="str">
        <f aca="false">IF(A20="","",IF(참가자!B20="","(팀 없음)",TRIM(참가자!B20)))</f>
        <v/>
      </c>
      <c r="C20" s="7" t="str">
        <f aca="false">IF(A20="","",IFERROR(INDEX($R$3:$R$102,MATCH(A20,$Q$3:$Q$102,0)),""))</f>
        <v/>
      </c>
      <c r="D20" s="7" t="str">
        <f aca="false">IF(A20="","",IF(C20="","결석",IF(IFERROR(INDEX($S$3:$S$102,MATCH(A20,$Q$3:$Q$102,0)),"")="비경쟁","비경쟁 응시","응시")))</f>
        <v/>
      </c>
      <c r="E20" s="7" t="str">
        <f aca="false">IF(A20="","",IF(COUNTIF($Q$3:$Q$102,A20)&gt;1,"중복! 확인",""))</f>
        <v/>
      </c>
      <c r="F20" s="7" t="str">
        <f aca="false">IF(A20="","",평가A!F20)</f>
        <v/>
      </c>
      <c r="G20" s="7" t="str">
        <f aca="false">IF(A20="","",IF(OR(C20="",F20=""),"",ROUND(C20-F20,1)))</f>
        <v/>
      </c>
      <c r="H20" s="7" t="str">
        <f aca="false">IF(A20="","",IF(C20="","",IF(C20&gt;=HIGH_CUT,PTS_HIGH,IF(F20="","",IF(G20&gt;=STEP2,PTS_HIGH,IF(G20&gt;=STEP1,PTS_MID,PTS_LOW))))))</f>
        <v/>
      </c>
      <c r="I20" s="7" t="str">
        <f aca="false">IF(A20="","",IF(AND(D20="응시",ISNUMBER(H20)),H20,""))</f>
        <v/>
      </c>
      <c r="J20" s="7" t="str">
        <f aca="false">IF(A20="","",IF(C20="","결석 - 기록 없음",IF(C20&gt;=HIGH_CUT,"높은 점수 유지",IF(F20="","기준점수 없음",IF(G20&gt;=STEP2,"향상",IF(G20&gt;=STEP1,"유지","이번에는 내려감"))))&amp;IF(D20="비경쟁 응시"," / 비경쟁: 팀 점수 제외","")))</f>
        <v/>
      </c>
      <c r="L20" s="8"/>
      <c r="M20" s="8"/>
      <c r="N20" s="8"/>
      <c r="O20" s="8"/>
      <c r="Q20" s="0" t="str">
        <f aca="false">IF(UPPER(TRIM(L20&amp;""))="","",IF(RIGHT(UPPER(TRIM(L20&amp;"")),2)="-N",TRIM(LEFT(UPPER(TRIM(L20&amp;"")),LEN(UPPER(TRIM(L20&amp;"")))-2)),UPPER(TRIM(L20&amp;""))))</f>
        <v/>
      </c>
      <c r="R20" s="0" t="str">
        <f aca="false">IF(Q20="","",IF(ISNUMBER(O20),ROUND(O20,1),IF(AND(ISNUMBER(M20),ISNUMBER(N20)),IF(N20&gt;0,ROUND(M20/N20*100,1),""),"")))</f>
        <v/>
      </c>
      <c r="S20" s="0" t="str">
        <f aca="false">IF(Q20="","",IF(RIGHT(UPPER(TRIM(L20&amp;"")),2)="-N","비경쟁",""))</f>
        <v/>
      </c>
      <c r="T20" s="0" t="str">
        <f aca="false">IF(Q20="","",IF(COUNTIF(참가자!$A$3:$A$52,Q20)=0,"명단에 없는 코드",""))</f>
        <v/>
      </c>
    </row>
    <row r="21" customFormat="false" ht="15" hidden="false" customHeight="false" outlineLevel="0" collapsed="false">
      <c r="A21" s="7" t="str">
        <f aca="false">IF(참가자!A21="","",UPPER(TRIM(참가자!A21)))</f>
        <v/>
      </c>
      <c r="B21" s="7" t="str">
        <f aca="false">IF(A21="","",IF(참가자!B21="","(팀 없음)",TRIM(참가자!B21)))</f>
        <v/>
      </c>
      <c r="C21" s="7" t="str">
        <f aca="false">IF(A21="","",IFERROR(INDEX($R$3:$R$102,MATCH(A21,$Q$3:$Q$102,0)),""))</f>
        <v/>
      </c>
      <c r="D21" s="7" t="str">
        <f aca="false">IF(A21="","",IF(C21="","결석",IF(IFERROR(INDEX($S$3:$S$102,MATCH(A21,$Q$3:$Q$102,0)),"")="비경쟁","비경쟁 응시","응시")))</f>
        <v/>
      </c>
      <c r="E21" s="7" t="str">
        <f aca="false">IF(A21="","",IF(COUNTIF($Q$3:$Q$102,A21)&gt;1,"중복! 확인",""))</f>
        <v/>
      </c>
      <c r="F21" s="7" t="str">
        <f aca="false">IF(A21="","",평가A!F21)</f>
        <v/>
      </c>
      <c r="G21" s="7" t="str">
        <f aca="false">IF(A21="","",IF(OR(C21="",F21=""),"",ROUND(C21-F21,1)))</f>
        <v/>
      </c>
      <c r="H21" s="7" t="str">
        <f aca="false">IF(A21="","",IF(C21="","",IF(C21&gt;=HIGH_CUT,PTS_HIGH,IF(F21="","",IF(G21&gt;=STEP2,PTS_HIGH,IF(G21&gt;=STEP1,PTS_MID,PTS_LOW))))))</f>
        <v/>
      </c>
      <c r="I21" s="7" t="str">
        <f aca="false">IF(A21="","",IF(AND(D21="응시",ISNUMBER(H21)),H21,""))</f>
        <v/>
      </c>
      <c r="J21" s="7" t="str">
        <f aca="false">IF(A21="","",IF(C21="","결석 - 기록 없음",IF(C21&gt;=HIGH_CUT,"높은 점수 유지",IF(F21="","기준점수 없음",IF(G21&gt;=STEP2,"향상",IF(G21&gt;=STEP1,"유지","이번에는 내려감"))))&amp;IF(D21="비경쟁 응시"," / 비경쟁: 팀 점수 제외","")))</f>
        <v/>
      </c>
      <c r="L21" s="8"/>
      <c r="M21" s="8"/>
      <c r="N21" s="8"/>
      <c r="O21" s="8"/>
      <c r="Q21" s="0" t="str">
        <f aca="false">IF(UPPER(TRIM(L21&amp;""))="","",IF(RIGHT(UPPER(TRIM(L21&amp;"")),2)="-N",TRIM(LEFT(UPPER(TRIM(L21&amp;"")),LEN(UPPER(TRIM(L21&amp;"")))-2)),UPPER(TRIM(L21&amp;""))))</f>
        <v/>
      </c>
      <c r="R21" s="0" t="str">
        <f aca="false">IF(Q21="","",IF(ISNUMBER(O21),ROUND(O21,1),IF(AND(ISNUMBER(M21),ISNUMBER(N21)),IF(N21&gt;0,ROUND(M21/N21*100,1),""),"")))</f>
        <v/>
      </c>
      <c r="S21" s="0" t="str">
        <f aca="false">IF(Q21="","",IF(RIGHT(UPPER(TRIM(L21&amp;"")),2)="-N","비경쟁",""))</f>
        <v/>
      </c>
      <c r="T21" s="0" t="str">
        <f aca="false">IF(Q21="","",IF(COUNTIF(참가자!$A$3:$A$52,Q21)=0,"명단에 없는 코드",""))</f>
        <v/>
      </c>
    </row>
    <row r="22" customFormat="false" ht="15" hidden="false" customHeight="false" outlineLevel="0" collapsed="false">
      <c r="A22" s="7" t="str">
        <f aca="false">IF(참가자!A22="","",UPPER(TRIM(참가자!A22)))</f>
        <v/>
      </c>
      <c r="B22" s="7" t="str">
        <f aca="false">IF(A22="","",IF(참가자!B22="","(팀 없음)",TRIM(참가자!B22)))</f>
        <v/>
      </c>
      <c r="C22" s="7" t="str">
        <f aca="false">IF(A22="","",IFERROR(INDEX($R$3:$R$102,MATCH(A22,$Q$3:$Q$102,0)),""))</f>
        <v/>
      </c>
      <c r="D22" s="7" t="str">
        <f aca="false">IF(A22="","",IF(C22="","결석",IF(IFERROR(INDEX($S$3:$S$102,MATCH(A22,$Q$3:$Q$102,0)),"")="비경쟁","비경쟁 응시","응시")))</f>
        <v/>
      </c>
      <c r="E22" s="7" t="str">
        <f aca="false">IF(A22="","",IF(COUNTIF($Q$3:$Q$102,A22)&gt;1,"중복! 확인",""))</f>
        <v/>
      </c>
      <c r="F22" s="7" t="str">
        <f aca="false">IF(A22="","",평가A!F22)</f>
        <v/>
      </c>
      <c r="G22" s="7" t="str">
        <f aca="false">IF(A22="","",IF(OR(C22="",F22=""),"",ROUND(C22-F22,1)))</f>
        <v/>
      </c>
      <c r="H22" s="7" t="str">
        <f aca="false">IF(A22="","",IF(C22="","",IF(C22&gt;=HIGH_CUT,PTS_HIGH,IF(F22="","",IF(G22&gt;=STEP2,PTS_HIGH,IF(G22&gt;=STEP1,PTS_MID,PTS_LOW))))))</f>
        <v/>
      </c>
      <c r="I22" s="7" t="str">
        <f aca="false">IF(A22="","",IF(AND(D22="응시",ISNUMBER(H22)),H22,""))</f>
        <v/>
      </c>
      <c r="J22" s="7" t="str">
        <f aca="false">IF(A22="","",IF(C22="","결석 - 기록 없음",IF(C22&gt;=HIGH_CUT,"높은 점수 유지",IF(F22="","기준점수 없음",IF(G22&gt;=STEP2,"향상",IF(G22&gt;=STEP1,"유지","이번에는 내려감"))))&amp;IF(D22="비경쟁 응시"," / 비경쟁: 팀 점수 제외","")))</f>
        <v/>
      </c>
      <c r="L22" s="8"/>
      <c r="M22" s="8"/>
      <c r="N22" s="8"/>
      <c r="O22" s="8"/>
      <c r="Q22" s="0" t="str">
        <f aca="false">IF(UPPER(TRIM(L22&amp;""))="","",IF(RIGHT(UPPER(TRIM(L22&amp;"")),2)="-N",TRIM(LEFT(UPPER(TRIM(L22&amp;"")),LEN(UPPER(TRIM(L22&amp;"")))-2)),UPPER(TRIM(L22&amp;""))))</f>
        <v/>
      </c>
      <c r="R22" s="0" t="str">
        <f aca="false">IF(Q22="","",IF(ISNUMBER(O22),ROUND(O22,1),IF(AND(ISNUMBER(M22),ISNUMBER(N22)),IF(N22&gt;0,ROUND(M22/N22*100,1),""),"")))</f>
        <v/>
      </c>
      <c r="S22" s="0" t="str">
        <f aca="false">IF(Q22="","",IF(RIGHT(UPPER(TRIM(L22&amp;"")),2)="-N","비경쟁",""))</f>
        <v/>
      </c>
      <c r="T22" s="0" t="str">
        <f aca="false">IF(Q22="","",IF(COUNTIF(참가자!$A$3:$A$52,Q22)=0,"명단에 없는 코드",""))</f>
        <v/>
      </c>
    </row>
    <row r="23" customFormat="false" ht="15" hidden="false" customHeight="false" outlineLevel="0" collapsed="false">
      <c r="A23" s="7" t="str">
        <f aca="false">IF(참가자!A23="","",UPPER(TRIM(참가자!A23)))</f>
        <v/>
      </c>
      <c r="B23" s="7" t="str">
        <f aca="false">IF(A23="","",IF(참가자!B23="","(팀 없음)",TRIM(참가자!B23)))</f>
        <v/>
      </c>
      <c r="C23" s="7" t="str">
        <f aca="false">IF(A23="","",IFERROR(INDEX($R$3:$R$102,MATCH(A23,$Q$3:$Q$102,0)),""))</f>
        <v/>
      </c>
      <c r="D23" s="7" t="str">
        <f aca="false">IF(A23="","",IF(C23="","결석",IF(IFERROR(INDEX($S$3:$S$102,MATCH(A23,$Q$3:$Q$102,0)),"")="비경쟁","비경쟁 응시","응시")))</f>
        <v/>
      </c>
      <c r="E23" s="7" t="str">
        <f aca="false">IF(A23="","",IF(COUNTIF($Q$3:$Q$102,A23)&gt;1,"중복! 확인",""))</f>
        <v/>
      </c>
      <c r="F23" s="7" t="str">
        <f aca="false">IF(A23="","",평가A!F23)</f>
        <v/>
      </c>
      <c r="G23" s="7" t="str">
        <f aca="false">IF(A23="","",IF(OR(C23="",F23=""),"",ROUND(C23-F23,1)))</f>
        <v/>
      </c>
      <c r="H23" s="7" t="str">
        <f aca="false">IF(A23="","",IF(C23="","",IF(C23&gt;=HIGH_CUT,PTS_HIGH,IF(F23="","",IF(G23&gt;=STEP2,PTS_HIGH,IF(G23&gt;=STEP1,PTS_MID,PTS_LOW))))))</f>
        <v/>
      </c>
      <c r="I23" s="7" t="str">
        <f aca="false">IF(A23="","",IF(AND(D23="응시",ISNUMBER(H23)),H23,""))</f>
        <v/>
      </c>
      <c r="J23" s="7" t="str">
        <f aca="false">IF(A23="","",IF(C23="","결석 - 기록 없음",IF(C23&gt;=HIGH_CUT,"높은 점수 유지",IF(F23="","기준점수 없음",IF(G23&gt;=STEP2,"향상",IF(G23&gt;=STEP1,"유지","이번에는 내려감"))))&amp;IF(D23="비경쟁 응시"," / 비경쟁: 팀 점수 제외","")))</f>
        <v/>
      </c>
      <c r="L23" s="8"/>
      <c r="M23" s="8"/>
      <c r="N23" s="8"/>
      <c r="O23" s="8"/>
      <c r="Q23" s="0" t="str">
        <f aca="false">IF(UPPER(TRIM(L23&amp;""))="","",IF(RIGHT(UPPER(TRIM(L23&amp;"")),2)="-N",TRIM(LEFT(UPPER(TRIM(L23&amp;"")),LEN(UPPER(TRIM(L23&amp;"")))-2)),UPPER(TRIM(L23&amp;""))))</f>
        <v/>
      </c>
      <c r="R23" s="0" t="str">
        <f aca="false">IF(Q23="","",IF(ISNUMBER(O23),ROUND(O23,1),IF(AND(ISNUMBER(M23),ISNUMBER(N23)),IF(N23&gt;0,ROUND(M23/N23*100,1),""),"")))</f>
        <v/>
      </c>
      <c r="S23" s="0" t="str">
        <f aca="false">IF(Q23="","",IF(RIGHT(UPPER(TRIM(L23&amp;"")),2)="-N","비경쟁",""))</f>
        <v/>
      </c>
      <c r="T23" s="0" t="str">
        <f aca="false">IF(Q23="","",IF(COUNTIF(참가자!$A$3:$A$52,Q23)=0,"명단에 없는 코드",""))</f>
        <v/>
      </c>
    </row>
    <row r="24" customFormat="false" ht="15" hidden="false" customHeight="false" outlineLevel="0" collapsed="false">
      <c r="A24" s="7" t="str">
        <f aca="false">IF(참가자!A24="","",UPPER(TRIM(참가자!A24)))</f>
        <v/>
      </c>
      <c r="B24" s="7" t="str">
        <f aca="false">IF(A24="","",IF(참가자!B24="","(팀 없음)",TRIM(참가자!B24)))</f>
        <v/>
      </c>
      <c r="C24" s="7" t="str">
        <f aca="false">IF(A24="","",IFERROR(INDEX($R$3:$R$102,MATCH(A24,$Q$3:$Q$102,0)),""))</f>
        <v/>
      </c>
      <c r="D24" s="7" t="str">
        <f aca="false">IF(A24="","",IF(C24="","결석",IF(IFERROR(INDEX($S$3:$S$102,MATCH(A24,$Q$3:$Q$102,0)),"")="비경쟁","비경쟁 응시","응시")))</f>
        <v/>
      </c>
      <c r="E24" s="7" t="str">
        <f aca="false">IF(A24="","",IF(COUNTIF($Q$3:$Q$102,A24)&gt;1,"중복! 확인",""))</f>
        <v/>
      </c>
      <c r="F24" s="7" t="str">
        <f aca="false">IF(A24="","",평가A!F24)</f>
        <v/>
      </c>
      <c r="G24" s="7" t="str">
        <f aca="false">IF(A24="","",IF(OR(C24="",F24=""),"",ROUND(C24-F24,1)))</f>
        <v/>
      </c>
      <c r="H24" s="7" t="str">
        <f aca="false">IF(A24="","",IF(C24="","",IF(C24&gt;=HIGH_CUT,PTS_HIGH,IF(F24="","",IF(G24&gt;=STEP2,PTS_HIGH,IF(G24&gt;=STEP1,PTS_MID,PTS_LOW))))))</f>
        <v/>
      </c>
      <c r="I24" s="7" t="str">
        <f aca="false">IF(A24="","",IF(AND(D24="응시",ISNUMBER(H24)),H24,""))</f>
        <v/>
      </c>
      <c r="J24" s="7" t="str">
        <f aca="false">IF(A24="","",IF(C24="","결석 - 기록 없음",IF(C24&gt;=HIGH_CUT,"높은 점수 유지",IF(F24="","기준점수 없음",IF(G24&gt;=STEP2,"향상",IF(G24&gt;=STEP1,"유지","이번에는 내려감"))))&amp;IF(D24="비경쟁 응시"," / 비경쟁: 팀 점수 제외","")))</f>
        <v/>
      </c>
      <c r="L24" s="8"/>
      <c r="M24" s="8"/>
      <c r="N24" s="8"/>
      <c r="O24" s="8"/>
      <c r="Q24" s="0" t="str">
        <f aca="false">IF(UPPER(TRIM(L24&amp;""))="","",IF(RIGHT(UPPER(TRIM(L24&amp;"")),2)="-N",TRIM(LEFT(UPPER(TRIM(L24&amp;"")),LEN(UPPER(TRIM(L24&amp;"")))-2)),UPPER(TRIM(L24&amp;""))))</f>
        <v/>
      </c>
      <c r="R24" s="0" t="str">
        <f aca="false">IF(Q24="","",IF(ISNUMBER(O24),ROUND(O24,1),IF(AND(ISNUMBER(M24),ISNUMBER(N24)),IF(N24&gt;0,ROUND(M24/N24*100,1),""),"")))</f>
        <v/>
      </c>
      <c r="S24" s="0" t="str">
        <f aca="false">IF(Q24="","",IF(RIGHT(UPPER(TRIM(L24&amp;"")),2)="-N","비경쟁",""))</f>
        <v/>
      </c>
      <c r="T24" s="0" t="str">
        <f aca="false">IF(Q24="","",IF(COUNTIF(참가자!$A$3:$A$52,Q24)=0,"명단에 없는 코드",""))</f>
        <v/>
      </c>
    </row>
    <row r="25" customFormat="false" ht="15" hidden="false" customHeight="false" outlineLevel="0" collapsed="false">
      <c r="A25" s="7" t="str">
        <f aca="false">IF(참가자!A25="","",UPPER(TRIM(참가자!A25)))</f>
        <v/>
      </c>
      <c r="B25" s="7" t="str">
        <f aca="false">IF(A25="","",IF(참가자!B25="","(팀 없음)",TRIM(참가자!B25)))</f>
        <v/>
      </c>
      <c r="C25" s="7" t="str">
        <f aca="false">IF(A25="","",IFERROR(INDEX($R$3:$R$102,MATCH(A25,$Q$3:$Q$102,0)),""))</f>
        <v/>
      </c>
      <c r="D25" s="7" t="str">
        <f aca="false">IF(A25="","",IF(C25="","결석",IF(IFERROR(INDEX($S$3:$S$102,MATCH(A25,$Q$3:$Q$102,0)),"")="비경쟁","비경쟁 응시","응시")))</f>
        <v/>
      </c>
      <c r="E25" s="7" t="str">
        <f aca="false">IF(A25="","",IF(COUNTIF($Q$3:$Q$102,A25)&gt;1,"중복! 확인",""))</f>
        <v/>
      </c>
      <c r="F25" s="7" t="str">
        <f aca="false">IF(A25="","",평가A!F25)</f>
        <v/>
      </c>
      <c r="G25" s="7" t="str">
        <f aca="false">IF(A25="","",IF(OR(C25="",F25=""),"",ROUND(C25-F25,1)))</f>
        <v/>
      </c>
      <c r="H25" s="7" t="str">
        <f aca="false">IF(A25="","",IF(C25="","",IF(C25&gt;=HIGH_CUT,PTS_HIGH,IF(F25="","",IF(G25&gt;=STEP2,PTS_HIGH,IF(G25&gt;=STEP1,PTS_MID,PTS_LOW))))))</f>
        <v/>
      </c>
      <c r="I25" s="7" t="str">
        <f aca="false">IF(A25="","",IF(AND(D25="응시",ISNUMBER(H25)),H25,""))</f>
        <v/>
      </c>
      <c r="J25" s="7" t="str">
        <f aca="false">IF(A25="","",IF(C25="","결석 - 기록 없음",IF(C25&gt;=HIGH_CUT,"높은 점수 유지",IF(F25="","기준점수 없음",IF(G25&gt;=STEP2,"향상",IF(G25&gt;=STEP1,"유지","이번에는 내려감"))))&amp;IF(D25="비경쟁 응시"," / 비경쟁: 팀 점수 제외","")))</f>
        <v/>
      </c>
      <c r="L25" s="8"/>
      <c r="M25" s="8"/>
      <c r="N25" s="8"/>
      <c r="O25" s="8"/>
      <c r="Q25" s="0" t="str">
        <f aca="false">IF(UPPER(TRIM(L25&amp;""))="","",IF(RIGHT(UPPER(TRIM(L25&amp;"")),2)="-N",TRIM(LEFT(UPPER(TRIM(L25&amp;"")),LEN(UPPER(TRIM(L25&amp;"")))-2)),UPPER(TRIM(L25&amp;""))))</f>
        <v/>
      </c>
      <c r="R25" s="0" t="str">
        <f aca="false">IF(Q25="","",IF(ISNUMBER(O25),ROUND(O25,1),IF(AND(ISNUMBER(M25),ISNUMBER(N25)),IF(N25&gt;0,ROUND(M25/N25*100,1),""),"")))</f>
        <v/>
      </c>
      <c r="S25" s="0" t="str">
        <f aca="false">IF(Q25="","",IF(RIGHT(UPPER(TRIM(L25&amp;"")),2)="-N","비경쟁",""))</f>
        <v/>
      </c>
      <c r="T25" s="0" t="str">
        <f aca="false">IF(Q25="","",IF(COUNTIF(참가자!$A$3:$A$52,Q25)=0,"명단에 없는 코드",""))</f>
        <v/>
      </c>
    </row>
    <row r="26" customFormat="false" ht="15" hidden="false" customHeight="false" outlineLevel="0" collapsed="false">
      <c r="A26" s="7" t="str">
        <f aca="false">IF(참가자!A26="","",UPPER(TRIM(참가자!A26)))</f>
        <v/>
      </c>
      <c r="B26" s="7" t="str">
        <f aca="false">IF(A26="","",IF(참가자!B26="","(팀 없음)",TRIM(참가자!B26)))</f>
        <v/>
      </c>
      <c r="C26" s="7" t="str">
        <f aca="false">IF(A26="","",IFERROR(INDEX($R$3:$R$102,MATCH(A26,$Q$3:$Q$102,0)),""))</f>
        <v/>
      </c>
      <c r="D26" s="7" t="str">
        <f aca="false">IF(A26="","",IF(C26="","결석",IF(IFERROR(INDEX($S$3:$S$102,MATCH(A26,$Q$3:$Q$102,0)),"")="비경쟁","비경쟁 응시","응시")))</f>
        <v/>
      </c>
      <c r="E26" s="7" t="str">
        <f aca="false">IF(A26="","",IF(COUNTIF($Q$3:$Q$102,A26)&gt;1,"중복! 확인",""))</f>
        <v/>
      </c>
      <c r="F26" s="7" t="str">
        <f aca="false">IF(A26="","",평가A!F26)</f>
        <v/>
      </c>
      <c r="G26" s="7" t="str">
        <f aca="false">IF(A26="","",IF(OR(C26="",F26=""),"",ROUND(C26-F26,1)))</f>
        <v/>
      </c>
      <c r="H26" s="7" t="str">
        <f aca="false">IF(A26="","",IF(C26="","",IF(C26&gt;=HIGH_CUT,PTS_HIGH,IF(F26="","",IF(G26&gt;=STEP2,PTS_HIGH,IF(G26&gt;=STEP1,PTS_MID,PTS_LOW))))))</f>
        <v/>
      </c>
      <c r="I26" s="7" t="str">
        <f aca="false">IF(A26="","",IF(AND(D26="응시",ISNUMBER(H26)),H26,""))</f>
        <v/>
      </c>
      <c r="J26" s="7" t="str">
        <f aca="false">IF(A26="","",IF(C26="","결석 - 기록 없음",IF(C26&gt;=HIGH_CUT,"높은 점수 유지",IF(F26="","기준점수 없음",IF(G26&gt;=STEP2,"향상",IF(G26&gt;=STEP1,"유지","이번에는 내려감"))))&amp;IF(D26="비경쟁 응시"," / 비경쟁: 팀 점수 제외","")))</f>
        <v/>
      </c>
      <c r="L26" s="8"/>
      <c r="M26" s="8"/>
      <c r="N26" s="8"/>
      <c r="O26" s="8"/>
      <c r="Q26" s="0" t="str">
        <f aca="false">IF(UPPER(TRIM(L26&amp;""))="","",IF(RIGHT(UPPER(TRIM(L26&amp;"")),2)="-N",TRIM(LEFT(UPPER(TRIM(L26&amp;"")),LEN(UPPER(TRIM(L26&amp;"")))-2)),UPPER(TRIM(L26&amp;""))))</f>
        <v/>
      </c>
      <c r="R26" s="0" t="str">
        <f aca="false">IF(Q26="","",IF(ISNUMBER(O26),ROUND(O26,1),IF(AND(ISNUMBER(M26),ISNUMBER(N26)),IF(N26&gt;0,ROUND(M26/N26*100,1),""),"")))</f>
        <v/>
      </c>
      <c r="S26" s="0" t="str">
        <f aca="false">IF(Q26="","",IF(RIGHT(UPPER(TRIM(L26&amp;"")),2)="-N","비경쟁",""))</f>
        <v/>
      </c>
      <c r="T26" s="0" t="str">
        <f aca="false">IF(Q26="","",IF(COUNTIF(참가자!$A$3:$A$52,Q26)=0,"명단에 없는 코드",""))</f>
        <v/>
      </c>
    </row>
    <row r="27" customFormat="false" ht="15" hidden="false" customHeight="false" outlineLevel="0" collapsed="false">
      <c r="A27" s="7" t="str">
        <f aca="false">IF(참가자!A27="","",UPPER(TRIM(참가자!A27)))</f>
        <v/>
      </c>
      <c r="B27" s="7" t="str">
        <f aca="false">IF(A27="","",IF(참가자!B27="","(팀 없음)",TRIM(참가자!B27)))</f>
        <v/>
      </c>
      <c r="C27" s="7" t="str">
        <f aca="false">IF(A27="","",IFERROR(INDEX($R$3:$R$102,MATCH(A27,$Q$3:$Q$102,0)),""))</f>
        <v/>
      </c>
      <c r="D27" s="7" t="str">
        <f aca="false">IF(A27="","",IF(C27="","결석",IF(IFERROR(INDEX($S$3:$S$102,MATCH(A27,$Q$3:$Q$102,0)),"")="비경쟁","비경쟁 응시","응시")))</f>
        <v/>
      </c>
      <c r="E27" s="7" t="str">
        <f aca="false">IF(A27="","",IF(COUNTIF($Q$3:$Q$102,A27)&gt;1,"중복! 확인",""))</f>
        <v/>
      </c>
      <c r="F27" s="7" t="str">
        <f aca="false">IF(A27="","",평가A!F27)</f>
        <v/>
      </c>
      <c r="G27" s="7" t="str">
        <f aca="false">IF(A27="","",IF(OR(C27="",F27=""),"",ROUND(C27-F27,1)))</f>
        <v/>
      </c>
      <c r="H27" s="7" t="str">
        <f aca="false">IF(A27="","",IF(C27="","",IF(C27&gt;=HIGH_CUT,PTS_HIGH,IF(F27="","",IF(G27&gt;=STEP2,PTS_HIGH,IF(G27&gt;=STEP1,PTS_MID,PTS_LOW))))))</f>
        <v/>
      </c>
      <c r="I27" s="7" t="str">
        <f aca="false">IF(A27="","",IF(AND(D27="응시",ISNUMBER(H27)),H27,""))</f>
        <v/>
      </c>
      <c r="J27" s="7" t="str">
        <f aca="false">IF(A27="","",IF(C27="","결석 - 기록 없음",IF(C27&gt;=HIGH_CUT,"높은 점수 유지",IF(F27="","기준점수 없음",IF(G27&gt;=STEP2,"향상",IF(G27&gt;=STEP1,"유지","이번에는 내려감"))))&amp;IF(D27="비경쟁 응시"," / 비경쟁: 팀 점수 제외","")))</f>
        <v/>
      </c>
      <c r="L27" s="8"/>
      <c r="M27" s="8"/>
      <c r="N27" s="8"/>
      <c r="O27" s="8"/>
      <c r="Q27" s="0" t="str">
        <f aca="false">IF(UPPER(TRIM(L27&amp;""))="","",IF(RIGHT(UPPER(TRIM(L27&amp;"")),2)="-N",TRIM(LEFT(UPPER(TRIM(L27&amp;"")),LEN(UPPER(TRIM(L27&amp;"")))-2)),UPPER(TRIM(L27&amp;""))))</f>
        <v/>
      </c>
      <c r="R27" s="0" t="str">
        <f aca="false">IF(Q27="","",IF(ISNUMBER(O27),ROUND(O27,1),IF(AND(ISNUMBER(M27),ISNUMBER(N27)),IF(N27&gt;0,ROUND(M27/N27*100,1),""),"")))</f>
        <v/>
      </c>
      <c r="S27" s="0" t="str">
        <f aca="false">IF(Q27="","",IF(RIGHT(UPPER(TRIM(L27&amp;"")),2)="-N","비경쟁",""))</f>
        <v/>
      </c>
      <c r="T27" s="0" t="str">
        <f aca="false">IF(Q27="","",IF(COUNTIF(참가자!$A$3:$A$52,Q27)=0,"명단에 없는 코드",""))</f>
        <v/>
      </c>
    </row>
    <row r="28" customFormat="false" ht="15" hidden="false" customHeight="false" outlineLevel="0" collapsed="false">
      <c r="A28" s="7" t="str">
        <f aca="false">IF(참가자!A28="","",UPPER(TRIM(참가자!A28)))</f>
        <v/>
      </c>
      <c r="B28" s="7" t="str">
        <f aca="false">IF(A28="","",IF(참가자!B28="","(팀 없음)",TRIM(참가자!B28)))</f>
        <v/>
      </c>
      <c r="C28" s="7" t="str">
        <f aca="false">IF(A28="","",IFERROR(INDEX($R$3:$R$102,MATCH(A28,$Q$3:$Q$102,0)),""))</f>
        <v/>
      </c>
      <c r="D28" s="7" t="str">
        <f aca="false">IF(A28="","",IF(C28="","결석",IF(IFERROR(INDEX($S$3:$S$102,MATCH(A28,$Q$3:$Q$102,0)),"")="비경쟁","비경쟁 응시","응시")))</f>
        <v/>
      </c>
      <c r="E28" s="7" t="str">
        <f aca="false">IF(A28="","",IF(COUNTIF($Q$3:$Q$102,A28)&gt;1,"중복! 확인",""))</f>
        <v/>
      </c>
      <c r="F28" s="7" t="str">
        <f aca="false">IF(A28="","",평가A!F28)</f>
        <v/>
      </c>
      <c r="G28" s="7" t="str">
        <f aca="false">IF(A28="","",IF(OR(C28="",F28=""),"",ROUND(C28-F28,1)))</f>
        <v/>
      </c>
      <c r="H28" s="7" t="str">
        <f aca="false">IF(A28="","",IF(C28="","",IF(C28&gt;=HIGH_CUT,PTS_HIGH,IF(F28="","",IF(G28&gt;=STEP2,PTS_HIGH,IF(G28&gt;=STEP1,PTS_MID,PTS_LOW))))))</f>
        <v/>
      </c>
      <c r="I28" s="7" t="str">
        <f aca="false">IF(A28="","",IF(AND(D28="응시",ISNUMBER(H28)),H28,""))</f>
        <v/>
      </c>
      <c r="J28" s="7" t="str">
        <f aca="false">IF(A28="","",IF(C28="","결석 - 기록 없음",IF(C28&gt;=HIGH_CUT,"높은 점수 유지",IF(F28="","기준점수 없음",IF(G28&gt;=STEP2,"향상",IF(G28&gt;=STEP1,"유지","이번에는 내려감"))))&amp;IF(D28="비경쟁 응시"," / 비경쟁: 팀 점수 제외","")))</f>
        <v/>
      </c>
      <c r="L28" s="8"/>
      <c r="M28" s="8"/>
      <c r="N28" s="8"/>
      <c r="O28" s="8"/>
      <c r="Q28" s="0" t="str">
        <f aca="false">IF(UPPER(TRIM(L28&amp;""))="","",IF(RIGHT(UPPER(TRIM(L28&amp;"")),2)="-N",TRIM(LEFT(UPPER(TRIM(L28&amp;"")),LEN(UPPER(TRIM(L28&amp;"")))-2)),UPPER(TRIM(L28&amp;""))))</f>
        <v/>
      </c>
      <c r="R28" s="0" t="str">
        <f aca="false">IF(Q28="","",IF(ISNUMBER(O28),ROUND(O28,1),IF(AND(ISNUMBER(M28),ISNUMBER(N28)),IF(N28&gt;0,ROUND(M28/N28*100,1),""),"")))</f>
        <v/>
      </c>
      <c r="S28" s="0" t="str">
        <f aca="false">IF(Q28="","",IF(RIGHT(UPPER(TRIM(L28&amp;"")),2)="-N","비경쟁",""))</f>
        <v/>
      </c>
      <c r="T28" s="0" t="str">
        <f aca="false">IF(Q28="","",IF(COUNTIF(참가자!$A$3:$A$52,Q28)=0,"명단에 없는 코드",""))</f>
        <v/>
      </c>
    </row>
    <row r="29" customFormat="false" ht="15" hidden="false" customHeight="false" outlineLevel="0" collapsed="false">
      <c r="A29" s="7" t="str">
        <f aca="false">IF(참가자!A29="","",UPPER(TRIM(참가자!A29)))</f>
        <v/>
      </c>
      <c r="B29" s="7" t="str">
        <f aca="false">IF(A29="","",IF(참가자!B29="","(팀 없음)",TRIM(참가자!B29)))</f>
        <v/>
      </c>
      <c r="C29" s="7" t="str">
        <f aca="false">IF(A29="","",IFERROR(INDEX($R$3:$R$102,MATCH(A29,$Q$3:$Q$102,0)),""))</f>
        <v/>
      </c>
      <c r="D29" s="7" t="str">
        <f aca="false">IF(A29="","",IF(C29="","결석",IF(IFERROR(INDEX($S$3:$S$102,MATCH(A29,$Q$3:$Q$102,0)),"")="비경쟁","비경쟁 응시","응시")))</f>
        <v/>
      </c>
      <c r="E29" s="7" t="str">
        <f aca="false">IF(A29="","",IF(COUNTIF($Q$3:$Q$102,A29)&gt;1,"중복! 확인",""))</f>
        <v/>
      </c>
      <c r="F29" s="7" t="str">
        <f aca="false">IF(A29="","",평가A!F29)</f>
        <v/>
      </c>
      <c r="G29" s="7" t="str">
        <f aca="false">IF(A29="","",IF(OR(C29="",F29=""),"",ROUND(C29-F29,1)))</f>
        <v/>
      </c>
      <c r="H29" s="7" t="str">
        <f aca="false">IF(A29="","",IF(C29="","",IF(C29&gt;=HIGH_CUT,PTS_HIGH,IF(F29="","",IF(G29&gt;=STEP2,PTS_HIGH,IF(G29&gt;=STEP1,PTS_MID,PTS_LOW))))))</f>
        <v/>
      </c>
      <c r="I29" s="7" t="str">
        <f aca="false">IF(A29="","",IF(AND(D29="응시",ISNUMBER(H29)),H29,""))</f>
        <v/>
      </c>
      <c r="J29" s="7" t="str">
        <f aca="false">IF(A29="","",IF(C29="","결석 - 기록 없음",IF(C29&gt;=HIGH_CUT,"높은 점수 유지",IF(F29="","기준점수 없음",IF(G29&gt;=STEP2,"향상",IF(G29&gt;=STEP1,"유지","이번에는 내려감"))))&amp;IF(D29="비경쟁 응시"," / 비경쟁: 팀 점수 제외","")))</f>
        <v/>
      </c>
      <c r="L29" s="8"/>
      <c r="M29" s="8"/>
      <c r="N29" s="8"/>
      <c r="O29" s="8"/>
      <c r="Q29" s="0" t="str">
        <f aca="false">IF(UPPER(TRIM(L29&amp;""))="","",IF(RIGHT(UPPER(TRIM(L29&amp;"")),2)="-N",TRIM(LEFT(UPPER(TRIM(L29&amp;"")),LEN(UPPER(TRIM(L29&amp;"")))-2)),UPPER(TRIM(L29&amp;""))))</f>
        <v/>
      </c>
      <c r="R29" s="0" t="str">
        <f aca="false">IF(Q29="","",IF(ISNUMBER(O29),ROUND(O29,1),IF(AND(ISNUMBER(M29),ISNUMBER(N29)),IF(N29&gt;0,ROUND(M29/N29*100,1),""),"")))</f>
        <v/>
      </c>
      <c r="S29" s="0" t="str">
        <f aca="false">IF(Q29="","",IF(RIGHT(UPPER(TRIM(L29&amp;"")),2)="-N","비경쟁",""))</f>
        <v/>
      </c>
      <c r="T29" s="0" t="str">
        <f aca="false">IF(Q29="","",IF(COUNTIF(참가자!$A$3:$A$52,Q29)=0,"명단에 없는 코드",""))</f>
        <v/>
      </c>
    </row>
    <row r="30" customFormat="false" ht="15" hidden="false" customHeight="false" outlineLevel="0" collapsed="false">
      <c r="A30" s="7" t="str">
        <f aca="false">IF(참가자!A30="","",UPPER(TRIM(참가자!A30)))</f>
        <v/>
      </c>
      <c r="B30" s="7" t="str">
        <f aca="false">IF(A30="","",IF(참가자!B30="","(팀 없음)",TRIM(참가자!B30)))</f>
        <v/>
      </c>
      <c r="C30" s="7" t="str">
        <f aca="false">IF(A30="","",IFERROR(INDEX($R$3:$R$102,MATCH(A30,$Q$3:$Q$102,0)),""))</f>
        <v/>
      </c>
      <c r="D30" s="7" t="str">
        <f aca="false">IF(A30="","",IF(C30="","결석",IF(IFERROR(INDEX($S$3:$S$102,MATCH(A30,$Q$3:$Q$102,0)),"")="비경쟁","비경쟁 응시","응시")))</f>
        <v/>
      </c>
      <c r="E30" s="7" t="str">
        <f aca="false">IF(A30="","",IF(COUNTIF($Q$3:$Q$102,A30)&gt;1,"중복! 확인",""))</f>
        <v/>
      </c>
      <c r="F30" s="7" t="str">
        <f aca="false">IF(A30="","",평가A!F30)</f>
        <v/>
      </c>
      <c r="G30" s="7" t="str">
        <f aca="false">IF(A30="","",IF(OR(C30="",F30=""),"",ROUND(C30-F30,1)))</f>
        <v/>
      </c>
      <c r="H30" s="7" t="str">
        <f aca="false">IF(A30="","",IF(C30="","",IF(C30&gt;=HIGH_CUT,PTS_HIGH,IF(F30="","",IF(G30&gt;=STEP2,PTS_HIGH,IF(G30&gt;=STEP1,PTS_MID,PTS_LOW))))))</f>
        <v/>
      </c>
      <c r="I30" s="7" t="str">
        <f aca="false">IF(A30="","",IF(AND(D30="응시",ISNUMBER(H30)),H30,""))</f>
        <v/>
      </c>
      <c r="J30" s="7" t="str">
        <f aca="false">IF(A30="","",IF(C30="","결석 - 기록 없음",IF(C30&gt;=HIGH_CUT,"높은 점수 유지",IF(F30="","기준점수 없음",IF(G30&gt;=STEP2,"향상",IF(G30&gt;=STEP1,"유지","이번에는 내려감"))))&amp;IF(D30="비경쟁 응시"," / 비경쟁: 팀 점수 제외","")))</f>
        <v/>
      </c>
      <c r="L30" s="8"/>
      <c r="M30" s="8"/>
      <c r="N30" s="8"/>
      <c r="O30" s="8"/>
      <c r="Q30" s="0" t="str">
        <f aca="false">IF(UPPER(TRIM(L30&amp;""))="","",IF(RIGHT(UPPER(TRIM(L30&amp;"")),2)="-N",TRIM(LEFT(UPPER(TRIM(L30&amp;"")),LEN(UPPER(TRIM(L30&amp;"")))-2)),UPPER(TRIM(L30&amp;""))))</f>
        <v/>
      </c>
      <c r="R30" s="0" t="str">
        <f aca="false">IF(Q30="","",IF(ISNUMBER(O30),ROUND(O30,1),IF(AND(ISNUMBER(M30),ISNUMBER(N30)),IF(N30&gt;0,ROUND(M30/N30*100,1),""),"")))</f>
        <v/>
      </c>
      <c r="S30" s="0" t="str">
        <f aca="false">IF(Q30="","",IF(RIGHT(UPPER(TRIM(L30&amp;"")),2)="-N","비경쟁",""))</f>
        <v/>
      </c>
      <c r="T30" s="0" t="str">
        <f aca="false">IF(Q30="","",IF(COUNTIF(참가자!$A$3:$A$52,Q30)=0,"명단에 없는 코드",""))</f>
        <v/>
      </c>
    </row>
    <row r="31" customFormat="false" ht="15" hidden="false" customHeight="false" outlineLevel="0" collapsed="false">
      <c r="A31" s="7" t="str">
        <f aca="false">IF(참가자!A31="","",UPPER(TRIM(참가자!A31)))</f>
        <v/>
      </c>
      <c r="B31" s="7" t="str">
        <f aca="false">IF(A31="","",IF(참가자!B31="","(팀 없음)",TRIM(참가자!B31)))</f>
        <v/>
      </c>
      <c r="C31" s="7" t="str">
        <f aca="false">IF(A31="","",IFERROR(INDEX($R$3:$R$102,MATCH(A31,$Q$3:$Q$102,0)),""))</f>
        <v/>
      </c>
      <c r="D31" s="7" t="str">
        <f aca="false">IF(A31="","",IF(C31="","결석",IF(IFERROR(INDEX($S$3:$S$102,MATCH(A31,$Q$3:$Q$102,0)),"")="비경쟁","비경쟁 응시","응시")))</f>
        <v/>
      </c>
      <c r="E31" s="7" t="str">
        <f aca="false">IF(A31="","",IF(COUNTIF($Q$3:$Q$102,A31)&gt;1,"중복! 확인",""))</f>
        <v/>
      </c>
      <c r="F31" s="7" t="str">
        <f aca="false">IF(A31="","",평가A!F31)</f>
        <v/>
      </c>
      <c r="G31" s="7" t="str">
        <f aca="false">IF(A31="","",IF(OR(C31="",F31=""),"",ROUND(C31-F31,1)))</f>
        <v/>
      </c>
      <c r="H31" s="7" t="str">
        <f aca="false">IF(A31="","",IF(C31="","",IF(C31&gt;=HIGH_CUT,PTS_HIGH,IF(F31="","",IF(G31&gt;=STEP2,PTS_HIGH,IF(G31&gt;=STEP1,PTS_MID,PTS_LOW))))))</f>
        <v/>
      </c>
      <c r="I31" s="7" t="str">
        <f aca="false">IF(A31="","",IF(AND(D31="응시",ISNUMBER(H31)),H31,""))</f>
        <v/>
      </c>
      <c r="J31" s="7" t="str">
        <f aca="false">IF(A31="","",IF(C31="","결석 - 기록 없음",IF(C31&gt;=HIGH_CUT,"높은 점수 유지",IF(F31="","기준점수 없음",IF(G31&gt;=STEP2,"향상",IF(G31&gt;=STEP1,"유지","이번에는 내려감"))))&amp;IF(D31="비경쟁 응시"," / 비경쟁: 팀 점수 제외","")))</f>
        <v/>
      </c>
      <c r="L31" s="8"/>
      <c r="M31" s="8"/>
      <c r="N31" s="8"/>
      <c r="O31" s="8"/>
      <c r="Q31" s="0" t="str">
        <f aca="false">IF(UPPER(TRIM(L31&amp;""))="","",IF(RIGHT(UPPER(TRIM(L31&amp;"")),2)="-N",TRIM(LEFT(UPPER(TRIM(L31&amp;"")),LEN(UPPER(TRIM(L31&amp;"")))-2)),UPPER(TRIM(L31&amp;""))))</f>
        <v/>
      </c>
      <c r="R31" s="0" t="str">
        <f aca="false">IF(Q31="","",IF(ISNUMBER(O31),ROUND(O31,1),IF(AND(ISNUMBER(M31),ISNUMBER(N31)),IF(N31&gt;0,ROUND(M31/N31*100,1),""),"")))</f>
        <v/>
      </c>
      <c r="S31" s="0" t="str">
        <f aca="false">IF(Q31="","",IF(RIGHT(UPPER(TRIM(L31&amp;"")),2)="-N","비경쟁",""))</f>
        <v/>
      </c>
      <c r="T31" s="0" t="str">
        <f aca="false">IF(Q31="","",IF(COUNTIF(참가자!$A$3:$A$52,Q31)=0,"명단에 없는 코드",""))</f>
        <v/>
      </c>
    </row>
    <row r="32" customFormat="false" ht="15" hidden="false" customHeight="false" outlineLevel="0" collapsed="false">
      <c r="A32" s="7" t="str">
        <f aca="false">IF(참가자!A32="","",UPPER(TRIM(참가자!A32)))</f>
        <v/>
      </c>
      <c r="B32" s="7" t="str">
        <f aca="false">IF(A32="","",IF(참가자!B32="","(팀 없음)",TRIM(참가자!B32)))</f>
        <v/>
      </c>
      <c r="C32" s="7" t="str">
        <f aca="false">IF(A32="","",IFERROR(INDEX($R$3:$R$102,MATCH(A32,$Q$3:$Q$102,0)),""))</f>
        <v/>
      </c>
      <c r="D32" s="7" t="str">
        <f aca="false">IF(A32="","",IF(C32="","결석",IF(IFERROR(INDEX($S$3:$S$102,MATCH(A32,$Q$3:$Q$102,0)),"")="비경쟁","비경쟁 응시","응시")))</f>
        <v/>
      </c>
      <c r="E32" s="7" t="str">
        <f aca="false">IF(A32="","",IF(COUNTIF($Q$3:$Q$102,A32)&gt;1,"중복! 확인",""))</f>
        <v/>
      </c>
      <c r="F32" s="7" t="str">
        <f aca="false">IF(A32="","",평가A!F32)</f>
        <v/>
      </c>
      <c r="G32" s="7" t="str">
        <f aca="false">IF(A32="","",IF(OR(C32="",F32=""),"",ROUND(C32-F32,1)))</f>
        <v/>
      </c>
      <c r="H32" s="7" t="str">
        <f aca="false">IF(A32="","",IF(C32="","",IF(C32&gt;=HIGH_CUT,PTS_HIGH,IF(F32="","",IF(G32&gt;=STEP2,PTS_HIGH,IF(G32&gt;=STEP1,PTS_MID,PTS_LOW))))))</f>
        <v/>
      </c>
      <c r="I32" s="7" t="str">
        <f aca="false">IF(A32="","",IF(AND(D32="응시",ISNUMBER(H32)),H32,""))</f>
        <v/>
      </c>
      <c r="J32" s="7" t="str">
        <f aca="false">IF(A32="","",IF(C32="","결석 - 기록 없음",IF(C32&gt;=HIGH_CUT,"높은 점수 유지",IF(F32="","기준점수 없음",IF(G32&gt;=STEP2,"향상",IF(G32&gt;=STEP1,"유지","이번에는 내려감"))))&amp;IF(D32="비경쟁 응시"," / 비경쟁: 팀 점수 제외","")))</f>
        <v/>
      </c>
      <c r="L32" s="8"/>
      <c r="M32" s="8"/>
      <c r="N32" s="8"/>
      <c r="O32" s="8"/>
      <c r="Q32" s="0" t="str">
        <f aca="false">IF(UPPER(TRIM(L32&amp;""))="","",IF(RIGHT(UPPER(TRIM(L32&amp;"")),2)="-N",TRIM(LEFT(UPPER(TRIM(L32&amp;"")),LEN(UPPER(TRIM(L32&amp;"")))-2)),UPPER(TRIM(L32&amp;""))))</f>
        <v/>
      </c>
      <c r="R32" s="0" t="str">
        <f aca="false">IF(Q32="","",IF(ISNUMBER(O32),ROUND(O32,1),IF(AND(ISNUMBER(M32),ISNUMBER(N32)),IF(N32&gt;0,ROUND(M32/N32*100,1),""),"")))</f>
        <v/>
      </c>
      <c r="S32" s="0" t="str">
        <f aca="false">IF(Q32="","",IF(RIGHT(UPPER(TRIM(L32&amp;"")),2)="-N","비경쟁",""))</f>
        <v/>
      </c>
      <c r="T32" s="0" t="str">
        <f aca="false">IF(Q32="","",IF(COUNTIF(참가자!$A$3:$A$52,Q32)=0,"명단에 없는 코드",""))</f>
        <v/>
      </c>
    </row>
    <row r="33" customFormat="false" ht="15" hidden="false" customHeight="false" outlineLevel="0" collapsed="false">
      <c r="A33" s="7" t="str">
        <f aca="false">IF(참가자!A33="","",UPPER(TRIM(참가자!A33)))</f>
        <v/>
      </c>
      <c r="B33" s="7" t="str">
        <f aca="false">IF(A33="","",IF(참가자!B33="","(팀 없음)",TRIM(참가자!B33)))</f>
        <v/>
      </c>
      <c r="C33" s="7" t="str">
        <f aca="false">IF(A33="","",IFERROR(INDEX($R$3:$R$102,MATCH(A33,$Q$3:$Q$102,0)),""))</f>
        <v/>
      </c>
      <c r="D33" s="7" t="str">
        <f aca="false">IF(A33="","",IF(C33="","결석",IF(IFERROR(INDEX($S$3:$S$102,MATCH(A33,$Q$3:$Q$102,0)),"")="비경쟁","비경쟁 응시","응시")))</f>
        <v/>
      </c>
      <c r="E33" s="7" t="str">
        <f aca="false">IF(A33="","",IF(COUNTIF($Q$3:$Q$102,A33)&gt;1,"중복! 확인",""))</f>
        <v/>
      </c>
      <c r="F33" s="7" t="str">
        <f aca="false">IF(A33="","",평가A!F33)</f>
        <v/>
      </c>
      <c r="G33" s="7" t="str">
        <f aca="false">IF(A33="","",IF(OR(C33="",F33=""),"",ROUND(C33-F33,1)))</f>
        <v/>
      </c>
      <c r="H33" s="7" t="str">
        <f aca="false">IF(A33="","",IF(C33="","",IF(C33&gt;=HIGH_CUT,PTS_HIGH,IF(F33="","",IF(G33&gt;=STEP2,PTS_HIGH,IF(G33&gt;=STEP1,PTS_MID,PTS_LOW))))))</f>
        <v/>
      </c>
      <c r="I33" s="7" t="str">
        <f aca="false">IF(A33="","",IF(AND(D33="응시",ISNUMBER(H33)),H33,""))</f>
        <v/>
      </c>
      <c r="J33" s="7" t="str">
        <f aca="false">IF(A33="","",IF(C33="","결석 - 기록 없음",IF(C33&gt;=HIGH_CUT,"높은 점수 유지",IF(F33="","기준점수 없음",IF(G33&gt;=STEP2,"향상",IF(G33&gt;=STEP1,"유지","이번에는 내려감"))))&amp;IF(D33="비경쟁 응시"," / 비경쟁: 팀 점수 제외","")))</f>
        <v/>
      </c>
      <c r="L33" s="8"/>
      <c r="M33" s="8"/>
      <c r="N33" s="8"/>
      <c r="O33" s="8"/>
      <c r="Q33" s="0" t="str">
        <f aca="false">IF(UPPER(TRIM(L33&amp;""))="","",IF(RIGHT(UPPER(TRIM(L33&amp;"")),2)="-N",TRIM(LEFT(UPPER(TRIM(L33&amp;"")),LEN(UPPER(TRIM(L33&amp;"")))-2)),UPPER(TRIM(L33&amp;""))))</f>
        <v/>
      </c>
      <c r="R33" s="0" t="str">
        <f aca="false">IF(Q33="","",IF(ISNUMBER(O33),ROUND(O33,1),IF(AND(ISNUMBER(M33),ISNUMBER(N33)),IF(N33&gt;0,ROUND(M33/N33*100,1),""),"")))</f>
        <v/>
      </c>
      <c r="S33" s="0" t="str">
        <f aca="false">IF(Q33="","",IF(RIGHT(UPPER(TRIM(L33&amp;"")),2)="-N","비경쟁",""))</f>
        <v/>
      </c>
      <c r="T33" s="0" t="str">
        <f aca="false">IF(Q33="","",IF(COUNTIF(참가자!$A$3:$A$52,Q33)=0,"명단에 없는 코드",""))</f>
        <v/>
      </c>
    </row>
    <row r="34" customFormat="false" ht="15" hidden="false" customHeight="false" outlineLevel="0" collapsed="false">
      <c r="A34" s="7" t="str">
        <f aca="false">IF(참가자!A34="","",UPPER(TRIM(참가자!A34)))</f>
        <v/>
      </c>
      <c r="B34" s="7" t="str">
        <f aca="false">IF(A34="","",IF(참가자!B34="","(팀 없음)",TRIM(참가자!B34)))</f>
        <v/>
      </c>
      <c r="C34" s="7" t="str">
        <f aca="false">IF(A34="","",IFERROR(INDEX($R$3:$R$102,MATCH(A34,$Q$3:$Q$102,0)),""))</f>
        <v/>
      </c>
      <c r="D34" s="7" t="str">
        <f aca="false">IF(A34="","",IF(C34="","결석",IF(IFERROR(INDEX($S$3:$S$102,MATCH(A34,$Q$3:$Q$102,0)),"")="비경쟁","비경쟁 응시","응시")))</f>
        <v/>
      </c>
      <c r="E34" s="7" t="str">
        <f aca="false">IF(A34="","",IF(COUNTIF($Q$3:$Q$102,A34)&gt;1,"중복! 확인",""))</f>
        <v/>
      </c>
      <c r="F34" s="7" t="str">
        <f aca="false">IF(A34="","",평가A!F34)</f>
        <v/>
      </c>
      <c r="G34" s="7" t="str">
        <f aca="false">IF(A34="","",IF(OR(C34="",F34=""),"",ROUND(C34-F34,1)))</f>
        <v/>
      </c>
      <c r="H34" s="7" t="str">
        <f aca="false">IF(A34="","",IF(C34="","",IF(C34&gt;=HIGH_CUT,PTS_HIGH,IF(F34="","",IF(G34&gt;=STEP2,PTS_HIGH,IF(G34&gt;=STEP1,PTS_MID,PTS_LOW))))))</f>
        <v/>
      </c>
      <c r="I34" s="7" t="str">
        <f aca="false">IF(A34="","",IF(AND(D34="응시",ISNUMBER(H34)),H34,""))</f>
        <v/>
      </c>
      <c r="J34" s="7" t="str">
        <f aca="false">IF(A34="","",IF(C34="","결석 - 기록 없음",IF(C34&gt;=HIGH_CUT,"높은 점수 유지",IF(F34="","기준점수 없음",IF(G34&gt;=STEP2,"향상",IF(G34&gt;=STEP1,"유지","이번에는 내려감"))))&amp;IF(D34="비경쟁 응시"," / 비경쟁: 팀 점수 제외","")))</f>
        <v/>
      </c>
      <c r="L34" s="8"/>
      <c r="M34" s="8"/>
      <c r="N34" s="8"/>
      <c r="O34" s="8"/>
      <c r="Q34" s="0" t="str">
        <f aca="false">IF(UPPER(TRIM(L34&amp;""))="","",IF(RIGHT(UPPER(TRIM(L34&amp;"")),2)="-N",TRIM(LEFT(UPPER(TRIM(L34&amp;"")),LEN(UPPER(TRIM(L34&amp;"")))-2)),UPPER(TRIM(L34&amp;""))))</f>
        <v/>
      </c>
      <c r="R34" s="0" t="str">
        <f aca="false">IF(Q34="","",IF(ISNUMBER(O34),ROUND(O34,1),IF(AND(ISNUMBER(M34),ISNUMBER(N34)),IF(N34&gt;0,ROUND(M34/N34*100,1),""),"")))</f>
        <v/>
      </c>
      <c r="S34" s="0" t="str">
        <f aca="false">IF(Q34="","",IF(RIGHT(UPPER(TRIM(L34&amp;"")),2)="-N","비경쟁",""))</f>
        <v/>
      </c>
      <c r="T34" s="0" t="str">
        <f aca="false">IF(Q34="","",IF(COUNTIF(참가자!$A$3:$A$52,Q34)=0,"명단에 없는 코드",""))</f>
        <v/>
      </c>
    </row>
    <row r="35" customFormat="false" ht="15" hidden="false" customHeight="false" outlineLevel="0" collapsed="false">
      <c r="A35" s="7" t="str">
        <f aca="false">IF(참가자!A35="","",UPPER(TRIM(참가자!A35)))</f>
        <v/>
      </c>
      <c r="B35" s="7" t="str">
        <f aca="false">IF(A35="","",IF(참가자!B35="","(팀 없음)",TRIM(참가자!B35)))</f>
        <v/>
      </c>
      <c r="C35" s="7" t="str">
        <f aca="false">IF(A35="","",IFERROR(INDEX($R$3:$R$102,MATCH(A35,$Q$3:$Q$102,0)),""))</f>
        <v/>
      </c>
      <c r="D35" s="7" t="str">
        <f aca="false">IF(A35="","",IF(C35="","결석",IF(IFERROR(INDEX($S$3:$S$102,MATCH(A35,$Q$3:$Q$102,0)),"")="비경쟁","비경쟁 응시","응시")))</f>
        <v/>
      </c>
      <c r="E35" s="7" t="str">
        <f aca="false">IF(A35="","",IF(COUNTIF($Q$3:$Q$102,A35)&gt;1,"중복! 확인",""))</f>
        <v/>
      </c>
      <c r="F35" s="7" t="str">
        <f aca="false">IF(A35="","",평가A!F35)</f>
        <v/>
      </c>
      <c r="G35" s="7" t="str">
        <f aca="false">IF(A35="","",IF(OR(C35="",F35=""),"",ROUND(C35-F35,1)))</f>
        <v/>
      </c>
      <c r="H35" s="7" t="str">
        <f aca="false">IF(A35="","",IF(C35="","",IF(C35&gt;=HIGH_CUT,PTS_HIGH,IF(F35="","",IF(G35&gt;=STEP2,PTS_HIGH,IF(G35&gt;=STEP1,PTS_MID,PTS_LOW))))))</f>
        <v/>
      </c>
      <c r="I35" s="7" t="str">
        <f aca="false">IF(A35="","",IF(AND(D35="응시",ISNUMBER(H35)),H35,""))</f>
        <v/>
      </c>
      <c r="J35" s="7" t="str">
        <f aca="false">IF(A35="","",IF(C35="","결석 - 기록 없음",IF(C35&gt;=HIGH_CUT,"높은 점수 유지",IF(F35="","기준점수 없음",IF(G35&gt;=STEP2,"향상",IF(G35&gt;=STEP1,"유지","이번에는 내려감"))))&amp;IF(D35="비경쟁 응시"," / 비경쟁: 팀 점수 제외","")))</f>
        <v/>
      </c>
      <c r="L35" s="8"/>
      <c r="M35" s="8"/>
      <c r="N35" s="8"/>
      <c r="O35" s="8"/>
      <c r="Q35" s="0" t="str">
        <f aca="false">IF(UPPER(TRIM(L35&amp;""))="","",IF(RIGHT(UPPER(TRIM(L35&amp;"")),2)="-N",TRIM(LEFT(UPPER(TRIM(L35&amp;"")),LEN(UPPER(TRIM(L35&amp;"")))-2)),UPPER(TRIM(L35&amp;""))))</f>
        <v/>
      </c>
      <c r="R35" s="0" t="str">
        <f aca="false">IF(Q35="","",IF(ISNUMBER(O35),ROUND(O35,1),IF(AND(ISNUMBER(M35),ISNUMBER(N35)),IF(N35&gt;0,ROUND(M35/N35*100,1),""),"")))</f>
        <v/>
      </c>
      <c r="S35" s="0" t="str">
        <f aca="false">IF(Q35="","",IF(RIGHT(UPPER(TRIM(L35&amp;"")),2)="-N","비경쟁",""))</f>
        <v/>
      </c>
      <c r="T35" s="0" t="str">
        <f aca="false">IF(Q35="","",IF(COUNTIF(참가자!$A$3:$A$52,Q35)=0,"명단에 없는 코드",""))</f>
        <v/>
      </c>
    </row>
    <row r="36" customFormat="false" ht="15" hidden="false" customHeight="false" outlineLevel="0" collapsed="false">
      <c r="A36" s="7" t="str">
        <f aca="false">IF(참가자!A36="","",UPPER(TRIM(참가자!A36)))</f>
        <v/>
      </c>
      <c r="B36" s="7" t="str">
        <f aca="false">IF(A36="","",IF(참가자!B36="","(팀 없음)",TRIM(참가자!B36)))</f>
        <v/>
      </c>
      <c r="C36" s="7" t="str">
        <f aca="false">IF(A36="","",IFERROR(INDEX($R$3:$R$102,MATCH(A36,$Q$3:$Q$102,0)),""))</f>
        <v/>
      </c>
      <c r="D36" s="7" t="str">
        <f aca="false">IF(A36="","",IF(C36="","결석",IF(IFERROR(INDEX($S$3:$S$102,MATCH(A36,$Q$3:$Q$102,0)),"")="비경쟁","비경쟁 응시","응시")))</f>
        <v/>
      </c>
      <c r="E36" s="7" t="str">
        <f aca="false">IF(A36="","",IF(COUNTIF($Q$3:$Q$102,A36)&gt;1,"중복! 확인",""))</f>
        <v/>
      </c>
      <c r="F36" s="7" t="str">
        <f aca="false">IF(A36="","",평가A!F36)</f>
        <v/>
      </c>
      <c r="G36" s="7" t="str">
        <f aca="false">IF(A36="","",IF(OR(C36="",F36=""),"",ROUND(C36-F36,1)))</f>
        <v/>
      </c>
      <c r="H36" s="7" t="str">
        <f aca="false">IF(A36="","",IF(C36="","",IF(C36&gt;=HIGH_CUT,PTS_HIGH,IF(F36="","",IF(G36&gt;=STEP2,PTS_HIGH,IF(G36&gt;=STEP1,PTS_MID,PTS_LOW))))))</f>
        <v/>
      </c>
      <c r="I36" s="7" t="str">
        <f aca="false">IF(A36="","",IF(AND(D36="응시",ISNUMBER(H36)),H36,""))</f>
        <v/>
      </c>
      <c r="J36" s="7" t="str">
        <f aca="false">IF(A36="","",IF(C36="","결석 - 기록 없음",IF(C36&gt;=HIGH_CUT,"높은 점수 유지",IF(F36="","기준점수 없음",IF(G36&gt;=STEP2,"향상",IF(G36&gt;=STEP1,"유지","이번에는 내려감"))))&amp;IF(D36="비경쟁 응시"," / 비경쟁: 팀 점수 제외","")))</f>
        <v/>
      </c>
      <c r="L36" s="8"/>
      <c r="M36" s="8"/>
      <c r="N36" s="8"/>
      <c r="O36" s="8"/>
      <c r="Q36" s="0" t="str">
        <f aca="false">IF(UPPER(TRIM(L36&amp;""))="","",IF(RIGHT(UPPER(TRIM(L36&amp;"")),2)="-N",TRIM(LEFT(UPPER(TRIM(L36&amp;"")),LEN(UPPER(TRIM(L36&amp;"")))-2)),UPPER(TRIM(L36&amp;""))))</f>
        <v/>
      </c>
      <c r="R36" s="0" t="str">
        <f aca="false">IF(Q36="","",IF(ISNUMBER(O36),ROUND(O36,1),IF(AND(ISNUMBER(M36),ISNUMBER(N36)),IF(N36&gt;0,ROUND(M36/N36*100,1),""),"")))</f>
        <v/>
      </c>
      <c r="S36" s="0" t="str">
        <f aca="false">IF(Q36="","",IF(RIGHT(UPPER(TRIM(L36&amp;"")),2)="-N","비경쟁",""))</f>
        <v/>
      </c>
      <c r="T36" s="0" t="str">
        <f aca="false">IF(Q36="","",IF(COUNTIF(참가자!$A$3:$A$52,Q36)=0,"명단에 없는 코드",""))</f>
        <v/>
      </c>
    </row>
    <row r="37" customFormat="false" ht="15" hidden="false" customHeight="false" outlineLevel="0" collapsed="false">
      <c r="A37" s="7" t="str">
        <f aca="false">IF(참가자!A37="","",UPPER(TRIM(참가자!A37)))</f>
        <v/>
      </c>
      <c r="B37" s="7" t="str">
        <f aca="false">IF(A37="","",IF(참가자!B37="","(팀 없음)",TRIM(참가자!B37)))</f>
        <v/>
      </c>
      <c r="C37" s="7" t="str">
        <f aca="false">IF(A37="","",IFERROR(INDEX($R$3:$R$102,MATCH(A37,$Q$3:$Q$102,0)),""))</f>
        <v/>
      </c>
      <c r="D37" s="7" t="str">
        <f aca="false">IF(A37="","",IF(C37="","결석",IF(IFERROR(INDEX($S$3:$S$102,MATCH(A37,$Q$3:$Q$102,0)),"")="비경쟁","비경쟁 응시","응시")))</f>
        <v/>
      </c>
      <c r="E37" s="7" t="str">
        <f aca="false">IF(A37="","",IF(COUNTIF($Q$3:$Q$102,A37)&gt;1,"중복! 확인",""))</f>
        <v/>
      </c>
      <c r="F37" s="7" t="str">
        <f aca="false">IF(A37="","",평가A!F37)</f>
        <v/>
      </c>
      <c r="G37" s="7" t="str">
        <f aca="false">IF(A37="","",IF(OR(C37="",F37=""),"",ROUND(C37-F37,1)))</f>
        <v/>
      </c>
      <c r="H37" s="7" t="str">
        <f aca="false">IF(A37="","",IF(C37="","",IF(C37&gt;=HIGH_CUT,PTS_HIGH,IF(F37="","",IF(G37&gt;=STEP2,PTS_HIGH,IF(G37&gt;=STEP1,PTS_MID,PTS_LOW))))))</f>
        <v/>
      </c>
      <c r="I37" s="7" t="str">
        <f aca="false">IF(A37="","",IF(AND(D37="응시",ISNUMBER(H37)),H37,""))</f>
        <v/>
      </c>
      <c r="J37" s="7" t="str">
        <f aca="false">IF(A37="","",IF(C37="","결석 - 기록 없음",IF(C37&gt;=HIGH_CUT,"높은 점수 유지",IF(F37="","기준점수 없음",IF(G37&gt;=STEP2,"향상",IF(G37&gt;=STEP1,"유지","이번에는 내려감"))))&amp;IF(D37="비경쟁 응시"," / 비경쟁: 팀 점수 제외","")))</f>
        <v/>
      </c>
      <c r="L37" s="8"/>
      <c r="M37" s="8"/>
      <c r="N37" s="8"/>
      <c r="O37" s="8"/>
      <c r="Q37" s="0" t="str">
        <f aca="false">IF(UPPER(TRIM(L37&amp;""))="","",IF(RIGHT(UPPER(TRIM(L37&amp;"")),2)="-N",TRIM(LEFT(UPPER(TRIM(L37&amp;"")),LEN(UPPER(TRIM(L37&amp;"")))-2)),UPPER(TRIM(L37&amp;""))))</f>
        <v/>
      </c>
      <c r="R37" s="0" t="str">
        <f aca="false">IF(Q37="","",IF(ISNUMBER(O37),ROUND(O37,1),IF(AND(ISNUMBER(M37),ISNUMBER(N37)),IF(N37&gt;0,ROUND(M37/N37*100,1),""),"")))</f>
        <v/>
      </c>
      <c r="S37" s="0" t="str">
        <f aca="false">IF(Q37="","",IF(RIGHT(UPPER(TRIM(L37&amp;"")),2)="-N","비경쟁",""))</f>
        <v/>
      </c>
      <c r="T37" s="0" t="str">
        <f aca="false">IF(Q37="","",IF(COUNTIF(참가자!$A$3:$A$52,Q37)=0,"명단에 없는 코드",""))</f>
        <v/>
      </c>
    </row>
    <row r="38" customFormat="false" ht="15" hidden="false" customHeight="false" outlineLevel="0" collapsed="false">
      <c r="A38" s="7" t="str">
        <f aca="false">IF(참가자!A38="","",UPPER(TRIM(참가자!A38)))</f>
        <v/>
      </c>
      <c r="B38" s="7" t="str">
        <f aca="false">IF(A38="","",IF(참가자!B38="","(팀 없음)",TRIM(참가자!B38)))</f>
        <v/>
      </c>
      <c r="C38" s="7" t="str">
        <f aca="false">IF(A38="","",IFERROR(INDEX($R$3:$R$102,MATCH(A38,$Q$3:$Q$102,0)),""))</f>
        <v/>
      </c>
      <c r="D38" s="7" t="str">
        <f aca="false">IF(A38="","",IF(C38="","결석",IF(IFERROR(INDEX($S$3:$S$102,MATCH(A38,$Q$3:$Q$102,0)),"")="비경쟁","비경쟁 응시","응시")))</f>
        <v/>
      </c>
      <c r="E38" s="7" t="str">
        <f aca="false">IF(A38="","",IF(COUNTIF($Q$3:$Q$102,A38)&gt;1,"중복! 확인",""))</f>
        <v/>
      </c>
      <c r="F38" s="7" t="str">
        <f aca="false">IF(A38="","",평가A!F38)</f>
        <v/>
      </c>
      <c r="G38" s="7" t="str">
        <f aca="false">IF(A38="","",IF(OR(C38="",F38=""),"",ROUND(C38-F38,1)))</f>
        <v/>
      </c>
      <c r="H38" s="7" t="str">
        <f aca="false">IF(A38="","",IF(C38="","",IF(C38&gt;=HIGH_CUT,PTS_HIGH,IF(F38="","",IF(G38&gt;=STEP2,PTS_HIGH,IF(G38&gt;=STEP1,PTS_MID,PTS_LOW))))))</f>
        <v/>
      </c>
      <c r="I38" s="7" t="str">
        <f aca="false">IF(A38="","",IF(AND(D38="응시",ISNUMBER(H38)),H38,""))</f>
        <v/>
      </c>
      <c r="J38" s="7" t="str">
        <f aca="false">IF(A38="","",IF(C38="","결석 - 기록 없음",IF(C38&gt;=HIGH_CUT,"높은 점수 유지",IF(F38="","기준점수 없음",IF(G38&gt;=STEP2,"향상",IF(G38&gt;=STEP1,"유지","이번에는 내려감"))))&amp;IF(D38="비경쟁 응시"," / 비경쟁: 팀 점수 제외","")))</f>
        <v/>
      </c>
      <c r="L38" s="8"/>
      <c r="M38" s="8"/>
      <c r="N38" s="8"/>
      <c r="O38" s="8"/>
      <c r="Q38" s="0" t="str">
        <f aca="false">IF(UPPER(TRIM(L38&amp;""))="","",IF(RIGHT(UPPER(TRIM(L38&amp;"")),2)="-N",TRIM(LEFT(UPPER(TRIM(L38&amp;"")),LEN(UPPER(TRIM(L38&amp;"")))-2)),UPPER(TRIM(L38&amp;""))))</f>
        <v/>
      </c>
      <c r="R38" s="0" t="str">
        <f aca="false">IF(Q38="","",IF(ISNUMBER(O38),ROUND(O38,1),IF(AND(ISNUMBER(M38),ISNUMBER(N38)),IF(N38&gt;0,ROUND(M38/N38*100,1),""),"")))</f>
        <v/>
      </c>
      <c r="S38" s="0" t="str">
        <f aca="false">IF(Q38="","",IF(RIGHT(UPPER(TRIM(L38&amp;"")),2)="-N","비경쟁",""))</f>
        <v/>
      </c>
      <c r="T38" s="0" t="str">
        <f aca="false">IF(Q38="","",IF(COUNTIF(참가자!$A$3:$A$52,Q38)=0,"명단에 없는 코드",""))</f>
        <v/>
      </c>
    </row>
    <row r="39" customFormat="false" ht="15" hidden="false" customHeight="false" outlineLevel="0" collapsed="false">
      <c r="A39" s="7" t="str">
        <f aca="false">IF(참가자!A39="","",UPPER(TRIM(참가자!A39)))</f>
        <v/>
      </c>
      <c r="B39" s="7" t="str">
        <f aca="false">IF(A39="","",IF(참가자!B39="","(팀 없음)",TRIM(참가자!B39)))</f>
        <v/>
      </c>
      <c r="C39" s="7" t="str">
        <f aca="false">IF(A39="","",IFERROR(INDEX($R$3:$R$102,MATCH(A39,$Q$3:$Q$102,0)),""))</f>
        <v/>
      </c>
      <c r="D39" s="7" t="str">
        <f aca="false">IF(A39="","",IF(C39="","결석",IF(IFERROR(INDEX($S$3:$S$102,MATCH(A39,$Q$3:$Q$102,0)),"")="비경쟁","비경쟁 응시","응시")))</f>
        <v/>
      </c>
      <c r="E39" s="7" t="str">
        <f aca="false">IF(A39="","",IF(COUNTIF($Q$3:$Q$102,A39)&gt;1,"중복! 확인",""))</f>
        <v/>
      </c>
      <c r="F39" s="7" t="str">
        <f aca="false">IF(A39="","",평가A!F39)</f>
        <v/>
      </c>
      <c r="G39" s="7" t="str">
        <f aca="false">IF(A39="","",IF(OR(C39="",F39=""),"",ROUND(C39-F39,1)))</f>
        <v/>
      </c>
      <c r="H39" s="7" t="str">
        <f aca="false">IF(A39="","",IF(C39="","",IF(C39&gt;=HIGH_CUT,PTS_HIGH,IF(F39="","",IF(G39&gt;=STEP2,PTS_HIGH,IF(G39&gt;=STEP1,PTS_MID,PTS_LOW))))))</f>
        <v/>
      </c>
      <c r="I39" s="7" t="str">
        <f aca="false">IF(A39="","",IF(AND(D39="응시",ISNUMBER(H39)),H39,""))</f>
        <v/>
      </c>
      <c r="J39" s="7" t="str">
        <f aca="false">IF(A39="","",IF(C39="","결석 - 기록 없음",IF(C39&gt;=HIGH_CUT,"높은 점수 유지",IF(F39="","기준점수 없음",IF(G39&gt;=STEP2,"향상",IF(G39&gt;=STEP1,"유지","이번에는 내려감"))))&amp;IF(D39="비경쟁 응시"," / 비경쟁: 팀 점수 제외","")))</f>
        <v/>
      </c>
      <c r="L39" s="8"/>
      <c r="M39" s="8"/>
      <c r="N39" s="8"/>
      <c r="O39" s="8"/>
      <c r="Q39" s="0" t="str">
        <f aca="false">IF(UPPER(TRIM(L39&amp;""))="","",IF(RIGHT(UPPER(TRIM(L39&amp;"")),2)="-N",TRIM(LEFT(UPPER(TRIM(L39&amp;"")),LEN(UPPER(TRIM(L39&amp;"")))-2)),UPPER(TRIM(L39&amp;""))))</f>
        <v/>
      </c>
      <c r="R39" s="0" t="str">
        <f aca="false">IF(Q39="","",IF(ISNUMBER(O39),ROUND(O39,1),IF(AND(ISNUMBER(M39),ISNUMBER(N39)),IF(N39&gt;0,ROUND(M39/N39*100,1),""),"")))</f>
        <v/>
      </c>
      <c r="S39" s="0" t="str">
        <f aca="false">IF(Q39="","",IF(RIGHT(UPPER(TRIM(L39&amp;"")),2)="-N","비경쟁",""))</f>
        <v/>
      </c>
      <c r="T39" s="0" t="str">
        <f aca="false">IF(Q39="","",IF(COUNTIF(참가자!$A$3:$A$52,Q39)=0,"명단에 없는 코드",""))</f>
        <v/>
      </c>
    </row>
    <row r="40" customFormat="false" ht="15" hidden="false" customHeight="false" outlineLevel="0" collapsed="false">
      <c r="A40" s="7" t="str">
        <f aca="false">IF(참가자!A40="","",UPPER(TRIM(참가자!A40)))</f>
        <v/>
      </c>
      <c r="B40" s="7" t="str">
        <f aca="false">IF(A40="","",IF(참가자!B40="","(팀 없음)",TRIM(참가자!B40)))</f>
        <v/>
      </c>
      <c r="C40" s="7" t="str">
        <f aca="false">IF(A40="","",IFERROR(INDEX($R$3:$R$102,MATCH(A40,$Q$3:$Q$102,0)),""))</f>
        <v/>
      </c>
      <c r="D40" s="7" t="str">
        <f aca="false">IF(A40="","",IF(C40="","결석",IF(IFERROR(INDEX($S$3:$S$102,MATCH(A40,$Q$3:$Q$102,0)),"")="비경쟁","비경쟁 응시","응시")))</f>
        <v/>
      </c>
      <c r="E40" s="7" t="str">
        <f aca="false">IF(A40="","",IF(COUNTIF($Q$3:$Q$102,A40)&gt;1,"중복! 확인",""))</f>
        <v/>
      </c>
      <c r="F40" s="7" t="str">
        <f aca="false">IF(A40="","",평가A!F40)</f>
        <v/>
      </c>
      <c r="G40" s="7" t="str">
        <f aca="false">IF(A40="","",IF(OR(C40="",F40=""),"",ROUND(C40-F40,1)))</f>
        <v/>
      </c>
      <c r="H40" s="7" t="str">
        <f aca="false">IF(A40="","",IF(C40="","",IF(C40&gt;=HIGH_CUT,PTS_HIGH,IF(F40="","",IF(G40&gt;=STEP2,PTS_HIGH,IF(G40&gt;=STEP1,PTS_MID,PTS_LOW))))))</f>
        <v/>
      </c>
      <c r="I40" s="7" t="str">
        <f aca="false">IF(A40="","",IF(AND(D40="응시",ISNUMBER(H40)),H40,""))</f>
        <v/>
      </c>
      <c r="J40" s="7" t="str">
        <f aca="false">IF(A40="","",IF(C40="","결석 - 기록 없음",IF(C40&gt;=HIGH_CUT,"높은 점수 유지",IF(F40="","기준점수 없음",IF(G40&gt;=STEP2,"향상",IF(G40&gt;=STEP1,"유지","이번에는 내려감"))))&amp;IF(D40="비경쟁 응시"," / 비경쟁: 팀 점수 제외","")))</f>
        <v/>
      </c>
      <c r="L40" s="8"/>
      <c r="M40" s="8"/>
      <c r="N40" s="8"/>
      <c r="O40" s="8"/>
      <c r="Q40" s="0" t="str">
        <f aca="false">IF(UPPER(TRIM(L40&amp;""))="","",IF(RIGHT(UPPER(TRIM(L40&amp;"")),2)="-N",TRIM(LEFT(UPPER(TRIM(L40&amp;"")),LEN(UPPER(TRIM(L40&amp;"")))-2)),UPPER(TRIM(L40&amp;""))))</f>
        <v/>
      </c>
      <c r="R40" s="0" t="str">
        <f aca="false">IF(Q40="","",IF(ISNUMBER(O40),ROUND(O40,1),IF(AND(ISNUMBER(M40),ISNUMBER(N40)),IF(N40&gt;0,ROUND(M40/N40*100,1),""),"")))</f>
        <v/>
      </c>
      <c r="S40" s="0" t="str">
        <f aca="false">IF(Q40="","",IF(RIGHT(UPPER(TRIM(L40&amp;"")),2)="-N","비경쟁",""))</f>
        <v/>
      </c>
      <c r="T40" s="0" t="str">
        <f aca="false">IF(Q40="","",IF(COUNTIF(참가자!$A$3:$A$52,Q40)=0,"명단에 없는 코드",""))</f>
        <v/>
      </c>
    </row>
    <row r="41" customFormat="false" ht="15" hidden="false" customHeight="false" outlineLevel="0" collapsed="false">
      <c r="A41" s="7" t="str">
        <f aca="false">IF(참가자!A41="","",UPPER(TRIM(참가자!A41)))</f>
        <v/>
      </c>
      <c r="B41" s="7" t="str">
        <f aca="false">IF(A41="","",IF(참가자!B41="","(팀 없음)",TRIM(참가자!B41)))</f>
        <v/>
      </c>
      <c r="C41" s="7" t="str">
        <f aca="false">IF(A41="","",IFERROR(INDEX($R$3:$R$102,MATCH(A41,$Q$3:$Q$102,0)),""))</f>
        <v/>
      </c>
      <c r="D41" s="7" t="str">
        <f aca="false">IF(A41="","",IF(C41="","결석",IF(IFERROR(INDEX($S$3:$S$102,MATCH(A41,$Q$3:$Q$102,0)),"")="비경쟁","비경쟁 응시","응시")))</f>
        <v/>
      </c>
      <c r="E41" s="7" t="str">
        <f aca="false">IF(A41="","",IF(COUNTIF($Q$3:$Q$102,A41)&gt;1,"중복! 확인",""))</f>
        <v/>
      </c>
      <c r="F41" s="7" t="str">
        <f aca="false">IF(A41="","",평가A!F41)</f>
        <v/>
      </c>
      <c r="G41" s="7" t="str">
        <f aca="false">IF(A41="","",IF(OR(C41="",F41=""),"",ROUND(C41-F41,1)))</f>
        <v/>
      </c>
      <c r="H41" s="7" t="str">
        <f aca="false">IF(A41="","",IF(C41="","",IF(C41&gt;=HIGH_CUT,PTS_HIGH,IF(F41="","",IF(G41&gt;=STEP2,PTS_HIGH,IF(G41&gt;=STEP1,PTS_MID,PTS_LOW))))))</f>
        <v/>
      </c>
      <c r="I41" s="7" t="str">
        <f aca="false">IF(A41="","",IF(AND(D41="응시",ISNUMBER(H41)),H41,""))</f>
        <v/>
      </c>
      <c r="J41" s="7" t="str">
        <f aca="false">IF(A41="","",IF(C41="","결석 - 기록 없음",IF(C41&gt;=HIGH_CUT,"높은 점수 유지",IF(F41="","기준점수 없음",IF(G41&gt;=STEP2,"향상",IF(G41&gt;=STEP1,"유지","이번에는 내려감"))))&amp;IF(D41="비경쟁 응시"," / 비경쟁: 팀 점수 제외","")))</f>
        <v/>
      </c>
      <c r="L41" s="8"/>
      <c r="M41" s="8"/>
      <c r="N41" s="8"/>
      <c r="O41" s="8"/>
      <c r="Q41" s="0" t="str">
        <f aca="false">IF(UPPER(TRIM(L41&amp;""))="","",IF(RIGHT(UPPER(TRIM(L41&amp;"")),2)="-N",TRIM(LEFT(UPPER(TRIM(L41&amp;"")),LEN(UPPER(TRIM(L41&amp;"")))-2)),UPPER(TRIM(L41&amp;""))))</f>
        <v/>
      </c>
      <c r="R41" s="0" t="str">
        <f aca="false">IF(Q41="","",IF(ISNUMBER(O41),ROUND(O41,1),IF(AND(ISNUMBER(M41),ISNUMBER(N41)),IF(N41&gt;0,ROUND(M41/N41*100,1),""),"")))</f>
        <v/>
      </c>
      <c r="S41" s="0" t="str">
        <f aca="false">IF(Q41="","",IF(RIGHT(UPPER(TRIM(L41&amp;"")),2)="-N","비경쟁",""))</f>
        <v/>
      </c>
      <c r="T41" s="0" t="str">
        <f aca="false">IF(Q41="","",IF(COUNTIF(참가자!$A$3:$A$52,Q41)=0,"명단에 없는 코드",""))</f>
        <v/>
      </c>
    </row>
    <row r="42" customFormat="false" ht="15" hidden="false" customHeight="false" outlineLevel="0" collapsed="false">
      <c r="A42" s="7" t="str">
        <f aca="false">IF(참가자!A42="","",UPPER(TRIM(참가자!A42)))</f>
        <v/>
      </c>
      <c r="B42" s="7" t="str">
        <f aca="false">IF(A42="","",IF(참가자!B42="","(팀 없음)",TRIM(참가자!B42)))</f>
        <v/>
      </c>
      <c r="C42" s="7" t="str">
        <f aca="false">IF(A42="","",IFERROR(INDEX($R$3:$R$102,MATCH(A42,$Q$3:$Q$102,0)),""))</f>
        <v/>
      </c>
      <c r="D42" s="7" t="str">
        <f aca="false">IF(A42="","",IF(C42="","결석",IF(IFERROR(INDEX($S$3:$S$102,MATCH(A42,$Q$3:$Q$102,0)),"")="비경쟁","비경쟁 응시","응시")))</f>
        <v/>
      </c>
      <c r="E42" s="7" t="str">
        <f aca="false">IF(A42="","",IF(COUNTIF($Q$3:$Q$102,A42)&gt;1,"중복! 확인",""))</f>
        <v/>
      </c>
      <c r="F42" s="7" t="str">
        <f aca="false">IF(A42="","",평가A!F42)</f>
        <v/>
      </c>
      <c r="G42" s="7" t="str">
        <f aca="false">IF(A42="","",IF(OR(C42="",F42=""),"",ROUND(C42-F42,1)))</f>
        <v/>
      </c>
      <c r="H42" s="7" t="str">
        <f aca="false">IF(A42="","",IF(C42="","",IF(C42&gt;=HIGH_CUT,PTS_HIGH,IF(F42="","",IF(G42&gt;=STEP2,PTS_HIGH,IF(G42&gt;=STEP1,PTS_MID,PTS_LOW))))))</f>
        <v/>
      </c>
      <c r="I42" s="7" t="str">
        <f aca="false">IF(A42="","",IF(AND(D42="응시",ISNUMBER(H42)),H42,""))</f>
        <v/>
      </c>
      <c r="J42" s="7" t="str">
        <f aca="false">IF(A42="","",IF(C42="","결석 - 기록 없음",IF(C42&gt;=HIGH_CUT,"높은 점수 유지",IF(F42="","기준점수 없음",IF(G42&gt;=STEP2,"향상",IF(G42&gt;=STEP1,"유지","이번에는 내려감"))))&amp;IF(D42="비경쟁 응시"," / 비경쟁: 팀 점수 제외","")))</f>
        <v/>
      </c>
      <c r="L42" s="8"/>
      <c r="M42" s="8"/>
      <c r="N42" s="8"/>
      <c r="O42" s="8"/>
      <c r="Q42" s="0" t="str">
        <f aca="false">IF(UPPER(TRIM(L42&amp;""))="","",IF(RIGHT(UPPER(TRIM(L42&amp;"")),2)="-N",TRIM(LEFT(UPPER(TRIM(L42&amp;"")),LEN(UPPER(TRIM(L42&amp;"")))-2)),UPPER(TRIM(L42&amp;""))))</f>
        <v/>
      </c>
      <c r="R42" s="0" t="str">
        <f aca="false">IF(Q42="","",IF(ISNUMBER(O42),ROUND(O42,1),IF(AND(ISNUMBER(M42),ISNUMBER(N42)),IF(N42&gt;0,ROUND(M42/N42*100,1),""),"")))</f>
        <v/>
      </c>
      <c r="S42" s="0" t="str">
        <f aca="false">IF(Q42="","",IF(RIGHT(UPPER(TRIM(L42&amp;"")),2)="-N","비경쟁",""))</f>
        <v/>
      </c>
      <c r="T42" s="0" t="str">
        <f aca="false">IF(Q42="","",IF(COUNTIF(참가자!$A$3:$A$52,Q42)=0,"명단에 없는 코드",""))</f>
        <v/>
      </c>
    </row>
    <row r="43" customFormat="false" ht="15" hidden="false" customHeight="false" outlineLevel="0" collapsed="false">
      <c r="A43" s="7" t="str">
        <f aca="false">IF(참가자!A43="","",UPPER(TRIM(참가자!A43)))</f>
        <v/>
      </c>
      <c r="B43" s="7" t="str">
        <f aca="false">IF(A43="","",IF(참가자!B43="","(팀 없음)",TRIM(참가자!B43)))</f>
        <v/>
      </c>
      <c r="C43" s="7" t="str">
        <f aca="false">IF(A43="","",IFERROR(INDEX($R$3:$R$102,MATCH(A43,$Q$3:$Q$102,0)),""))</f>
        <v/>
      </c>
      <c r="D43" s="7" t="str">
        <f aca="false">IF(A43="","",IF(C43="","결석",IF(IFERROR(INDEX($S$3:$S$102,MATCH(A43,$Q$3:$Q$102,0)),"")="비경쟁","비경쟁 응시","응시")))</f>
        <v/>
      </c>
      <c r="E43" s="7" t="str">
        <f aca="false">IF(A43="","",IF(COUNTIF($Q$3:$Q$102,A43)&gt;1,"중복! 확인",""))</f>
        <v/>
      </c>
      <c r="F43" s="7" t="str">
        <f aca="false">IF(A43="","",평가A!F43)</f>
        <v/>
      </c>
      <c r="G43" s="7" t="str">
        <f aca="false">IF(A43="","",IF(OR(C43="",F43=""),"",ROUND(C43-F43,1)))</f>
        <v/>
      </c>
      <c r="H43" s="7" t="str">
        <f aca="false">IF(A43="","",IF(C43="","",IF(C43&gt;=HIGH_CUT,PTS_HIGH,IF(F43="","",IF(G43&gt;=STEP2,PTS_HIGH,IF(G43&gt;=STEP1,PTS_MID,PTS_LOW))))))</f>
        <v/>
      </c>
      <c r="I43" s="7" t="str">
        <f aca="false">IF(A43="","",IF(AND(D43="응시",ISNUMBER(H43)),H43,""))</f>
        <v/>
      </c>
      <c r="J43" s="7" t="str">
        <f aca="false">IF(A43="","",IF(C43="","결석 - 기록 없음",IF(C43&gt;=HIGH_CUT,"높은 점수 유지",IF(F43="","기준점수 없음",IF(G43&gt;=STEP2,"향상",IF(G43&gt;=STEP1,"유지","이번에는 내려감"))))&amp;IF(D43="비경쟁 응시"," / 비경쟁: 팀 점수 제외","")))</f>
        <v/>
      </c>
      <c r="L43" s="8"/>
      <c r="M43" s="8"/>
      <c r="N43" s="8"/>
      <c r="O43" s="8"/>
      <c r="Q43" s="0" t="str">
        <f aca="false">IF(UPPER(TRIM(L43&amp;""))="","",IF(RIGHT(UPPER(TRIM(L43&amp;"")),2)="-N",TRIM(LEFT(UPPER(TRIM(L43&amp;"")),LEN(UPPER(TRIM(L43&amp;"")))-2)),UPPER(TRIM(L43&amp;""))))</f>
        <v/>
      </c>
      <c r="R43" s="0" t="str">
        <f aca="false">IF(Q43="","",IF(ISNUMBER(O43),ROUND(O43,1),IF(AND(ISNUMBER(M43),ISNUMBER(N43)),IF(N43&gt;0,ROUND(M43/N43*100,1),""),"")))</f>
        <v/>
      </c>
      <c r="S43" s="0" t="str">
        <f aca="false">IF(Q43="","",IF(RIGHT(UPPER(TRIM(L43&amp;"")),2)="-N","비경쟁",""))</f>
        <v/>
      </c>
      <c r="T43" s="0" t="str">
        <f aca="false">IF(Q43="","",IF(COUNTIF(참가자!$A$3:$A$52,Q43)=0,"명단에 없는 코드",""))</f>
        <v/>
      </c>
    </row>
    <row r="44" customFormat="false" ht="15" hidden="false" customHeight="false" outlineLevel="0" collapsed="false">
      <c r="A44" s="7" t="str">
        <f aca="false">IF(참가자!A44="","",UPPER(TRIM(참가자!A44)))</f>
        <v/>
      </c>
      <c r="B44" s="7" t="str">
        <f aca="false">IF(A44="","",IF(참가자!B44="","(팀 없음)",TRIM(참가자!B44)))</f>
        <v/>
      </c>
      <c r="C44" s="7" t="str">
        <f aca="false">IF(A44="","",IFERROR(INDEX($R$3:$R$102,MATCH(A44,$Q$3:$Q$102,0)),""))</f>
        <v/>
      </c>
      <c r="D44" s="7" t="str">
        <f aca="false">IF(A44="","",IF(C44="","결석",IF(IFERROR(INDEX($S$3:$S$102,MATCH(A44,$Q$3:$Q$102,0)),"")="비경쟁","비경쟁 응시","응시")))</f>
        <v/>
      </c>
      <c r="E44" s="7" t="str">
        <f aca="false">IF(A44="","",IF(COUNTIF($Q$3:$Q$102,A44)&gt;1,"중복! 확인",""))</f>
        <v/>
      </c>
      <c r="F44" s="7" t="str">
        <f aca="false">IF(A44="","",평가A!F44)</f>
        <v/>
      </c>
      <c r="G44" s="7" t="str">
        <f aca="false">IF(A44="","",IF(OR(C44="",F44=""),"",ROUND(C44-F44,1)))</f>
        <v/>
      </c>
      <c r="H44" s="7" t="str">
        <f aca="false">IF(A44="","",IF(C44="","",IF(C44&gt;=HIGH_CUT,PTS_HIGH,IF(F44="","",IF(G44&gt;=STEP2,PTS_HIGH,IF(G44&gt;=STEP1,PTS_MID,PTS_LOW))))))</f>
        <v/>
      </c>
      <c r="I44" s="7" t="str">
        <f aca="false">IF(A44="","",IF(AND(D44="응시",ISNUMBER(H44)),H44,""))</f>
        <v/>
      </c>
      <c r="J44" s="7" t="str">
        <f aca="false">IF(A44="","",IF(C44="","결석 - 기록 없음",IF(C44&gt;=HIGH_CUT,"높은 점수 유지",IF(F44="","기준점수 없음",IF(G44&gt;=STEP2,"향상",IF(G44&gt;=STEP1,"유지","이번에는 내려감"))))&amp;IF(D44="비경쟁 응시"," / 비경쟁: 팀 점수 제외","")))</f>
        <v/>
      </c>
      <c r="L44" s="8"/>
      <c r="M44" s="8"/>
      <c r="N44" s="8"/>
      <c r="O44" s="8"/>
      <c r="Q44" s="0" t="str">
        <f aca="false">IF(UPPER(TRIM(L44&amp;""))="","",IF(RIGHT(UPPER(TRIM(L44&amp;"")),2)="-N",TRIM(LEFT(UPPER(TRIM(L44&amp;"")),LEN(UPPER(TRIM(L44&amp;"")))-2)),UPPER(TRIM(L44&amp;""))))</f>
        <v/>
      </c>
      <c r="R44" s="0" t="str">
        <f aca="false">IF(Q44="","",IF(ISNUMBER(O44),ROUND(O44,1),IF(AND(ISNUMBER(M44),ISNUMBER(N44)),IF(N44&gt;0,ROUND(M44/N44*100,1),""),"")))</f>
        <v/>
      </c>
      <c r="S44" s="0" t="str">
        <f aca="false">IF(Q44="","",IF(RIGHT(UPPER(TRIM(L44&amp;"")),2)="-N","비경쟁",""))</f>
        <v/>
      </c>
      <c r="T44" s="0" t="str">
        <f aca="false">IF(Q44="","",IF(COUNTIF(참가자!$A$3:$A$52,Q44)=0,"명단에 없는 코드",""))</f>
        <v/>
      </c>
    </row>
    <row r="45" customFormat="false" ht="15" hidden="false" customHeight="false" outlineLevel="0" collapsed="false">
      <c r="A45" s="7" t="str">
        <f aca="false">IF(참가자!A45="","",UPPER(TRIM(참가자!A45)))</f>
        <v/>
      </c>
      <c r="B45" s="7" t="str">
        <f aca="false">IF(A45="","",IF(참가자!B45="","(팀 없음)",TRIM(참가자!B45)))</f>
        <v/>
      </c>
      <c r="C45" s="7" t="str">
        <f aca="false">IF(A45="","",IFERROR(INDEX($R$3:$R$102,MATCH(A45,$Q$3:$Q$102,0)),""))</f>
        <v/>
      </c>
      <c r="D45" s="7" t="str">
        <f aca="false">IF(A45="","",IF(C45="","결석",IF(IFERROR(INDEX($S$3:$S$102,MATCH(A45,$Q$3:$Q$102,0)),"")="비경쟁","비경쟁 응시","응시")))</f>
        <v/>
      </c>
      <c r="E45" s="7" t="str">
        <f aca="false">IF(A45="","",IF(COUNTIF($Q$3:$Q$102,A45)&gt;1,"중복! 확인",""))</f>
        <v/>
      </c>
      <c r="F45" s="7" t="str">
        <f aca="false">IF(A45="","",평가A!F45)</f>
        <v/>
      </c>
      <c r="G45" s="7" t="str">
        <f aca="false">IF(A45="","",IF(OR(C45="",F45=""),"",ROUND(C45-F45,1)))</f>
        <v/>
      </c>
      <c r="H45" s="7" t="str">
        <f aca="false">IF(A45="","",IF(C45="","",IF(C45&gt;=HIGH_CUT,PTS_HIGH,IF(F45="","",IF(G45&gt;=STEP2,PTS_HIGH,IF(G45&gt;=STEP1,PTS_MID,PTS_LOW))))))</f>
        <v/>
      </c>
      <c r="I45" s="7" t="str">
        <f aca="false">IF(A45="","",IF(AND(D45="응시",ISNUMBER(H45)),H45,""))</f>
        <v/>
      </c>
      <c r="J45" s="7" t="str">
        <f aca="false">IF(A45="","",IF(C45="","결석 - 기록 없음",IF(C45&gt;=HIGH_CUT,"높은 점수 유지",IF(F45="","기준점수 없음",IF(G45&gt;=STEP2,"향상",IF(G45&gt;=STEP1,"유지","이번에는 내려감"))))&amp;IF(D45="비경쟁 응시"," / 비경쟁: 팀 점수 제외","")))</f>
        <v/>
      </c>
      <c r="L45" s="8"/>
      <c r="M45" s="8"/>
      <c r="N45" s="8"/>
      <c r="O45" s="8"/>
      <c r="Q45" s="0" t="str">
        <f aca="false">IF(UPPER(TRIM(L45&amp;""))="","",IF(RIGHT(UPPER(TRIM(L45&amp;"")),2)="-N",TRIM(LEFT(UPPER(TRIM(L45&amp;"")),LEN(UPPER(TRIM(L45&amp;"")))-2)),UPPER(TRIM(L45&amp;""))))</f>
        <v/>
      </c>
      <c r="R45" s="0" t="str">
        <f aca="false">IF(Q45="","",IF(ISNUMBER(O45),ROUND(O45,1),IF(AND(ISNUMBER(M45),ISNUMBER(N45)),IF(N45&gt;0,ROUND(M45/N45*100,1),""),"")))</f>
        <v/>
      </c>
      <c r="S45" s="0" t="str">
        <f aca="false">IF(Q45="","",IF(RIGHT(UPPER(TRIM(L45&amp;"")),2)="-N","비경쟁",""))</f>
        <v/>
      </c>
      <c r="T45" s="0" t="str">
        <f aca="false">IF(Q45="","",IF(COUNTIF(참가자!$A$3:$A$52,Q45)=0,"명단에 없는 코드",""))</f>
        <v/>
      </c>
    </row>
    <row r="46" customFormat="false" ht="15" hidden="false" customHeight="false" outlineLevel="0" collapsed="false">
      <c r="A46" s="7" t="str">
        <f aca="false">IF(참가자!A46="","",UPPER(TRIM(참가자!A46)))</f>
        <v/>
      </c>
      <c r="B46" s="7" t="str">
        <f aca="false">IF(A46="","",IF(참가자!B46="","(팀 없음)",TRIM(참가자!B46)))</f>
        <v/>
      </c>
      <c r="C46" s="7" t="str">
        <f aca="false">IF(A46="","",IFERROR(INDEX($R$3:$R$102,MATCH(A46,$Q$3:$Q$102,0)),""))</f>
        <v/>
      </c>
      <c r="D46" s="7" t="str">
        <f aca="false">IF(A46="","",IF(C46="","결석",IF(IFERROR(INDEX($S$3:$S$102,MATCH(A46,$Q$3:$Q$102,0)),"")="비경쟁","비경쟁 응시","응시")))</f>
        <v/>
      </c>
      <c r="E46" s="7" t="str">
        <f aca="false">IF(A46="","",IF(COUNTIF($Q$3:$Q$102,A46)&gt;1,"중복! 확인",""))</f>
        <v/>
      </c>
      <c r="F46" s="7" t="str">
        <f aca="false">IF(A46="","",평가A!F46)</f>
        <v/>
      </c>
      <c r="G46" s="7" t="str">
        <f aca="false">IF(A46="","",IF(OR(C46="",F46=""),"",ROUND(C46-F46,1)))</f>
        <v/>
      </c>
      <c r="H46" s="7" t="str">
        <f aca="false">IF(A46="","",IF(C46="","",IF(C46&gt;=HIGH_CUT,PTS_HIGH,IF(F46="","",IF(G46&gt;=STEP2,PTS_HIGH,IF(G46&gt;=STEP1,PTS_MID,PTS_LOW))))))</f>
        <v/>
      </c>
      <c r="I46" s="7" t="str">
        <f aca="false">IF(A46="","",IF(AND(D46="응시",ISNUMBER(H46)),H46,""))</f>
        <v/>
      </c>
      <c r="J46" s="7" t="str">
        <f aca="false">IF(A46="","",IF(C46="","결석 - 기록 없음",IF(C46&gt;=HIGH_CUT,"높은 점수 유지",IF(F46="","기준점수 없음",IF(G46&gt;=STEP2,"향상",IF(G46&gt;=STEP1,"유지","이번에는 내려감"))))&amp;IF(D46="비경쟁 응시"," / 비경쟁: 팀 점수 제외","")))</f>
        <v/>
      </c>
      <c r="L46" s="8"/>
      <c r="M46" s="8"/>
      <c r="N46" s="8"/>
      <c r="O46" s="8"/>
      <c r="Q46" s="0" t="str">
        <f aca="false">IF(UPPER(TRIM(L46&amp;""))="","",IF(RIGHT(UPPER(TRIM(L46&amp;"")),2)="-N",TRIM(LEFT(UPPER(TRIM(L46&amp;"")),LEN(UPPER(TRIM(L46&amp;"")))-2)),UPPER(TRIM(L46&amp;""))))</f>
        <v/>
      </c>
      <c r="R46" s="0" t="str">
        <f aca="false">IF(Q46="","",IF(ISNUMBER(O46),ROUND(O46,1),IF(AND(ISNUMBER(M46),ISNUMBER(N46)),IF(N46&gt;0,ROUND(M46/N46*100,1),""),"")))</f>
        <v/>
      </c>
      <c r="S46" s="0" t="str">
        <f aca="false">IF(Q46="","",IF(RIGHT(UPPER(TRIM(L46&amp;"")),2)="-N","비경쟁",""))</f>
        <v/>
      </c>
      <c r="T46" s="0" t="str">
        <f aca="false">IF(Q46="","",IF(COUNTIF(참가자!$A$3:$A$52,Q46)=0,"명단에 없는 코드",""))</f>
        <v/>
      </c>
    </row>
    <row r="47" customFormat="false" ht="15" hidden="false" customHeight="false" outlineLevel="0" collapsed="false">
      <c r="A47" s="7" t="str">
        <f aca="false">IF(참가자!A47="","",UPPER(TRIM(참가자!A47)))</f>
        <v/>
      </c>
      <c r="B47" s="7" t="str">
        <f aca="false">IF(A47="","",IF(참가자!B47="","(팀 없음)",TRIM(참가자!B47)))</f>
        <v/>
      </c>
      <c r="C47" s="7" t="str">
        <f aca="false">IF(A47="","",IFERROR(INDEX($R$3:$R$102,MATCH(A47,$Q$3:$Q$102,0)),""))</f>
        <v/>
      </c>
      <c r="D47" s="7" t="str">
        <f aca="false">IF(A47="","",IF(C47="","결석",IF(IFERROR(INDEX($S$3:$S$102,MATCH(A47,$Q$3:$Q$102,0)),"")="비경쟁","비경쟁 응시","응시")))</f>
        <v/>
      </c>
      <c r="E47" s="7" t="str">
        <f aca="false">IF(A47="","",IF(COUNTIF($Q$3:$Q$102,A47)&gt;1,"중복! 확인",""))</f>
        <v/>
      </c>
      <c r="F47" s="7" t="str">
        <f aca="false">IF(A47="","",평가A!F47)</f>
        <v/>
      </c>
      <c r="G47" s="7" t="str">
        <f aca="false">IF(A47="","",IF(OR(C47="",F47=""),"",ROUND(C47-F47,1)))</f>
        <v/>
      </c>
      <c r="H47" s="7" t="str">
        <f aca="false">IF(A47="","",IF(C47="","",IF(C47&gt;=HIGH_CUT,PTS_HIGH,IF(F47="","",IF(G47&gt;=STEP2,PTS_HIGH,IF(G47&gt;=STEP1,PTS_MID,PTS_LOW))))))</f>
        <v/>
      </c>
      <c r="I47" s="7" t="str">
        <f aca="false">IF(A47="","",IF(AND(D47="응시",ISNUMBER(H47)),H47,""))</f>
        <v/>
      </c>
      <c r="J47" s="7" t="str">
        <f aca="false">IF(A47="","",IF(C47="","결석 - 기록 없음",IF(C47&gt;=HIGH_CUT,"높은 점수 유지",IF(F47="","기준점수 없음",IF(G47&gt;=STEP2,"향상",IF(G47&gt;=STEP1,"유지","이번에는 내려감"))))&amp;IF(D47="비경쟁 응시"," / 비경쟁: 팀 점수 제외","")))</f>
        <v/>
      </c>
      <c r="L47" s="8"/>
      <c r="M47" s="8"/>
      <c r="N47" s="8"/>
      <c r="O47" s="8"/>
      <c r="Q47" s="0" t="str">
        <f aca="false">IF(UPPER(TRIM(L47&amp;""))="","",IF(RIGHT(UPPER(TRIM(L47&amp;"")),2)="-N",TRIM(LEFT(UPPER(TRIM(L47&amp;"")),LEN(UPPER(TRIM(L47&amp;"")))-2)),UPPER(TRIM(L47&amp;""))))</f>
        <v/>
      </c>
      <c r="R47" s="0" t="str">
        <f aca="false">IF(Q47="","",IF(ISNUMBER(O47),ROUND(O47,1),IF(AND(ISNUMBER(M47),ISNUMBER(N47)),IF(N47&gt;0,ROUND(M47/N47*100,1),""),"")))</f>
        <v/>
      </c>
      <c r="S47" s="0" t="str">
        <f aca="false">IF(Q47="","",IF(RIGHT(UPPER(TRIM(L47&amp;"")),2)="-N","비경쟁",""))</f>
        <v/>
      </c>
      <c r="T47" s="0" t="str">
        <f aca="false">IF(Q47="","",IF(COUNTIF(참가자!$A$3:$A$52,Q47)=0,"명단에 없는 코드",""))</f>
        <v/>
      </c>
    </row>
    <row r="48" customFormat="false" ht="15" hidden="false" customHeight="false" outlineLevel="0" collapsed="false">
      <c r="A48" s="7" t="str">
        <f aca="false">IF(참가자!A48="","",UPPER(TRIM(참가자!A48)))</f>
        <v/>
      </c>
      <c r="B48" s="7" t="str">
        <f aca="false">IF(A48="","",IF(참가자!B48="","(팀 없음)",TRIM(참가자!B48)))</f>
        <v/>
      </c>
      <c r="C48" s="7" t="str">
        <f aca="false">IF(A48="","",IFERROR(INDEX($R$3:$R$102,MATCH(A48,$Q$3:$Q$102,0)),""))</f>
        <v/>
      </c>
      <c r="D48" s="7" t="str">
        <f aca="false">IF(A48="","",IF(C48="","결석",IF(IFERROR(INDEX($S$3:$S$102,MATCH(A48,$Q$3:$Q$102,0)),"")="비경쟁","비경쟁 응시","응시")))</f>
        <v/>
      </c>
      <c r="E48" s="7" t="str">
        <f aca="false">IF(A48="","",IF(COUNTIF($Q$3:$Q$102,A48)&gt;1,"중복! 확인",""))</f>
        <v/>
      </c>
      <c r="F48" s="7" t="str">
        <f aca="false">IF(A48="","",평가A!F48)</f>
        <v/>
      </c>
      <c r="G48" s="7" t="str">
        <f aca="false">IF(A48="","",IF(OR(C48="",F48=""),"",ROUND(C48-F48,1)))</f>
        <v/>
      </c>
      <c r="H48" s="7" t="str">
        <f aca="false">IF(A48="","",IF(C48="","",IF(C48&gt;=HIGH_CUT,PTS_HIGH,IF(F48="","",IF(G48&gt;=STEP2,PTS_HIGH,IF(G48&gt;=STEP1,PTS_MID,PTS_LOW))))))</f>
        <v/>
      </c>
      <c r="I48" s="7" t="str">
        <f aca="false">IF(A48="","",IF(AND(D48="응시",ISNUMBER(H48)),H48,""))</f>
        <v/>
      </c>
      <c r="J48" s="7" t="str">
        <f aca="false">IF(A48="","",IF(C48="","결석 - 기록 없음",IF(C48&gt;=HIGH_CUT,"높은 점수 유지",IF(F48="","기준점수 없음",IF(G48&gt;=STEP2,"향상",IF(G48&gt;=STEP1,"유지","이번에는 내려감"))))&amp;IF(D48="비경쟁 응시"," / 비경쟁: 팀 점수 제외","")))</f>
        <v/>
      </c>
      <c r="L48" s="8"/>
      <c r="M48" s="8"/>
      <c r="N48" s="8"/>
      <c r="O48" s="8"/>
      <c r="Q48" s="0" t="str">
        <f aca="false">IF(UPPER(TRIM(L48&amp;""))="","",IF(RIGHT(UPPER(TRIM(L48&amp;"")),2)="-N",TRIM(LEFT(UPPER(TRIM(L48&amp;"")),LEN(UPPER(TRIM(L48&amp;"")))-2)),UPPER(TRIM(L48&amp;""))))</f>
        <v/>
      </c>
      <c r="R48" s="0" t="str">
        <f aca="false">IF(Q48="","",IF(ISNUMBER(O48),ROUND(O48,1),IF(AND(ISNUMBER(M48),ISNUMBER(N48)),IF(N48&gt;0,ROUND(M48/N48*100,1),""),"")))</f>
        <v/>
      </c>
      <c r="S48" s="0" t="str">
        <f aca="false">IF(Q48="","",IF(RIGHT(UPPER(TRIM(L48&amp;"")),2)="-N","비경쟁",""))</f>
        <v/>
      </c>
      <c r="T48" s="0" t="str">
        <f aca="false">IF(Q48="","",IF(COUNTIF(참가자!$A$3:$A$52,Q48)=0,"명단에 없는 코드",""))</f>
        <v/>
      </c>
    </row>
    <row r="49" customFormat="false" ht="15" hidden="false" customHeight="false" outlineLevel="0" collapsed="false">
      <c r="A49" s="7" t="str">
        <f aca="false">IF(참가자!A49="","",UPPER(TRIM(참가자!A49)))</f>
        <v/>
      </c>
      <c r="B49" s="7" t="str">
        <f aca="false">IF(A49="","",IF(참가자!B49="","(팀 없음)",TRIM(참가자!B49)))</f>
        <v/>
      </c>
      <c r="C49" s="7" t="str">
        <f aca="false">IF(A49="","",IFERROR(INDEX($R$3:$R$102,MATCH(A49,$Q$3:$Q$102,0)),""))</f>
        <v/>
      </c>
      <c r="D49" s="7" t="str">
        <f aca="false">IF(A49="","",IF(C49="","결석",IF(IFERROR(INDEX($S$3:$S$102,MATCH(A49,$Q$3:$Q$102,0)),"")="비경쟁","비경쟁 응시","응시")))</f>
        <v/>
      </c>
      <c r="E49" s="7" t="str">
        <f aca="false">IF(A49="","",IF(COUNTIF($Q$3:$Q$102,A49)&gt;1,"중복! 확인",""))</f>
        <v/>
      </c>
      <c r="F49" s="7" t="str">
        <f aca="false">IF(A49="","",평가A!F49)</f>
        <v/>
      </c>
      <c r="G49" s="7" t="str">
        <f aca="false">IF(A49="","",IF(OR(C49="",F49=""),"",ROUND(C49-F49,1)))</f>
        <v/>
      </c>
      <c r="H49" s="7" t="str">
        <f aca="false">IF(A49="","",IF(C49="","",IF(C49&gt;=HIGH_CUT,PTS_HIGH,IF(F49="","",IF(G49&gt;=STEP2,PTS_HIGH,IF(G49&gt;=STEP1,PTS_MID,PTS_LOW))))))</f>
        <v/>
      </c>
      <c r="I49" s="7" t="str">
        <f aca="false">IF(A49="","",IF(AND(D49="응시",ISNUMBER(H49)),H49,""))</f>
        <v/>
      </c>
      <c r="J49" s="7" t="str">
        <f aca="false">IF(A49="","",IF(C49="","결석 - 기록 없음",IF(C49&gt;=HIGH_CUT,"높은 점수 유지",IF(F49="","기준점수 없음",IF(G49&gt;=STEP2,"향상",IF(G49&gt;=STEP1,"유지","이번에는 내려감"))))&amp;IF(D49="비경쟁 응시"," / 비경쟁: 팀 점수 제외","")))</f>
        <v/>
      </c>
      <c r="L49" s="8"/>
      <c r="M49" s="8"/>
      <c r="N49" s="8"/>
      <c r="O49" s="8"/>
      <c r="Q49" s="0" t="str">
        <f aca="false">IF(UPPER(TRIM(L49&amp;""))="","",IF(RIGHT(UPPER(TRIM(L49&amp;"")),2)="-N",TRIM(LEFT(UPPER(TRIM(L49&amp;"")),LEN(UPPER(TRIM(L49&amp;"")))-2)),UPPER(TRIM(L49&amp;""))))</f>
        <v/>
      </c>
      <c r="R49" s="0" t="str">
        <f aca="false">IF(Q49="","",IF(ISNUMBER(O49),ROUND(O49,1),IF(AND(ISNUMBER(M49),ISNUMBER(N49)),IF(N49&gt;0,ROUND(M49/N49*100,1),""),"")))</f>
        <v/>
      </c>
      <c r="S49" s="0" t="str">
        <f aca="false">IF(Q49="","",IF(RIGHT(UPPER(TRIM(L49&amp;"")),2)="-N","비경쟁",""))</f>
        <v/>
      </c>
      <c r="T49" s="0" t="str">
        <f aca="false">IF(Q49="","",IF(COUNTIF(참가자!$A$3:$A$52,Q49)=0,"명단에 없는 코드",""))</f>
        <v/>
      </c>
    </row>
    <row r="50" customFormat="false" ht="15" hidden="false" customHeight="false" outlineLevel="0" collapsed="false">
      <c r="A50" s="7" t="str">
        <f aca="false">IF(참가자!A50="","",UPPER(TRIM(참가자!A50)))</f>
        <v/>
      </c>
      <c r="B50" s="7" t="str">
        <f aca="false">IF(A50="","",IF(참가자!B50="","(팀 없음)",TRIM(참가자!B50)))</f>
        <v/>
      </c>
      <c r="C50" s="7" t="str">
        <f aca="false">IF(A50="","",IFERROR(INDEX($R$3:$R$102,MATCH(A50,$Q$3:$Q$102,0)),""))</f>
        <v/>
      </c>
      <c r="D50" s="7" t="str">
        <f aca="false">IF(A50="","",IF(C50="","결석",IF(IFERROR(INDEX($S$3:$S$102,MATCH(A50,$Q$3:$Q$102,0)),"")="비경쟁","비경쟁 응시","응시")))</f>
        <v/>
      </c>
      <c r="E50" s="7" t="str">
        <f aca="false">IF(A50="","",IF(COUNTIF($Q$3:$Q$102,A50)&gt;1,"중복! 확인",""))</f>
        <v/>
      </c>
      <c r="F50" s="7" t="str">
        <f aca="false">IF(A50="","",평가A!F50)</f>
        <v/>
      </c>
      <c r="G50" s="7" t="str">
        <f aca="false">IF(A50="","",IF(OR(C50="",F50=""),"",ROUND(C50-F50,1)))</f>
        <v/>
      </c>
      <c r="H50" s="7" t="str">
        <f aca="false">IF(A50="","",IF(C50="","",IF(C50&gt;=HIGH_CUT,PTS_HIGH,IF(F50="","",IF(G50&gt;=STEP2,PTS_HIGH,IF(G50&gt;=STEP1,PTS_MID,PTS_LOW))))))</f>
        <v/>
      </c>
      <c r="I50" s="7" t="str">
        <f aca="false">IF(A50="","",IF(AND(D50="응시",ISNUMBER(H50)),H50,""))</f>
        <v/>
      </c>
      <c r="J50" s="7" t="str">
        <f aca="false">IF(A50="","",IF(C50="","결석 - 기록 없음",IF(C50&gt;=HIGH_CUT,"높은 점수 유지",IF(F50="","기준점수 없음",IF(G50&gt;=STEP2,"향상",IF(G50&gt;=STEP1,"유지","이번에는 내려감"))))&amp;IF(D50="비경쟁 응시"," / 비경쟁: 팀 점수 제외","")))</f>
        <v/>
      </c>
      <c r="L50" s="8"/>
      <c r="M50" s="8"/>
      <c r="N50" s="8"/>
      <c r="O50" s="8"/>
      <c r="Q50" s="0" t="str">
        <f aca="false">IF(UPPER(TRIM(L50&amp;""))="","",IF(RIGHT(UPPER(TRIM(L50&amp;"")),2)="-N",TRIM(LEFT(UPPER(TRIM(L50&amp;"")),LEN(UPPER(TRIM(L50&amp;"")))-2)),UPPER(TRIM(L50&amp;""))))</f>
        <v/>
      </c>
      <c r="R50" s="0" t="str">
        <f aca="false">IF(Q50="","",IF(ISNUMBER(O50),ROUND(O50,1),IF(AND(ISNUMBER(M50),ISNUMBER(N50)),IF(N50&gt;0,ROUND(M50/N50*100,1),""),"")))</f>
        <v/>
      </c>
      <c r="S50" s="0" t="str">
        <f aca="false">IF(Q50="","",IF(RIGHT(UPPER(TRIM(L50&amp;"")),2)="-N","비경쟁",""))</f>
        <v/>
      </c>
      <c r="T50" s="0" t="str">
        <f aca="false">IF(Q50="","",IF(COUNTIF(참가자!$A$3:$A$52,Q50)=0,"명단에 없는 코드",""))</f>
        <v/>
      </c>
    </row>
    <row r="51" customFormat="false" ht="15" hidden="false" customHeight="false" outlineLevel="0" collapsed="false">
      <c r="A51" s="7" t="str">
        <f aca="false">IF(참가자!A51="","",UPPER(TRIM(참가자!A51)))</f>
        <v/>
      </c>
      <c r="B51" s="7" t="str">
        <f aca="false">IF(A51="","",IF(참가자!B51="","(팀 없음)",TRIM(참가자!B51)))</f>
        <v/>
      </c>
      <c r="C51" s="7" t="str">
        <f aca="false">IF(A51="","",IFERROR(INDEX($R$3:$R$102,MATCH(A51,$Q$3:$Q$102,0)),""))</f>
        <v/>
      </c>
      <c r="D51" s="7" t="str">
        <f aca="false">IF(A51="","",IF(C51="","결석",IF(IFERROR(INDEX($S$3:$S$102,MATCH(A51,$Q$3:$Q$102,0)),"")="비경쟁","비경쟁 응시","응시")))</f>
        <v/>
      </c>
      <c r="E51" s="7" t="str">
        <f aca="false">IF(A51="","",IF(COUNTIF($Q$3:$Q$102,A51)&gt;1,"중복! 확인",""))</f>
        <v/>
      </c>
      <c r="F51" s="7" t="str">
        <f aca="false">IF(A51="","",평가A!F51)</f>
        <v/>
      </c>
      <c r="G51" s="7" t="str">
        <f aca="false">IF(A51="","",IF(OR(C51="",F51=""),"",ROUND(C51-F51,1)))</f>
        <v/>
      </c>
      <c r="H51" s="7" t="str">
        <f aca="false">IF(A51="","",IF(C51="","",IF(C51&gt;=HIGH_CUT,PTS_HIGH,IF(F51="","",IF(G51&gt;=STEP2,PTS_HIGH,IF(G51&gt;=STEP1,PTS_MID,PTS_LOW))))))</f>
        <v/>
      </c>
      <c r="I51" s="7" t="str">
        <f aca="false">IF(A51="","",IF(AND(D51="응시",ISNUMBER(H51)),H51,""))</f>
        <v/>
      </c>
      <c r="J51" s="7" t="str">
        <f aca="false">IF(A51="","",IF(C51="","결석 - 기록 없음",IF(C51&gt;=HIGH_CUT,"높은 점수 유지",IF(F51="","기준점수 없음",IF(G51&gt;=STEP2,"향상",IF(G51&gt;=STEP1,"유지","이번에는 내려감"))))&amp;IF(D51="비경쟁 응시"," / 비경쟁: 팀 점수 제외","")))</f>
        <v/>
      </c>
      <c r="L51" s="8"/>
      <c r="M51" s="8"/>
      <c r="N51" s="8"/>
      <c r="O51" s="8"/>
      <c r="Q51" s="0" t="str">
        <f aca="false">IF(UPPER(TRIM(L51&amp;""))="","",IF(RIGHT(UPPER(TRIM(L51&amp;"")),2)="-N",TRIM(LEFT(UPPER(TRIM(L51&amp;"")),LEN(UPPER(TRIM(L51&amp;"")))-2)),UPPER(TRIM(L51&amp;""))))</f>
        <v/>
      </c>
      <c r="R51" s="0" t="str">
        <f aca="false">IF(Q51="","",IF(ISNUMBER(O51),ROUND(O51,1),IF(AND(ISNUMBER(M51),ISNUMBER(N51)),IF(N51&gt;0,ROUND(M51/N51*100,1),""),"")))</f>
        <v/>
      </c>
      <c r="S51" s="0" t="str">
        <f aca="false">IF(Q51="","",IF(RIGHT(UPPER(TRIM(L51&amp;"")),2)="-N","비경쟁",""))</f>
        <v/>
      </c>
      <c r="T51" s="0" t="str">
        <f aca="false">IF(Q51="","",IF(COUNTIF(참가자!$A$3:$A$52,Q51)=0,"명단에 없는 코드",""))</f>
        <v/>
      </c>
    </row>
    <row r="52" customFormat="false" ht="15" hidden="false" customHeight="false" outlineLevel="0" collapsed="false">
      <c r="A52" s="7" t="str">
        <f aca="false">IF(참가자!A52="","",UPPER(TRIM(참가자!A52)))</f>
        <v/>
      </c>
      <c r="B52" s="7" t="str">
        <f aca="false">IF(A52="","",IF(참가자!B52="","(팀 없음)",TRIM(참가자!B52)))</f>
        <v/>
      </c>
      <c r="C52" s="7" t="str">
        <f aca="false">IF(A52="","",IFERROR(INDEX($R$3:$R$102,MATCH(A52,$Q$3:$Q$102,0)),""))</f>
        <v/>
      </c>
      <c r="D52" s="7" t="str">
        <f aca="false">IF(A52="","",IF(C52="","결석",IF(IFERROR(INDEX($S$3:$S$102,MATCH(A52,$Q$3:$Q$102,0)),"")="비경쟁","비경쟁 응시","응시")))</f>
        <v/>
      </c>
      <c r="E52" s="7" t="str">
        <f aca="false">IF(A52="","",IF(COUNTIF($Q$3:$Q$102,A52)&gt;1,"중복! 확인",""))</f>
        <v/>
      </c>
      <c r="F52" s="7" t="str">
        <f aca="false">IF(A52="","",평가A!F52)</f>
        <v/>
      </c>
      <c r="G52" s="7" t="str">
        <f aca="false">IF(A52="","",IF(OR(C52="",F52=""),"",ROUND(C52-F52,1)))</f>
        <v/>
      </c>
      <c r="H52" s="7" t="str">
        <f aca="false">IF(A52="","",IF(C52="","",IF(C52&gt;=HIGH_CUT,PTS_HIGH,IF(F52="","",IF(G52&gt;=STEP2,PTS_HIGH,IF(G52&gt;=STEP1,PTS_MID,PTS_LOW))))))</f>
        <v/>
      </c>
      <c r="I52" s="7" t="str">
        <f aca="false">IF(A52="","",IF(AND(D52="응시",ISNUMBER(H52)),H52,""))</f>
        <v/>
      </c>
      <c r="J52" s="7" t="str">
        <f aca="false">IF(A52="","",IF(C52="","결석 - 기록 없음",IF(C52&gt;=HIGH_CUT,"높은 점수 유지",IF(F52="","기준점수 없음",IF(G52&gt;=STEP2,"향상",IF(G52&gt;=STEP1,"유지","이번에는 내려감"))))&amp;IF(D52="비경쟁 응시"," / 비경쟁: 팀 점수 제외","")))</f>
        <v/>
      </c>
      <c r="L52" s="8"/>
      <c r="M52" s="8"/>
      <c r="N52" s="8"/>
      <c r="O52" s="8"/>
      <c r="Q52" s="0" t="str">
        <f aca="false">IF(UPPER(TRIM(L52&amp;""))="","",IF(RIGHT(UPPER(TRIM(L52&amp;"")),2)="-N",TRIM(LEFT(UPPER(TRIM(L52&amp;"")),LEN(UPPER(TRIM(L52&amp;"")))-2)),UPPER(TRIM(L52&amp;""))))</f>
        <v/>
      </c>
      <c r="R52" s="0" t="str">
        <f aca="false">IF(Q52="","",IF(ISNUMBER(O52),ROUND(O52,1),IF(AND(ISNUMBER(M52),ISNUMBER(N52)),IF(N52&gt;0,ROUND(M52/N52*100,1),""),"")))</f>
        <v/>
      </c>
      <c r="S52" s="0" t="str">
        <f aca="false">IF(Q52="","",IF(RIGHT(UPPER(TRIM(L52&amp;"")),2)="-N","비경쟁",""))</f>
        <v/>
      </c>
      <c r="T52" s="0" t="str">
        <f aca="false">IF(Q52="","",IF(COUNTIF(참가자!$A$3:$A$52,Q52)=0,"명단에 없는 코드",""))</f>
        <v/>
      </c>
    </row>
    <row r="53" customFormat="false" ht="15" hidden="false" customHeight="false" outlineLevel="0" collapsed="false">
      <c r="L53" s="8"/>
      <c r="M53" s="8"/>
      <c r="N53" s="8"/>
      <c r="O53" s="8"/>
      <c r="Q53" s="0" t="str">
        <f aca="false">IF(UPPER(TRIM(L53&amp;""))="","",IF(RIGHT(UPPER(TRIM(L53&amp;"")),2)="-N",TRIM(LEFT(UPPER(TRIM(L53&amp;"")),LEN(UPPER(TRIM(L53&amp;"")))-2)),UPPER(TRIM(L53&amp;""))))</f>
        <v/>
      </c>
      <c r="R53" s="0" t="str">
        <f aca="false">IF(Q53="","",IF(ISNUMBER(O53),ROUND(O53,1),IF(AND(ISNUMBER(M53),ISNUMBER(N53)),IF(N53&gt;0,ROUND(M53/N53*100,1),""),"")))</f>
        <v/>
      </c>
      <c r="S53" s="0" t="str">
        <f aca="false">IF(Q53="","",IF(RIGHT(UPPER(TRIM(L53&amp;"")),2)="-N","비경쟁",""))</f>
        <v/>
      </c>
      <c r="T53" s="0" t="str">
        <f aca="false">IF(Q53="","",IF(COUNTIF(참가자!$A$3:$A$52,Q53)=0,"명단에 없는 코드",""))</f>
        <v/>
      </c>
    </row>
    <row r="54" customFormat="false" ht="15" hidden="false" customHeight="false" outlineLevel="0" collapsed="false">
      <c r="L54" s="8"/>
      <c r="M54" s="8"/>
      <c r="N54" s="8"/>
      <c r="O54" s="8"/>
      <c r="Q54" s="0" t="str">
        <f aca="false">IF(UPPER(TRIM(L54&amp;""))="","",IF(RIGHT(UPPER(TRIM(L54&amp;"")),2)="-N",TRIM(LEFT(UPPER(TRIM(L54&amp;"")),LEN(UPPER(TRIM(L54&amp;"")))-2)),UPPER(TRIM(L54&amp;""))))</f>
        <v/>
      </c>
      <c r="R54" s="0" t="str">
        <f aca="false">IF(Q54="","",IF(ISNUMBER(O54),ROUND(O54,1),IF(AND(ISNUMBER(M54),ISNUMBER(N54)),IF(N54&gt;0,ROUND(M54/N54*100,1),""),"")))</f>
        <v/>
      </c>
      <c r="S54" s="0" t="str">
        <f aca="false">IF(Q54="","",IF(RIGHT(UPPER(TRIM(L54&amp;"")),2)="-N","비경쟁",""))</f>
        <v/>
      </c>
      <c r="T54" s="0" t="str">
        <f aca="false">IF(Q54="","",IF(COUNTIF(참가자!$A$3:$A$52,Q54)=0,"명단에 없는 코드",""))</f>
        <v/>
      </c>
    </row>
    <row r="55" customFormat="false" ht="15" hidden="false" customHeight="false" outlineLevel="0" collapsed="false">
      <c r="L55" s="8"/>
      <c r="M55" s="8"/>
      <c r="N55" s="8"/>
      <c r="O55" s="8"/>
      <c r="Q55" s="0" t="str">
        <f aca="false">IF(UPPER(TRIM(L55&amp;""))="","",IF(RIGHT(UPPER(TRIM(L55&amp;"")),2)="-N",TRIM(LEFT(UPPER(TRIM(L55&amp;"")),LEN(UPPER(TRIM(L55&amp;"")))-2)),UPPER(TRIM(L55&amp;""))))</f>
        <v/>
      </c>
      <c r="R55" s="0" t="str">
        <f aca="false">IF(Q55="","",IF(ISNUMBER(O55),ROUND(O55,1),IF(AND(ISNUMBER(M55),ISNUMBER(N55)),IF(N55&gt;0,ROUND(M55/N55*100,1),""),"")))</f>
        <v/>
      </c>
      <c r="S55" s="0" t="str">
        <f aca="false">IF(Q55="","",IF(RIGHT(UPPER(TRIM(L55&amp;"")),2)="-N","비경쟁",""))</f>
        <v/>
      </c>
      <c r="T55" s="0" t="str">
        <f aca="false">IF(Q55="","",IF(COUNTIF(참가자!$A$3:$A$52,Q55)=0,"명단에 없는 코드",""))</f>
        <v/>
      </c>
    </row>
    <row r="56" customFormat="false" ht="15" hidden="false" customHeight="false" outlineLevel="0" collapsed="false">
      <c r="L56" s="8"/>
      <c r="M56" s="8"/>
      <c r="N56" s="8"/>
      <c r="O56" s="8"/>
      <c r="Q56" s="0" t="str">
        <f aca="false">IF(UPPER(TRIM(L56&amp;""))="","",IF(RIGHT(UPPER(TRIM(L56&amp;"")),2)="-N",TRIM(LEFT(UPPER(TRIM(L56&amp;"")),LEN(UPPER(TRIM(L56&amp;"")))-2)),UPPER(TRIM(L56&amp;""))))</f>
        <v/>
      </c>
      <c r="R56" s="0" t="str">
        <f aca="false">IF(Q56="","",IF(ISNUMBER(O56),ROUND(O56,1),IF(AND(ISNUMBER(M56),ISNUMBER(N56)),IF(N56&gt;0,ROUND(M56/N56*100,1),""),"")))</f>
        <v/>
      </c>
      <c r="S56" s="0" t="str">
        <f aca="false">IF(Q56="","",IF(RIGHT(UPPER(TRIM(L56&amp;"")),2)="-N","비경쟁",""))</f>
        <v/>
      </c>
      <c r="T56" s="0" t="str">
        <f aca="false">IF(Q56="","",IF(COUNTIF(참가자!$A$3:$A$52,Q56)=0,"명단에 없는 코드",""))</f>
        <v/>
      </c>
    </row>
    <row r="57" customFormat="false" ht="15" hidden="false" customHeight="false" outlineLevel="0" collapsed="false">
      <c r="L57" s="8"/>
      <c r="M57" s="8"/>
      <c r="N57" s="8"/>
      <c r="O57" s="8"/>
      <c r="Q57" s="0" t="str">
        <f aca="false">IF(UPPER(TRIM(L57&amp;""))="","",IF(RIGHT(UPPER(TRIM(L57&amp;"")),2)="-N",TRIM(LEFT(UPPER(TRIM(L57&amp;"")),LEN(UPPER(TRIM(L57&amp;"")))-2)),UPPER(TRIM(L57&amp;""))))</f>
        <v/>
      </c>
      <c r="R57" s="0" t="str">
        <f aca="false">IF(Q57="","",IF(ISNUMBER(O57),ROUND(O57,1),IF(AND(ISNUMBER(M57),ISNUMBER(N57)),IF(N57&gt;0,ROUND(M57/N57*100,1),""),"")))</f>
        <v/>
      </c>
      <c r="S57" s="0" t="str">
        <f aca="false">IF(Q57="","",IF(RIGHT(UPPER(TRIM(L57&amp;"")),2)="-N","비경쟁",""))</f>
        <v/>
      </c>
      <c r="T57" s="0" t="str">
        <f aca="false">IF(Q57="","",IF(COUNTIF(참가자!$A$3:$A$52,Q57)=0,"명단에 없는 코드",""))</f>
        <v/>
      </c>
    </row>
    <row r="58" customFormat="false" ht="15" hidden="false" customHeight="false" outlineLevel="0" collapsed="false">
      <c r="L58" s="8"/>
      <c r="M58" s="8"/>
      <c r="N58" s="8"/>
      <c r="O58" s="8"/>
      <c r="Q58" s="0" t="str">
        <f aca="false">IF(UPPER(TRIM(L58&amp;""))="","",IF(RIGHT(UPPER(TRIM(L58&amp;"")),2)="-N",TRIM(LEFT(UPPER(TRIM(L58&amp;"")),LEN(UPPER(TRIM(L58&amp;"")))-2)),UPPER(TRIM(L58&amp;""))))</f>
        <v/>
      </c>
      <c r="R58" s="0" t="str">
        <f aca="false">IF(Q58="","",IF(ISNUMBER(O58),ROUND(O58,1),IF(AND(ISNUMBER(M58),ISNUMBER(N58)),IF(N58&gt;0,ROUND(M58/N58*100,1),""),"")))</f>
        <v/>
      </c>
      <c r="S58" s="0" t="str">
        <f aca="false">IF(Q58="","",IF(RIGHT(UPPER(TRIM(L58&amp;"")),2)="-N","비경쟁",""))</f>
        <v/>
      </c>
      <c r="T58" s="0" t="str">
        <f aca="false">IF(Q58="","",IF(COUNTIF(참가자!$A$3:$A$52,Q58)=0,"명단에 없는 코드",""))</f>
        <v/>
      </c>
    </row>
    <row r="59" customFormat="false" ht="15" hidden="false" customHeight="false" outlineLevel="0" collapsed="false">
      <c r="L59" s="8"/>
      <c r="M59" s="8"/>
      <c r="N59" s="8"/>
      <c r="O59" s="8"/>
      <c r="Q59" s="0" t="str">
        <f aca="false">IF(UPPER(TRIM(L59&amp;""))="","",IF(RIGHT(UPPER(TRIM(L59&amp;"")),2)="-N",TRIM(LEFT(UPPER(TRIM(L59&amp;"")),LEN(UPPER(TRIM(L59&amp;"")))-2)),UPPER(TRIM(L59&amp;""))))</f>
        <v/>
      </c>
      <c r="R59" s="0" t="str">
        <f aca="false">IF(Q59="","",IF(ISNUMBER(O59),ROUND(O59,1),IF(AND(ISNUMBER(M59),ISNUMBER(N59)),IF(N59&gt;0,ROUND(M59/N59*100,1),""),"")))</f>
        <v/>
      </c>
      <c r="S59" s="0" t="str">
        <f aca="false">IF(Q59="","",IF(RIGHT(UPPER(TRIM(L59&amp;"")),2)="-N","비경쟁",""))</f>
        <v/>
      </c>
      <c r="T59" s="0" t="str">
        <f aca="false">IF(Q59="","",IF(COUNTIF(참가자!$A$3:$A$52,Q59)=0,"명단에 없는 코드",""))</f>
        <v/>
      </c>
    </row>
    <row r="60" customFormat="false" ht="15" hidden="false" customHeight="false" outlineLevel="0" collapsed="false">
      <c r="L60" s="8"/>
      <c r="M60" s="8"/>
      <c r="N60" s="8"/>
      <c r="O60" s="8"/>
      <c r="Q60" s="0" t="str">
        <f aca="false">IF(UPPER(TRIM(L60&amp;""))="","",IF(RIGHT(UPPER(TRIM(L60&amp;"")),2)="-N",TRIM(LEFT(UPPER(TRIM(L60&amp;"")),LEN(UPPER(TRIM(L60&amp;"")))-2)),UPPER(TRIM(L60&amp;""))))</f>
        <v/>
      </c>
      <c r="R60" s="0" t="str">
        <f aca="false">IF(Q60="","",IF(ISNUMBER(O60),ROUND(O60,1),IF(AND(ISNUMBER(M60),ISNUMBER(N60)),IF(N60&gt;0,ROUND(M60/N60*100,1),""),"")))</f>
        <v/>
      </c>
      <c r="S60" s="0" t="str">
        <f aca="false">IF(Q60="","",IF(RIGHT(UPPER(TRIM(L60&amp;"")),2)="-N","비경쟁",""))</f>
        <v/>
      </c>
      <c r="T60" s="0" t="str">
        <f aca="false">IF(Q60="","",IF(COUNTIF(참가자!$A$3:$A$52,Q60)=0,"명단에 없는 코드",""))</f>
        <v/>
      </c>
    </row>
    <row r="61" customFormat="false" ht="15" hidden="false" customHeight="false" outlineLevel="0" collapsed="false">
      <c r="L61" s="8"/>
      <c r="M61" s="8"/>
      <c r="N61" s="8"/>
      <c r="O61" s="8"/>
      <c r="Q61" s="0" t="str">
        <f aca="false">IF(UPPER(TRIM(L61&amp;""))="","",IF(RIGHT(UPPER(TRIM(L61&amp;"")),2)="-N",TRIM(LEFT(UPPER(TRIM(L61&amp;"")),LEN(UPPER(TRIM(L61&amp;"")))-2)),UPPER(TRIM(L61&amp;""))))</f>
        <v/>
      </c>
      <c r="R61" s="0" t="str">
        <f aca="false">IF(Q61="","",IF(ISNUMBER(O61),ROUND(O61,1),IF(AND(ISNUMBER(M61),ISNUMBER(N61)),IF(N61&gt;0,ROUND(M61/N61*100,1),""),"")))</f>
        <v/>
      </c>
      <c r="S61" s="0" t="str">
        <f aca="false">IF(Q61="","",IF(RIGHT(UPPER(TRIM(L61&amp;"")),2)="-N","비경쟁",""))</f>
        <v/>
      </c>
      <c r="T61" s="0" t="str">
        <f aca="false">IF(Q61="","",IF(COUNTIF(참가자!$A$3:$A$52,Q61)=0,"명단에 없는 코드",""))</f>
        <v/>
      </c>
    </row>
    <row r="62" customFormat="false" ht="15" hidden="false" customHeight="false" outlineLevel="0" collapsed="false">
      <c r="L62" s="8"/>
      <c r="M62" s="8"/>
      <c r="N62" s="8"/>
      <c r="O62" s="8"/>
      <c r="Q62" s="0" t="str">
        <f aca="false">IF(UPPER(TRIM(L62&amp;""))="","",IF(RIGHT(UPPER(TRIM(L62&amp;"")),2)="-N",TRIM(LEFT(UPPER(TRIM(L62&amp;"")),LEN(UPPER(TRIM(L62&amp;"")))-2)),UPPER(TRIM(L62&amp;""))))</f>
        <v/>
      </c>
      <c r="R62" s="0" t="str">
        <f aca="false">IF(Q62="","",IF(ISNUMBER(O62),ROUND(O62,1),IF(AND(ISNUMBER(M62),ISNUMBER(N62)),IF(N62&gt;0,ROUND(M62/N62*100,1),""),"")))</f>
        <v/>
      </c>
      <c r="S62" s="0" t="str">
        <f aca="false">IF(Q62="","",IF(RIGHT(UPPER(TRIM(L62&amp;"")),2)="-N","비경쟁",""))</f>
        <v/>
      </c>
      <c r="T62" s="0" t="str">
        <f aca="false">IF(Q62="","",IF(COUNTIF(참가자!$A$3:$A$52,Q62)=0,"명단에 없는 코드",""))</f>
        <v/>
      </c>
    </row>
    <row r="63" customFormat="false" ht="15" hidden="false" customHeight="false" outlineLevel="0" collapsed="false">
      <c r="L63" s="8"/>
      <c r="M63" s="8"/>
      <c r="N63" s="8"/>
      <c r="O63" s="8"/>
      <c r="Q63" s="0" t="str">
        <f aca="false">IF(UPPER(TRIM(L63&amp;""))="","",IF(RIGHT(UPPER(TRIM(L63&amp;"")),2)="-N",TRIM(LEFT(UPPER(TRIM(L63&amp;"")),LEN(UPPER(TRIM(L63&amp;"")))-2)),UPPER(TRIM(L63&amp;""))))</f>
        <v/>
      </c>
      <c r="R63" s="0" t="str">
        <f aca="false">IF(Q63="","",IF(ISNUMBER(O63),ROUND(O63,1),IF(AND(ISNUMBER(M63),ISNUMBER(N63)),IF(N63&gt;0,ROUND(M63/N63*100,1),""),"")))</f>
        <v/>
      </c>
      <c r="S63" s="0" t="str">
        <f aca="false">IF(Q63="","",IF(RIGHT(UPPER(TRIM(L63&amp;"")),2)="-N","비경쟁",""))</f>
        <v/>
      </c>
      <c r="T63" s="0" t="str">
        <f aca="false">IF(Q63="","",IF(COUNTIF(참가자!$A$3:$A$52,Q63)=0,"명단에 없는 코드",""))</f>
        <v/>
      </c>
    </row>
    <row r="64" customFormat="false" ht="15" hidden="false" customHeight="false" outlineLevel="0" collapsed="false">
      <c r="L64" s="8"/>
      <c r="M64" s="8"/>
      <c r="N64" s="8"/>
      <c r="O64" s="8"/>
      <c r="Q64" s="0" t="str">
        <f aca="false">IF(UPPER(TRIM(L64&amp;""))="","",IF(RIGHT(UPPER(TRIM(L64&amp;"")),2)="-N",TRIM(LEFT(UPPER(TRIM(L64&amp;"")),LEN(UPPER(TRIM(L64&amp;"")))-2)),UPPER(TRIM(L64&amp;""))))</f>
        <v/>
      </c>
      <c r="R64" s="0" t="str">
        <f aca="false">IF(Q64="","",IF(ISNUMBER(O64),ROUND(O64,1),IF(AND(ISNUMBER(M64),ISNUMBER(N64)),IF(N64&gt;0,ROUND(M64/N64*100,1),""),"")))</f>
        <v/>
      </c>
      <c r="S64" s="0" t="str">
        <f aca="false">IF(Q64="","",IF(RIGHT(UPPER(TRIM(L64&amp;"")),2)="-N","비경쟁",""))</f>
        <v/>
      </c>
      <c r="T64" s="0" t="str">
        <f aca="false">IF(Q64="","",IF(COUNTIF(참가자!$A$3:$A$52,Q64)=0,"명단에 없는 코드",""))</f>
        <v/>
      </c>
    </row>
    <row r="65" customFormat="false" ht="15" hidden="false" customHeight="false" outlineLevel="0" collapsed="false">
      <c r="L65" s="8"/>
      <c r="M65" s="8"/>
      <c r="N65" s="8"/>
      <c r="O65" s="8"/>
      <c r="Q65" s="0" t="str">
        <f aca="false">IF(UPPER(TRIM(L65&amp;""))="","",IF(RIGHT(UPPER(TRIM(L65&amp;"")),2)="-N",TRIM(LEFT(UPPER(TRIM(L65&amp;"")),LEN(UPPER(TRIM(L65&amp;"")))-2)),UPPER(TRIM(L65&amp;""))))</f>
        <v/>
      </c>
      <c r="R65" s="0" t="str">
        <f aca="false">IF(Q65="","",IF(ISNUMBER(O65),ROUND(O65,1),IF(AND(ISNUMBER(M65),ISNUMBER(N65)),IF(N65&gt;0,ROUND(M65/N65*100,1),""),"")))</f>
        <v/>
      </c>
      <c r="S65" s="0" t="str">
        <f aca="false">IF(Q65="","",IF(RIGHT(UPPER(TRIM(L65&amp;"")),2)="-N","비경쟁",""))</f>
        <v/>
      </c>
      <c r="T65" s="0" t="str">
        <f aca="false">IF(Q65="","",IF(COUNTIF(참가자!$A$3:$A$52,Q65)=0,"명단에 없는 코드",""))</f>
        <v/>
      </c>
    </row>
    <row r="66" customFormat="false" ht="15" hidden="false" customHeight="false" outlineLevel="0" collapsed="false">
      <c r="L66" s="8"/>
      <c r="M66" s="8"/>
      <c r="N66" s="8"/>
      <c r="O66" s="8"/>
      <c r="Q66" s="0" t="str">
        <f aca="false">IF(UPPER(TRIM(L66&amp;""))="","",IF(RIGHT(UPPER(TRIM(L66&amp;"")),2)="-N",TRIM(LEFT(UPPER(TRIM(L66&amp;"")),LEN(UPPER(TRIM(L66&amp;"")))-2)),UPPER(TRIM(L66&amp;""))))</f>
        <v/>
      </c>
      <c r="R66" s="0" t="str">
        <f aca="false">IF(Q66="","",IF(ISNUMBER(O66),ROUND(O66,1),IF(AND(ISNUMBER(M66),ISNUMBER(N66)),IF(N66&gt;0,ROUND(M66/N66*100,1),""),"")))</f>
        <v/>
      </c>
      <c r="S66" s="0" t="str">
        <f aca="false">IF(Q66="","",IF(RIGHT(UPPER(TRIM(L66&amp;"")),2)="-N","비경쟁",""))</f>
        <v/>
      </c>
      <c r="T66" s="0" t="str">
        <f aca="false">IF(Q66="","",IF(COUNTIF(참가자!$A$3:$A$52,Q66)=0,"명단에 없는 코드",""))</f>
        <v/>
      </c>
    </row>
    <row r="67" customFormat="false" ht="15" hidden="false" customHeight="false" outlineLevel="0" collapsed="false">
      <c r="L67" s="8"/>
      <c r="M67" s="8"/>
      <c r="N67" s="8"/>
      <c r="O67" s="8"/>
      <c r="Q67" s="0" t="str">
        <f aca="false">IF(UPPER(TRIM(L67&amp;""))="","",IF(RIGHT(UPPER(TRIM(L67&amp;"")),2)="-N",TRIM(LEFT(UPPER(TRIM(L67&amp;"")),LEN(UPPER(TRIM(L67&amp;"")))-2)),UPPER(TRIM(L67&amp;""))))</f>
        <v/>
      </c>
      <c r="R67" s="0" t="str">
        <f aca="false">IF(Q67="","",IF(ISNUMBER(O67),ROUND(O67,1),IF(AND(ISNUMBER(M67),ISNUMBER(N67)),IF(N67&gt;0,ROUND(M67/N67*100,1),""),"")))</f>
        <v/>
      </c>
      <c r="S67" s="0" t="str">
        <f aca="false">IF(Q67="","",IF(RIGHT(UPPER(TRIM(L67&amp;"")),2)="-N","비경쟁",""))</f>
        <v/>
      </c>
      <c r="T67" s="0" t="str">
        <f aca="false">IF(Q67="","",IF(COUNTIF(참가자!$A$3:$A$52,Q67)=0,"명단에 없는 코드",""))</f>
        <v/>
      </c>
    </row>
    <row r="68" customFormat="false" ht="15" hidden="false" customHeight="false" outlineLevel="0" collapsed="false">
      <c r="L68" s="8"/>
      <c r="M68" s="8"/>
      <c r="N68" s="8"/>
      <c r="O68" s="8"/>
      <c r="Q68" s="0" t="str">
        <f aca="false">IF(UPPER(TRIM(L68&amp;""))="","",IF(RIGHT(UPPER(TRIM(L68&amp;"")),2)="-N",TRIM(LEFT(UPPER(TRIM(L68&amp;"")),LEN(UPPER(TRIM(L68&amp;"")))-2)),UPPER(TRIM(L68&amp;""))))</f>
        <v/>
      </c>
      <c r="R68" s="0" t="str">
        <f aca="false">IF(Q68="","",IF(ISNUMBER(O68),ROUND(O68,1),IF(AND(ISNUMBER(M68),ISNUMBER(N68)),IF(N68&gt;0,ROUND(M68/N68*100,1),""),"")))</f>
        <v/>
      </c>
      <c r="S68" s="0" t="str">
        <f aca="false">IF(Q68="","",IF(RIGHT(UPPER(TRIM(L68&amp;"")),2)="-N","비경쟁",""))</f>
        <v/>
      </c>
      <c r="T68" s="0" t="str">
        <f aca="false">IF(Q68="","",IF(COUNTIF(참가자!$A$3:$A$52,Q68)=0,"명단에 없는 코드",""))</f>
        <v/>
      </c>
    </row>
    <row r="69" customFormat="false" ht="15" hidden="false" customHeight="false" outlineLevel="0" collapsed="false">
      <c r="L69" s="8"/>
      <c r="M69" s="8"/>
      <c r="N69" s="8"/>
      <c r="O69" s="8"/>
      <c r="Q69" s="0" t="str">
        <f aca="false">IF(UPPER(TRIM(L69&amp;""))="","",IF(RIGHT(UPPER(TRIM(L69&amp;"")),2)="-N",TRIM(LEFT(UPPER(TRIM(L69&amp;"")),LEN(UPPER(TRIM(L69&amp;"")))-2)),UPPER(TRIM(L69&amp;""))))</f>
        <v/>
      </c>
      <c r="R69" s="0" t="str">
        <f aca="false">IF(Q69="","",IF(ISNUMBER(O69),ROUND(O69,1),IF(AND(ISNUMBER(M69),ISNUMBER(N69)),IF(N69&gt;0,ROUND(M69/N69*100,1),""),"")))</f>
        <v/>
      </c>
      <c r="S69" s="0" t="str">
        <f aca="false">IF(Q69="","",IF(RIGHT(UPPER(TRIM(L69&amp;"")),2)="-N","비경쟁",""))</f>
        <v/>
      </c>
      <c r="T69" s="0" t="str">
        <f aca="false">IF(Q69="","",IF(COUNTIF(참가자!$A$3:$A$52,Q69)=0,"명단에 없는 코드",""))</f>
        <v/>
      </c>
    </row>
    <row r="70" customFormat="false" ht="15" hidden="false" customHeight="false" outlineLevel="0" collapsed="false">
      <c r="L70" s="8"/>
      <c r="M70" s="8"/>
      <c r="N70" s="8"/>
      <c r="O70" s="8"/>
      <c r="Q70" s="0" t="str">
        <f aca="false">IF(UPPER(TRIM(L70&amp;""))="","",IF(RIGHT(UPPER(TRIM(L70&amp;"")),2)="-N",TRIM(LEFT(UPPER(TRIM(L70&amp;"")),LEN(UPPER(TRIM(L70&amp;"")))-2)),UPPER(TRIM(L70&amp;""))))</f>
        <v/>
      </c>
      <c r="R70" s="0" t="str">
        <f aca="false">IF(Q70="","",IF(ISNUMBER(O70),ROUND(O70,1),IF(AND(ISNUMBER(M70),ISNUMBER(N70)),IF(N70&gt;0,ROUND(M70/N70*100,1),""),"")))</f>
        <v/>
      </c>
      <c r="S70" s="0" t="str">
        <f aca="false">IF(Q70="","",IF(RIGHT(UPPER(TRIM(L70&amp;"")),2)="-N","비경쟁",""))</f>
        <v/>
      </c>
      <c r="T70" s="0" t="str">
        <f aca="false">IF(Q70="","",IF(COUNTIF(참가자!$A$3:$A$52,Q70)=0,"명단에 없는 코드",""))</f>
        <v/>
      </c>
    </row>
    <row r="71" customFormat="false" ht="15" hidden="false" customHeight="false" outlineLevel="0" collapsed="false">
      <c r="L71" s="8"/>
      <c r="M71" s="8"/>
      <c r="N71" s="8"/>
      <c r="O71" s="8"/>
      <c r="Q71" s="0" t="str">
        <f aca="false">IF(UPPER(TRIM(L71&amp;""))="","",IF(RIGHT(UPPER(TRIM(L71&amp;"")),2)="-N",TRIM(LEFT(UPPER(TRIM(L71&amp;"")),LEN(UPPER(TRIM(L71&amp;"")))-2)),UPPER(TRIM(L71&amp;""))))</f>
        <v/>
      </c>
      <c r="R71" s="0" t="str">
        <f aca="false">IF(Q71="","",IF(ISNUMBER(O71),ROUND(O71,1),IF(AND(ISNUMBER(M71),ISNUMBER(N71)),IF(N71&gt;0,ROUND(M71/N71*100,1),""),"")))</f>
        <v/>
      </c>
      <c r="S71" s="0" t="str">
        <f aca="false">IF(Q71="","",IF(RIGHT(UPPER(TRIM(L71&amp;"")),2)="-N","비경쟁",""))</f>
        <v/>
      </c>
      <c r="T71" s="0" t="str">
        <f aca="false">IF(Q71="","",IF(COUNTIF(참가자!$A$3:$A$52,Q71)=0,"명단에 없는 코드",""))</f>
        <v/>
      </c>
    </row>
    <row r="72" customFormat="false" ht="15" hidden="false" customHeight="false" outlineLevel="0" collapsed="false">
      <c r="L72" s="8"/>
      <c r="M72" s="8"/>
      <c r="N72" s="8"/>
      <c r="O72" s="8"/>
      <c r="Q72" s="0" t="str">
        <f aca="false">IF(UPPER(TRIM(L72&amp;""))="","",IF(RIGHT(UPPER(TRIM(L72&amp;"")),2)="-N",TRIM(LEFT(UPPER(TRIM(L72&amp;"")),LEN(UPPER(TRIM(L72&amp;"")))-2)),UPPER(TRIM(L72&amp;""))))</f>
        <v/>
      </c>
      <c r="R72" s="0" t="str">
        <f aca="false">IF(Q72="","",IF(ISNUMBER(O72),ROUND(O72,1),IF(AND(ISNUMBER(M72),ISNUMBER(N72)),IF(N72&gt;0,ROUND(M72/N72*100,1),""),"")))</f>
        <v/>
      </c>
      <c r="S72" s="0" t="str">
        <f aca="false">IF(Q72="","",IF(RIGHT(UPPER(TRIM(L72&amp;"")),2)="-N","비경쟁",""))</f>
        <v/>
      </c>
      <c r="T72" s="0" t="str">
        <f aca="false">IF(Q72="","",IF(COUNTIF(참가자!$A$3:$A$52,Q72)=0,"명단에 없는 코드",""))</f>
        <v/>
      </c>
    </row>
    <row r="73" customFormat="false" ht="15" hidden="false" customHeight="false" outlineLevel="0" collapsed="false">
      <c r="L73" s="8"/>
      <c r="M73" s="8"/>
      <c r="N73" s="8"/>
      <c r="O73" s="8"/>
      <c r="Q73" s="0" t="str">
        <f aca="false">IF(UPPER(TRIM(L73&amp;""))="","",IF(RIGHT(UPPER(TRIM(L73&amp;"")),2)="-N",TRIM(LEFT(UPPER(TRIM(L73&amp;"")),LEN(UPPER(TRIM(L73&amp;"")))-2)),UPPER(TRIM(L73&amp;""))))</f>
        <v/>
      </c>
      <c r="R73" s="0" t="str">
        <f aca="false">IF(Q73="","",IF(ISNUMBER(O73),ROUND(O73,1),IF(AND(ISNUMBER(M73),ISNUMBER(N73)),IF(N73&gt;0,ROUND(M73/N73*100,1),""),"")))</f>
        <v/>
      </c>
      <c r="S73" s="0" t="str">
        <f aca="false">IF(Q73="","",IF(RIGHT(UPPER(TRIM(L73&amp;"")),2)="-N","비경쟁",""))</f>
        <v/>
      </c>
      <c r="T73" s="0" t="str">
        <f aca="false">IF(Q73="","",IF(COUNTIF(참가자!$A$3:$A$52,Q73)=0,"명단에 없는 코드",""))</f>
        <v/>
      </c>
    </row>
    <row r="74" customFormat="false" ht="15" hidden="false" customHeight="false" outlineLevel="0" collapsed="false">
      <c r="L74" s="8"/>
      <c r="M74" s="8"/>
      <c r="N74" s="8"/>
      <c r="O74" s="8"/>
      <c r="Q74" s="0" t="str">
        <f aca="false">IF(UPPER(TRIM(L74&amp;""))="","",IF(RIGHT(UPPER(TRIM(L74&amp;"")),2)="-N",TRIM(LEFT(UPPER(TRIM(L74&amp;"")),LEN(UPPER(TRIM(L74&amp;"")))-2)),UPPER(TRIM(L74&amp;""))))</f>
        <v/>
      </c>
      <c r="R74" s="0" t="str">
        <f aca="false">IF(Q74="","",IF(ISNUMBER(O74),ROUND(O74,1),IF(AND(ISNUMBER(M74),ISNUMBER(N74)),IF(N74&gt;0,ROUND(M74/N74*100,1),""),"")))</f>
        <v/>
      </c>
      <c r="S74" s="0" t="str">
        <f aca="false">IF(Q74="","",IF(RIGHT(UPPER(TRIM(L74&amp;"")),2)="-N","비경쟁",""))</f>
        <v/>
      </c>
      <c r="T74" s="0" t="str">
        <f aca="false">IF(Q74="","",IF(COUNTIF(참가자!$A$3:$A$52,Q74)=0,"명단에 없는 코드",""))</f>
        <v/>
      </c>
    </row>
    <row r="75" customFormat="false" ht="15" hidden="false" customHeight="false" outlineLevel="0" collapsed="false">
      <c r="L75" s="8"/>
      <c r="M75" s="8"/>
      <c r="N75" s="8"/>
      <c r="O75" s="8"/>
      <c r="Q75" s="0" t="str">
        <f aca="false">IF(UPPER(TRIM(L75&amp;""))="","",IF(RIGHT(UPPER(TRIM(L75&amp;"")),2)="-N",TRIM(LEFT(UPPER(TRIM(L75&amp;"")),LEN(UPPER(TRIM(L75&amp;"")))-2)),UPPER(TRIM(L75&amp;""))))</f>
        <v/>
      </c>
      <c r="R75" s="0" t="str">
        <f aca="false">IF(Q75="","",IF(ISNUMBER(O75),ROUND(O75,1),IF(AND(ISNUMBER(M75),ISNUMBER(N75)),IF(N75&gt;0,ROUND(M75/N75*100,1),""),"")))</f>
        <v/>
      </c>
      <c r="S75" s="0" t="str">
        <f aca="false">IF(Q75="","",IF(RIGHT(UPPER(TRIM(L75&amp;"")),2)="-N","비경쟁",""))</f>
        <v/>
      </c>
      <c r="T75" s="0" t="str">
        <f aca="false">IF(Q75="","",IF(COUNTIF(참가자!$A$3:$A$52,Q75)=0,"명단에 없는 코드",""))</f>
        <v/>
      </c>
    </row>
    <row r="76" customFormat="false" ht="15" hidden="false" customHeight="false" outlineLevel="0" collapsed="false">
      <c r="L76" s="8"/>
      <c r="M76" s="8"/>
      <c r="N76" s="8"/>
      <c r="O76" s="8"/>
      <c r="Q76" s="0" t="str">
        <f aca="false">IF(UPPER(TRIM(L76&amp;""))="","",IF(RIGHT(UPPER(TRIM(L76&amp;"")),2)="-N",TRIM(LEFT(UPPER(TRIM(L76&amp;"")),LEN(UPPER(TRIM(L76&amp;"")))-2)),UPPER(TRIM(L76&amp;""))))</f>
        <v/>
      </c>
      <c r="R76" s="0" t="str">
        <f aca="false">IF(Q76="","",IF(ISNUMBER(O76),ROUND(O76,1),IF(AND(ISNUMBER(M76),ISNUMBER(N76)),IF(N76&gt;0,ROUND(M76/N76*100,1),""),"")))</f>
        <v/>
      </c>
      <c r="S76" s="0" t="str">
        <f aca="false">IF(Q76="","",IF(RIGHT(UPPER(TRIM(L76&amp;"")),2)="-N","비경쟁",""))</f>
        <v/>
      </c>
      <c r="T76" s="0" t="str">
        <f aca="false">IF(Q76="","",IF(COUNTIF(참가자!$A$3:$A$52,Q76)=0,"명단에 없는 코드",""))</f>
        <v/>
      </c>
    </row>
    <row r="77" customFormat="false" ht="15" hidden="false" customHeight="false" outlineLevel="0" collapsed="false">
      <c r="L77" s="8"/>
      <c r="M77" s="8"/>
      <c r="N77" s="8"/>
      <c r="O77" s="8"/>
      <c r="Q77" s="0" t="str">
        <f aca="false">IF(UPPER(TRIM(L77&amp;""))="","",IF(RIGHT(UPPER(TRIM(L77&amp;"")),2)="-N",TRIM(LEFT(UPPER(TRIM(L77&amp;"")),LEN(UPPER(TRIM(L77&amp;"")))-2)),UPPER(TRIM(L77&amp;""))))</f>
        <v/>
      </c>
      <c r="R77" s="0" t="str">
        <f aca="false">IF(Q77="","",IF(ISNUMBER(O77),ROUND(O77,1),IF(AND(ISNUMBER(M77),ISNUMBER(N77)),IF(N77&gt;0,ROUND(M77/N77*100,1),""),"")))</f>
        <v/>
      </c>
      <c r="S77" s="0" t="str">
        <f aca="false">IF(Q77="","",IF(RIGHT(UPPER(TRIM(L77&amp;"")),2)="-N","비경쟁",""))</f>
        <v/>
      </c>
      <c r="T77" s="0" t="str">
        <f aca="false">IF(Q77="","",IF(COUNTIF(참가자!$A$3:$A$52,Q77)=0,"명단에 없는 코드",""))</f>
        <v/>
      </c>
    </row>
    <row r="78" customFormat="false" ht="15" hidden="false" customHeight="false" outlineLevel="0" collapsed="false">
      <c r="L78" s="8"/>
      <c r="M78" s="8"/>
      <c r="N78" s="8"/>
      <c r="O78" s="8"/>
      <c r="Q78" s="0" t="str">
        <f aca="false">IF(UPPER(TRIM(L78&amp;""))="","",IF(RIGHT(UPPER(TRIM(L78&amp;"")),2)="-N",TRIM(LEFT(UPPER(TRIM(L78&amp;"")),LEN(UPPER(TRIM(L78&amp;"")))-2)),UPPER(TRIM(L78&amp;""))))</f>
        <v/>
      </c>
      <c r="R78" s="0" t="str">
        <f aca="false">IF(Q78="","",IF(ISNUMBER(O78),ROUND(O78,1),IF(AND(ISNUMBER(M78),ISNUMBER(N78)),IF(N78&gt;0,ROUND(M78/N78*100,1),""),"")))</f>
        <v/>
      </c>
      <c r="S78" s="0" t="str">
        <f aca="false">IF(Q78="","",IF(RIGHT(UPPER(TRIM(L78&amp;"")),2)="-N","비경쟁",""))</f>
        <v/>
      </c>
      <c r="T78" s="0" t="str">
        <f aca="false">IF(Q78="","",IF(COUNTIF(참가자!$A$3:$A$52,Q78)=0,"명단에 없는 코드",""))</f>
        <v/>
      </c>
    </row>
    <row r="79" customFormat="false" ht="15" hidden="false" customHeight="false" outlineLevel="0" collapsed="false">
      <c r="L79" s="8"/>
      <c r="M79" s="8"/>
      <c r="N79" s="8"/>
      <c r="O79" s="8"/>
      <c r="Q79" s="0" t="str">
        <f aca="false">IF(UPPER(TRIM(L79&amp;""))="","",IF(RIGHT(UPPER(TRIM(L79&amp;"")),2)="-N",TRIM(LEFT(UPPER(TRIM(L79&amp;"")),LEN(UPPER(TRIM(L79&amp;"")))-2)),UPPER(TRIM(L79&amp;""))))</f>
        <v/>
      </c>
      <c r="R79" s="0" t="str">
        <f aca="false">IF(Q79="","",IF(ISNUMBER(O79),ROUND(O79,1),IF(AND(ISNUMBER(M79),ISNUMBER(N79)),IF(N79&gt;0,ROUND(M79/N79*100,1),""),"")))</f>
        <v/>
      </c>
      <c r="S79" s="0" t="str">
        <f aca="false">IF(Q79="","",IF(RIGHT(UPPER(TRIM(L79&amp;"")),2)="-N","비경쟁",""))</f>
        <v/>
      </c>
      <c r="T79" s="0" t="str">
        <f aca="false">IF(Q79="","",IF(COUNTIF(참가자!$A$3:$A$52,Q79)=0,"명단에 없는 코드",""))</f>
        <v/>
      </c>
    </row>
    <row r="80" customFormat="false" ht="15" hidden="false" customHeight="false" outlineLevel="0" collapsed="false">
      <c r="L80" s="8"/>
      <c r="M80" s="8"/>
      <c r="N80" s="8"/>
      <c r="O80" s="8"/>
      <c r="Q80" s="0" t="str">
        <f aca="false">IF(UPPER(TRIM(L80&amp;""))="","",IF(RIGHT(UPPER(TRIM(L80&amp;"")),2)="-N",TRIM(LEFT(UPPER(TRIM(L80&amp;"")),LEN(UPPER(TRIM(L80&amp;"")))-2)),UPPER(TRIM(L80&amp;""))))</f>
        <v/>
      </c>
      <c r="R80" s="0" t="str">
        <f aca="false">IF(Q80="","",IF(ISNUMBER(O80),ROUND(O80,1),IF(AND(ISNUMBER(M80),ISNUMBER(N80)),IF(N80&gt;0,ROUND(M80/N80*100,1),""),"")))</f>
        <v/>
      </c>
      <c r="S80" s="0" t="str">
        <f aca="false">IF(Q80="","",IF(RIGHT(UPPER(TRIM(L80&amp;"")),2)="-N","비경쟁",""))</f>
        <v/>
      </c>
      <c r="T80" s="0" t="str">
        <f aca="false">IF(Q80="","",IF(COUNTIF(참가자!$A$3:$A$52,Q80)=0,"명단에 없는 코드",""))</f>
        <v/>
      </c>
    </row>
    <row r="81" customFormat="false" ht="15" hidden="false" customHeight="false" outlineLevel="0" collapsed="false">
      <c r="L81" s="8"/>
      <c r="M81" s="8"/>
      <c r="N81" s="8"/>
      <c r="O81" s="8"/>
      <c r="Q81" s="0" t="str">
        <f aca="false">IF(UPPER(TRIM(L81&amp;""))="","",IF(RIGHT(UPPER(TRIM(L81&amp;"")),2)="-N",TRIM(LEFT(UPPER(TRIM(L81&amp;"")),LEN(UPPER(TRIM(L81&amp;"")))-2)),UPPER(TRIM(L81&amp;""))))</f>
        <v/>
      </c>
      <c r="R81" s="0" t="str">
        <f aca="false">IF(Q81="","",IF(ISNUMBER(O81),ROUND(O81,1),IF(AND(ISNUMBER(M81),ISNUMBER(N81)),IF(N81&gt;0,ROUND(M81/N81*100,1),""),"")))</f>
        <v/>
      </c>
      <c r="S81" s="0" t="str">
        <f aca="false">IF(Q81="","",IF(RIGHT(UPPER(TRIM(L81&amp;"")),2)="-N","비경쟁",""))</f>
        <v/>
      </c>
      <c r="T81" s="0" t="str">
        <f aca="false">IF(Q81="","",IF(COUNTIF(참가자!$A$3:$A$52,Q81)=0,"명단에 없는 코드",""))</f>
        <v/>
      </c>
    </row>
    <row r="82" customFormat="false" ht="15" hidden="false" customHeight="false" outlineLevel="0" collapsed="false">
      <c r="L82" s="8"/>
      <c r="M82" s="8"/>
      <c r="N82" s="8"/>
      <c r="O82" s="8"/>
      <c r="Q82" s="0" t="str">
        <f aca="false">IF(UPPER(TRIM(L82&amp;""))="","",IF(RIGHT(UPPER(TRIM(L82&amp;"")),2)="-N",TRIM(LEFT(UPPER(TRIM(L82&amp;"")),LEN(UPPER(TRIM(L82&amp;"")))-2)),UPPER(TRIM(L82&amp;""))))</f>
        <v/>
      </c>
      <c r="R82" s="0" t="str">
        <f aca="false">IF(Q82="","",IF(ISNUMBER(O82),ROUND(O82,1),IF(AND(ISNUMBER(M82),ISNUMBER(N82)),IF(N82&gt;0,ROUND(M82/N82*100,1),""),"")))</f>
        <v/>
      </c>
      <c r="S82" s="0" t="str">
        <f aca="false">IF(Q82="","",IF(RIGHT(UPPER(TRIM(L82&amp;"")),2)="-N","비경쟁",""))</f>
        <v/>
      </c>
      <c r="T82" s="0" t="str">
        <f aca="false">IF(Q82="","",IF(COUNTIF(참가자!$A$3:$A$52,Q82)=0,"명단에 없는 코드",""))</f>
        <v/>
      </c>
    </row>
    <row r="83" customFormat="false" ht="15" hidden="false" customHeight="false" outlineLevel="0" collapsed="false">
      <c r="L83" s="8"/>
      <c r="M83" s="8"/>
      <c r="N83" s="8"/>
      <c r="O83" s="8"/>
      <c r="Q83" s="0" t="str">
        <f aca="false">IF(UPPER(TRIM(L83&amp;""))="","",IF(RIGHT(UPPER(TRIM(L83&amp;"")),2)="-N",TRIM(LEFT(UPPER(TRIM(L83&amp;"")),LEN(UPPER(TRIM(L83&amp;"")))-2)),UPPER(TRIM(L83&amp;""))))</f>
        <v/>
      </c>
      <c r="R83" s="0" t="str">
        <f aca="false">IF(Q83="","",IF(ISNUMBER(O83),ROUND(O83,1),IF(AND(ISNUMBER(M83),ISNUMBER(N83)),IF(N83&gt;0,ROUND(M83/N83*100,1),""),"")))</f>
        <v/>
      </c>
      <c r="S83" s="0" t="str">
        <f aca="false">IF(Q83="","",IF(RIGHT(UPPER(TRIM(L83&amp;"")),2)="-N","비경쟁",""))</f>
        <v/>
      </c>
      <c r="T83" s="0" t="str">
        <f aca="false">IF(Q83="","",IF(COUNTIF(참가자!$A$3:$A$52,Q83)=0,"명단에 없는 코드",""))</f>
        <v/>
      </c>
    </row>
    <row r="84" customFormat="false" ht="15" hidden="false" customHeight="false" outlineLevel="0" collapsed="false">
      <c r="L84" s="8"/>
      <c r="M84" s="8"/>
      <c r="N84" s="8"/>
      <c r="O84" s="8"/>
      <c r="Q84" s="0" t="str">
        <f aca="false">IF(UPPER(TRIM(L84&amp;""))="","",IF(RIGHT(UPPER(TRIM(L84&amp;"")),2)="-N",TRIM(LEFT(UPPER(TRIM(L84&amp;"")),LEN(UPPER(TRIM(L84&amp;"")))-2)),UPPER(TRIM(L84&amp;""))))</f>
        <v/>
      </c>
      <c r="R84" s="0" t="str">
        <f aca="false">IF(Q84="","",IF(ISNUMBER(O84),ROUND(O84,1),IF(AND(ISNUMBER(M84),ISNUMBER(N84)),IF(N84&gt;0,ROUND(M84/N84*100,1),""),"")))</f>
        <v/>
      </c>
      <c r="S84" s="0" t="str">
        <f aca="false">IF(Q84="","",IF(RIGHT(UPPER(TRIM(L84&amp;"")),2)="-N","비경쟁",""))</f>
        <v/>
      </c>
      <c r="T84" s="0" t="str">
        <f aca="false">IF(Q84="","",IF(COUNTIF(참가자!$A$3:$A$52,Q84)=0,"명단에 없는 코드",""))</f>
        <v/>
      </c>
    </row>
    <row r="85" customFormat="false" ht="15" hidden="false" customHeight="false" outlineLevel="0" collapsed="false">
      <c r="L85" s="8"/>
      <c r="M85" s="8"/>
      <c r="N85" s="8"/>
      <c r="O85" s="8"/>
      <c r="Q85" s="0" t="str">
        <f aca="false">IF(UPPER(TRIM(L85&amp;""))="","",IF(RIGHT(UPPER(TRIM(L85&amp;"")),2)="-N",TRIM(LEFT(UPPER(TRIM(L85&amp;"")),LEN(UPPER(TRIM(L85&amp;"")))-2)),UPPER(TRIM(L85&amp;""))))</f>
        <v/>
      </c>
      <c r="R85" s="0" t="str">
        <f aca="false">IF(Q85="","",IF(ISNUMBER(O85),ROUND(O85,1),IF(AND(ISNUMBER(M85),ISNUMBER(N85)),IF(N85&gt;0,ROUND(M85/N85*100,1),""),"")))</f>
        <v/>
      </c>
      <c r="S85" s="0" t="str">
        <f aca="false">IF(Q85="","",IF(RIGHT(UPPER(TRIM(L85&amp;"")),2)="-N","비경쟁",""))</f>
        <v/>
      </c>
      <c r="T85" s="0" t="str">
        <f aca="false">IF(Q85="","",IF(COUNTIF(참가자!$A$3:$A$52,Q85)=0,"명단에 없는 코드",""))</f>
        <v/>
      </c>
    </row>
    <row r="86" customFormat="false" ht="15" hidden="false" customHeight="false" outlineLevel="0" collapsed="false">
      <c r="L86" s="8"/>
      <c r="M86" s="8"/>
      <c r="N86" s="8"/>
      <c r="O86" s="8"/>
      <c r="Q86" s="0" t="str">
        <f aca="false">IF(UPPER(TRIM(L86&amp;""))="","",IF(RIGHT(UPPER(TRIM(L86&amp;"")),2)="-N",TRIM(LEFT(UPPER(TRIM(L86&amp;"")),LEN(UPPER(TRIM(L86&amp;"")))-2)),UPPER(TRIM(L86&amp;""))))</f>
        <v/>
      </c>
      <c r="R86" s="0" t="str">
        <f aca="false">IF(Q86="","",IF(ISNUMBER(O86),ROUND(O86,1),IF(AND(ISNUMBER(M86),ISNUMBER(N86)),IF(N86&gt;0,ROUND(M86/N86*100,1),""),"")))</f>
        <v/>
      </c>
      <c r="S86" s="0" t="str">
        <f aca="false">IF(Q86="","",IF(RIGHT(UPPER(TRIM(L86&amp;"")),2)="-N","비경쟁",""))</f>
        <v/>
      </c>
      <c r="T86" s="0" t="str">
        <f aca="false">IF(Q86="","",IF(COUNTIF(참가자!$A$3:$A$52,Q86)=0,"명단에 없는 코드",""))</f>
        <v/>
      </c>
    </row>
    <row r="87" customFormat="false" ht="15" hidden="false" customHeight="false" outlineLevel="0" collapsed="false">
      <c r="L87" s="8"/>
      <c r="M87" s="8"/>
      <c r="N87" s="8"/>
      <c r="O87" s="8"/>
      <c r="Q87" s="0" t="str">
        <f aca="false">IF(UPPER(TRIM(L87&amp;""))="","",IF(RIGHT(UPPER(TRIM(L87&amp;"")),2)="-N",TRIM(LEFT(UPPER(TRIM(L87&amp;"")),LEN(UPPER(TRIM(L87&amp;"")))-2)),UPPER(TRIM(L87&amp;""))))</f>
        <v/>
      </c>
      <c r="R87" s="0" t="str">
        <f aca="false">IF(Q87="","",IF(ISNUMBER(O87),ROUND(O87,1),IF(AND(ISNUMBER(M87),ISNUMBER(N87)),IF(N87&gt;0,ROUND(M87/N87*100,1),""),"")))</f>
        <v/>
      </c>
      <c r="S87" s="0" t="str">
        <f aca="false">IF(Q87="","",IF(RIGHT(UPPER(TRIM(L87&amp;"")),2)="-N","비경쟁",""))</f>
        <v/>
      </c>
      <c r="T87" s="0" t="str">
        <f aca="false">IF(Q87="","",IF(COUNTIF(참가자!$A$3:$A$52,Q87)=0,"명단에 없는 코드",""))</f>
        <v/>
      </c>
    </row>
    <row r="88" customFormat="false" ht="15" hidden="false" customHeight="false" outlineLevel="0" collapsed="false">
      <c r="L88" s="8"/>
      <c r="M88" s="8"/>
      <c r="N88" s="8"/>
      <c r="O88" s="8"/>
      <c r="Q88" s="0" t="str">
        <f aca="false">IF(UPPER(TRIM(L88&amp;""))="","",IF(RIGHT(UPPER(TRIM(L88&amp;"")),2)="-N",TRIM(LEFT(UPPER(TRIM(L88&amp;"")),LEN(UPPER(TRIM(L88&amp;"")))-2)),UPPER(TRIM(L88&amp;""))))</f>
        <v/>
      </c>
      <c r="R88" s="0" t="str">
        <f aca="false">IF(Q88="","",IF(ISNUMBER(O88),ROUND(O88,1),IF(AND(ISNUMBER(M88),ISNUMBER(N88)),IF(N88&gt;0,ROUND(M88/N88*100,1),""),"")))</f>
        <v/>
      </c>
      <c r="S88" s="0" t="str">
        <f aca="false">IF(Q88="","",IF(RIGHT(UPPER(TRIM(L88&amp;"")),2)="-N","비경쟁",""))</f>
        <v/>
      </c>
      <c r="T88" s="0" t="str">
        <f aca="false">IF(Q88="","",IF(COUNTIF(참가자!$A$3:$A$52,Q88)=0,"명단에 없는 코드",""))</f>
        <v/>
      </c>
    </row>
    <row r="89" customFormat="false" ht="15" hidden="false" customHeight="false" outlineLevel="0" collapsed="false">
      <c r="L89" s="8"/>
      <c r="M89" s="8"/>
      <c r="N89" s="8"/>
      <c r="O89" s="8"/>
      <c r="Q89" s="0" t="str">
        <f aca="false">IF(UPPER(TRIM(L89&amp;""))="","",IF(RIGHT(UPPER(TRIM(L89&amp;"")),2)="-N",TRIM(LEFT(UPPER(TRIM(L89&amp;"")),LEN(UPPER(TRIM(L89&amp;"")))-2)),UPPER(TRIM(L89&amp;""))))</f>
        <v/>
      </c>
      <c r="R89" s="0" t="str">
        <f aca="false">IF(Q89="","",IF(ISNUMBER(O89),ROUND(O89,1),IF(AND(ISNUMBER(M89),ISNUMBER(N89)),IF(N89&gt;0,ROUND(M89/N89*100,1),""),"")))</f>
        <v/>
      </c>
      <c r="S89" s="0" t="str">
        <f aca="false">IF(Q89="","",IF(RIGHT(UPPER(TRIM(L89&amp;"")),2)="-N","비경쟁",""))</f>
        <v/>
      </c>
      <c r="T89" s="0" t="str">
        <f aca="false">IF(Q89="","",IF(COUNTIF(참가자!$A$3:$A$52,Q89)=0,"명단에 없는 코드",""))</f>
        <v/>
      </c>
    </row>
    <row r="90" customFormat="false" ht="15" hidden="false" customHeight="false" outlineLevel="0" collapsed="false">
      <c r="L90" s="8"/>
      <c r="M90" s="8"/>
      <c r="N90" s="8"/>
      <c r="O90" s="8"/>
      <c r="Q90" s="0" t="str">
        <f aca="false">IF(UPPER(TRIM(L90&amp;""))="","",IF(RIGHT(UPPER(TRIM(L90&amp;"")),2)="-N",TRIM(LEFT(UPPER(TRIM(L90&amp;"")),LEN(UPPER(TRIM(L90&amp;"")))-2)),UPPER(TRIM(L90&amp;""))))</f>
        <v/>
      </c>
      <c r="R90" s="0" t="str">
        <f aca="false">IF(Q90="","",IF(ISNUMBER(O90),ROUND(O90,1),IF(AND(ISNUMBER(M90),ISNUMBER(N90)),IF(N90&gt;0,ROUND(M90/N90*100,1),""),"")))</f>
        <v/>
      </c>
      <c r="S90" s="0" t="str">
        <f aca="false">IF(Q90="","",IF(RIGHT(UPPER(TRIM(L90&amp;"")),2)="-N","비경쟁",""))</f>
        <v/>
      </c>
      <c r="T90" s="0" t="str">
        <f aca="false">IF(Q90="","",IF(COUNTIF(참가자!$A$3:$A$52,Q90)=0,"명단에 없는 코드",""))</f>
        <v/>
      </c>
    </row>
    <row r="91" customFormat="false" ht="15" hidden="false" customHeight="false" outlineLevel="0" collapsed="false">
      <c r="L91" s="8"/>
      <c r="M91" s="8"/>
      <c r="N91" s="8"/>
      <c r="O91" s="8"/>
      <c r="Q91" s="0" t="str">
        <f aca="false">IF(UPPER(TRIM(L91&amp;""))="","",IF(RIGHT(UPPER(TRIM(L91&amp;"")),2)="-N",TRIM(LEFT(UPPER(TRIM(L91&amp;"")),LEN(UPPER(TRIM(L91&amp;"")))-2)),UPPER(TRIM(L91&amp;""))))</f>
        <v/>
      </c>
      <c r="R91" s="0" t="str">
        <f aca="false">IF(Q91="","",IF(ISNUMBER(O91),ROUND(O91,1),IF(AND(ISNUMBER(M91),ISNUMBER(N91)),IF(N91&gt;0,ROUND(M91/N91*100,1),""),"")))</f>
        <v/>
      </c>
      <c r="S91" s="0" t="str">
        <f aca="false">IF(Q91="","",IF(RIGHT(UPPER(TRIM(L91&amp;"")),2)="-N","비경쟁",""))</f>
        <v/>
      </c>
      <c r="T91" s="0" t="str">
        <f aca="false">IF(Q91="","",IF(COUNTIF(참가자!$A$3:$A$52,Q91)=0,"명단에 없는 코드",""))</f>
        <v/>
      </c>
    </row>
    <row r="92" customFormat="false" ht="15" hidden="false" customHeight="false" outlineLevel="0" collapsed="false">
      <c r="L92" s="8"/>
      <c r="M92" s="8"/>
      <c r="N92" s="8"/>
      <c r="O92" s="8"/>
      <c r="Q92" s="0" t="str">
        <f aca="false">IF(UPPER(TRIM(L92&amp;""))="","",IF(RIGHT(UPPER(TRIM(L92&amp;"")),2)="-N",TRIM(LEFT(UPPER(TRIM(L92&amp;"")),LEN(UPPER(TRIM(L92&amp;"")))-2)),UPPER(TRIM(L92&amp;""))))</f>
        <v/>
      </c>
      <c r="R92" s="0" t="str">
        <f aca="false">IF(Q92="","",IF(ISNUMBER(O92),ROUND(O92,1),IF(AND(ISNUMBER(M92),ISNUMBER(N92)),IF(N92&gt;0,ROUND(M92/N92*100,1),""),"")))</f>
        <v/>
      </c>
      <c r="S92" s="0" t="str">
        <f aca="false">IF(Q92="","",IF(RIGHT(UPPER(TRIM(L92&amp;"")),2)="-N","비경쟁",""))</f>
        <v/>
      </c>
      <c r="T92" s="0" t="str">
        <f aca="false">IF(Q92="","",IF(COUNTIF(참가자!$A$3:$A$52,Q92)=0,"명단에 없는 코드",""))</f>
        <v/>
      </c>
    </row>
    <row r="93" customFormat="false" ht="15" hidden="false" customHeight="false" outlineLevel="0" collapsed="false">
      <c r="L93" s="8"/>
      <c r="M93" s="8"/>
      <c r="N93" s="8"/>
      <c r="O93" s="8"/>
      <c r="Q93" s="0" t="str">
        <f aca="false">IF(UPPER(TRIM(L93&amp;""))="","",IF(RIGHT(UPPER(TRIM(L93&amp;"")),2)="-N",TRIM(LEFT(UPPER(TRIM(L93&amp;"")),LEN(UPPER(TRIM(L93&amp;"")))-2)),UPPER(TRIM(L93&amp;""))))</f>
        <v/>
      </c>
      <c r="R93" s="0" t="str">
        <f aca="false">IF(Q93="","",IF(ISNUMBER(O93),ROUND(O93,1),IF(AND(ISNUMBER(M93),ISNUMBER(N93)),IF(N93&gt;0,ROUND(M93/N93*100,1),""),"")))</f>
        <v/>
      </c>
      <c r="S93" s="0" t="str">
        <f aca="false">IF(Q93="","",IF(RIGHT(UPPER(TRIM(L93&amp;"")),2)="-N","비경쟁",""))</f>
        <v/>
      </c>
      <c r="T93" s="0" t="str">
        <f aca="false">IF(Q93="","",IF(COUNTIF(참가자!$A$3:$A$52,Q93)=0,"명단에 없는 코드",""))</f>
        <v/>
      </c>
    </row>
    <row r="94" customFormat="false" ht="15" hidden="false" customHeight="false" outlineLevel="0" collapsed="false">
      <c r="L94" s="8"/>
      <c r="M94" s="8"/>
      <c r="N94" s="8"/>
      <c r="O94" s="8"/>
      <c r="Q94" s="0" t="str">
        <f aca="false">IF(UPPER(TRIM(L94&amp;""))="","",IF(RIGHT(UPPER(TRIM(L94&amp;"")),2)="-N",TRIM(LEFT(UPPER(TRIM(L94&amp;"")),LEN(UPPER(TRIM(L94&amp;"")))-2)),UPPER(TRIM(L94&amp;""))))</f>
        <v/>
      </c>
      <c r="R94" s="0" t="str">
        <f aca="false">IF(Q94="","",IF(ISNUMBER(O94),ROUND(O94,1),IF(AND(ISNUMBER(M94),ISNUMBER(N94)),IF(N94&gt;0,ROUND(M94/N94*100,1),""),"")))</f>
        <v/>
      </c>
      <c r="S94" s="0" t="str">
        <f aca="false">IF(Q94="","",IF(RIGHT(UPPER(TRIM(L94&amp;"")),2)="-N","비경쟁",""))</f>
        <v/>
      </c>
      <c r="T94" s="0" t="str">
        <f aca="false">IF(Q94="","",IF(COUNTIF(참가자!$A$3:$A$52,Q94)=0,"명단에 없는 코드",""))</f>
        <v/>
      </c>
    </row>
    <row r="95" customFormat="false" ht="15" hidden="false" customHeight="false" outlineLevel="0" collapsed="false">
      <c r="L95" s="8"/>
      <c r="M95" s="8"/>
      <c r="N95" s="8"/>
      <c r="O95" s="8"/>
      <c r="Q95" s="0" t="str">
        <f aca="false">IF(UPPER(TRIM(L95&amp;""))="","",IF(RIGHT(UPPER(TRIM(L95&amp;"")),2)="-N",TRIM(LEFT(UPPER(TRIM(L95&amp;"")),LEN(UPPER(TRIM(L95&amp;"")))-2)),UPPER(TRIM(L95&amp;""))))</f>
        <v/>
      </c>
      <c r="R95" s="0" t="str">
        <f aca="false">IF(Q95="","",IF(ISNUMBER(O95),ROUND(O95,1),IF(AND(ISNUMBER(M95),ISNUMBER(N95)),IF(N95&gt;0,ROUND(M95/N95*100,1),""),"")))</f>
        <v/>
      </c>
      <c r="S95" s="0" t="str">
        <f aca="false">IF(Q95="","",IF(RIGHT(UPPER(TRIM(L95&amp;"")),2)="-N","비경쟁",""))</f>
        <v/>
      </c>
      <c r="T95" s="0" t="str">
        <f aca="false">IF(Q95="","",IF(COUNTIF(참가자!$A$3:$A$52,Q95)=0,"명단에 없는 코드",""))</f>
        <v/>
      </c>
    </row>
    <row r="96" customFormat="false" ht="15" hidden="false" customHeight="false" outlineLevel="0" collapsed="false">
      <c r="L96" s="8"/>
      <c r="M96" s="8"/>
      <c r="N96" s="8"/>
      <c r="O96" s="8"/>
      <c r="Q96" s="0" t="str">
        <f aca="false">IF(UPPER(TRIM(L96&amp;""))="","",IF(RIGHT(UPPER(TRIM(L96&amp;"")),2)="-N",TRIM(LEFT(UPPER(TRIM(L96&amp;"")),LEN(UPPER(TRIM(L96&amp;"")))-2)),UPPER(TRIM(L96&amp;""))))</f>
        <v/>
      </c>
      <c r="R96" s="0" t="str">
        <f aca="false">IF(Q96="","",IF(ISNUMBER(O96),ROUND(O96,1),IF(AND(ISNUMBER(M96),ISNUMBER(N96)),IF(N96&gt;0,ROUND(M96/N96*100,1),""),"")))</f>
        <v/>
      </c>
      <c r="S96" s="0" t="str">
        <f aca="false">IF(Q96="","",IF(RIGHT(UPPER(TRIM(L96&amp;"")),2)="-N","비경쟁",""))</f>
        <v/>
      </c>
      <c r="T96" s="0" t="str">
        <f aca="false">IF(Q96="","",IF(COUNTIF(참가자!$A$3:$A$52,Q96)=0,"명단에 없는 코드",""))</f>
        <v/>
      </c>
    </row>
    <row r="97" customFormat="false" ht="15" hidden="false" customHeight="false" outlineLevel="0" collapsed="false">
      <c r="L97" s="8"/>
      <c r="M97" s="8"/>
      <c r="N97" s="8"/>
      <c r="O97" s="8"/>
      <c r="Q97" s="0" t="str">
        <f aca="false">IF(UPPER(TRIM(L97&amp;""))="","",IF(RIGHT(UPPER(TRIM(L97&amp;"")),2)="-N",TRIM(LEFT(UPPER(TRIM(L97&amp;"")),LEN(UPPER(TRIM(L97&amp;"")))-2)),UPPER(TRIM(L97&amp;""))))</f>
        <v/>
      </c>
      <c r="R97" s="0" t="str">
        <f aca="false">IF(Q97="","",IF(ISNUMBER(O97),ROUND(O97,1),IF(AND(ISNUMBER(M97),ISNUMBER(N97)),IF(N97&gt;0,ROUND(M97/N97*100,1),""),"")))</f>
        <v/>
      </c>
      <c r="S97" s="0" t="str">
        <f aca="false">IF(Q97="","",IF(RIGHT(UPPER(TRIM(L97&amp;"")),2)="-N","비경쟁",""))</f>
        <v/>
      </c>
      <c r="T97" s="0" t="str">
        <f aca="false">IF(Q97="","",IF(COUNTIF(참가자!$A$3:$A$52,Q97)=0,"명단에 없는 코드",""))</f>
        <v/>
      </c>
    </row>
    <row r="98" customFormat="false" ht="15" hidden="false" customHeight="false" outlineLevel="0" collapsed="false">
      <c r="L98" s="8"/>
      <c r="M98" s="8"/>
      <c r="N98" s="8"/>
      <c r="O98" s="8"/>
      <c r="Q98" s="0" t="str">
        <f aca="false">IF(UPPER(TRIM(L98&amp;""))="","",IF(RIGHT(UPPER(TRIM(L98&amp;"")),2)="-N",TRIM(LEFT(UPPER(TRIM(L98&amp;"")),LEN(UPPER(TRIM(L98&amp;"")))-2)),UPPER(TRIM(L98&amp;""))))</f>
        <v/>
      </c>
      <c r="R98" s="0" t="str">
        <f aca="false">IF(Q98="","",IF(ISNUMBER(O98),ROUND(O98,1),IF(AND(ISNUMBER(M98),ISNUMBER(N98)),IF(N98&gt;0,ROUND(M98/N98*100,1),""),"")))</f>
        <v/>
      </c>
      <c r="S98" s="0" t="str">
        <f aca="false">IF(Q98="","",IF(RIGHT(UPPER(TRIM(L98&amp;"")),2)="-N","비경쟁",""))</f>
        <v/>
      </c>
      <c r="T98" s="0" t="str">
        <f aca="false">IF(Q98="","",IF(COUNTIF(참가자!$A$3:$A$52,Q98)=0,"명단에 없는 코드",""))</f>
        <v/>
      </c>
    </row>
    <row r="99" customFormat="false" ht="15" hidden="false" customHeight="false" outlineLevel="0" collapsed="false">
      <c r="L99" s="8"/>
      <c r="M99" s="8"/>
      <c r="N99" s="8"/>
      <c r="O99" s="8"/>
      <c r="Q99" s="0" t="str">
        <f aca="false">IF(UPPER(TRIM(L99&amp;""))="","",IF(RIGHT(UPPER(TRIM(L99&amp;"")),2)="-N",TRIM(LEFT(UPPER(TRIM(L99&amp;"")),LEN(UPPER(TRIM(L99&amp;"")))-2)),UPPER(TRIM(L99&amp;""))))</f>
        <v/>
      </c>
      <c r="R99" s="0" t="str">
        <f aca="false">IF(Q99="","",IF(ISNUMBER(O99),ROUND(O99,1),IF(AND(ISNUMBER(M99),ISNUMBER(N99)),IF(N99&gt;0,ROUND(M99/N99*100,1),""),"")))</f>
        <v/>
      </c>
      <c r="S99" s="0" t="str">
        <f aca="false">IF(Q99="","",IF(RIGHT(UPPER(TRIM(L99&amp;"")),2)="-N","비경쟁",""))</f>
        <v/>
      </c>
      <c r="T99" s="0" t="str">
        <f aca="false">IF(Q99="","",IF(COUNTIF(참가자!$A$3:$A$52,Q99)=0,"명단에 없는 코드",""))</f>
        <v/>
      </c>
    </row>
    <row r="100" customFormat="false" ht="15" hidden="false" customHeight="false" outlineLevel="0" collapsed="false">
      <c r="L100" s="8"/>
      <c r="M100" s="8"/>
      <c r="N100" s="8"/>
      <c r="O100" s="8"/>
      <c r="Q100" s="0" t="str">
        <f aca="false">IF(UPPER(TRIM(L100&amp;""))="","",IF(RIGHT(UPPER(TRIM(L100&amp;"")),2)="-N",TRIM(LEFT(UPPER(TRIM(L100&amp;"")),LEN(UPPER(TRIM(L100&amp;"")))-2)),UPPER(TRIM(L100&amp;""))))</f>
        <v/>
      </c>
      <c r="R100" s="0" t="str">
        <f aca="false">IF(Q100="","",IF(ISNUMBER(O100),ROUND(O100,1),IF(AND(ISNUMBER(M100),ISNUMBER(N100)),IF(N100&gt;0,ROUND(M100/N100*100,1),""),"")))</f>
        <v/>
      </c>
      <c r="S100" s="0" t="str">
        <f aca="false">IF(Q100="","",IF(RIGHT(UPPER(TRIM(L100&amp;"")),2)="-N","비경쟁",""))</f>
        <v/>
      </c>
      <c r="T100" s="0" t="str">
        <f aca="false">IF(Q100="","",IF(COUNTIF(참가자!$A$3:$A$52,Q100)=0,"명단에 없는 코드",""))</f>
        <v/>
      </c>
    </row>
    <row r="101" customFormat="false" ht="15" hidden="false" customHeight="false" outlineLevel="0" collapsed="false">
      <c r="L101" s="8"/>
      <c r="M101" s="8"/>
      <c r="N101" s="8"/>
      <c r="O101" s="8"/>
      <c r="Q101" s="0" t="str">
        <f aca="false">IF(UPPER(TRIM(L101&amp;""))="","",IF(RIGHT(UPPER(TRIM(L101&amp;"")),2)="-N",TRIM(LEFT(UPPER(TRIM(L101&amp;"")),LEN(UPPER(TRIM(L101&amp;"")))-2)),UPPER(TRIM(L101&amp;""))))</f>
        <v/>
      </c>
      <c r="R101" s="0" t="str">
        <f aca="false">IF(Q101="","",IF(ISNUMBER(O101),ROUND(O101,1),IF(AND(ISNUMBER(M101),ISNUMBER(N101)),IF(N101&gt;0,ROUND(M101/N101*100,1),""),"")))</f>
        <v/>
      </c>
      <c r="S101" s="0" t="str">
        <f aca="false">IF(Q101="","",IF(RIGHT(UPPER(TRIM(L101&amp;"")),2)="-N","비경쟁",""))</f>
        <v/>
      </c>
      <c r="T101" s="0" t="str">
        <f aca="false">IF(Q101="","",IF(COUNTIF(참가자!$A$3:$A$52,Q101)=0,"명단에 없는 코드",""))</f>
        <v/>
      </c>
    </row>
    <row r="102" customFormat="false" ht="15" hidden="false" customHeight="false" outlineLevel="0" collapsed="false">
      <c r="L102" s="8"/>
      <c r="M102" s="8"/>
      <c r="N102" s="8"/>
      <c r="O102" s="8"/>
      <c r="Q102" s="0" t="str">
        <f aca="false">IF(UPPER(TRIM(L102&amp;""))="","",IF(RIGHT(UPPER(TRIM(L102&amp;"")),2)="-N",TRIM(LEFT(UPPER(TRIM(L102&amp;"")),LEN(UPPER(TRIM(L102&amp;"")))-2)),UPPER(TRIM(L102&amp;""))))</f>
        <v/>
      </c>
      <c r="R102" s="0" t="str">
        <f aca="false">IF(Q102="","",IF(ISNUMBER(O102),ROUND(O102,1),IF(AND(ISNUMBER(M102),ISNUMBER(N102)),IF(N102&gt;0,ROUND(M102/N102*100,1),""),"")))</f>
        <v/>
      </c>
      <c r="S102" s="0" t="str">
        <f aca="false">IF(Q102="","",IF(RIGHT(UPPER(TRIM(L102&amp;"")),2)="-N","비경쟁",""))</f>
        <v/>
      </c>
      <c r="T102" s="0" t="str">
        <f aca="false">IF(Q102="","",IF(COUNTIF(참가자!$A$3:$A$52,Q102)=0,"명단에 없는 코드",""))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9"/>
    <col collapsed="false" customWidth="true" hidden="false" outlineLevel="0" max="14" min="13" style="0" width="12"/>
  </cols>
  <sheetData>
    <row r="1" customFormat="false" ht="15" hidden="false" customHeight="false" outlineLevel="0" collapsed="false">
      <c r="A1" s="4" t="s">
        <v>45</v>
      </c>
      <c r="L1" s="1" t="s">
        <v>46</v>
      </c>
    </row>
    <row r="2" customFormat="false" ht="28.35" hidden="false" customHeight="false" outlineLevel="0" collapsed="false">
      <c r="A2" s="10" t="s">
        <v>2</v>
      </c>
      <c r="B2" s="11" t="s">
        <v>47</v>
      </c>
      <c r="C2" s="11" t="s">
        <v>48</v>
      </c>
      <c r="D2" s="11" t="s">
        <v>49</v>
      </c>
      <c r="E2" s="11" t="s">
        <v>50</v>
      </c>
      <c r="F2" s="11" t="s">
        <v>51</v>
      </c>
      <c r="G2" s="11" t="s">
        <v>52</v>
      </c>
      <c r="H2" s="10" t="s">
        <v>53</v>
      </c>
      <c r="I2" s="10" t="s">
        <v>54</v>
      </c>
      <c r="J2" s="10" t="s">
        <v>55</v>
      </c>
      <c r="L2" s="12" t="s">
        <v>56</v>
      </c>
      <c r="M2" s="12" t="s">
        <v>57</v>
      </c>
      <c r="N2" s="12" t="s">
        <v>58</v>
      </c>
    </row>
    <row r="3" customFormat="false" ht="15" hidden="false" customHeight="false" outlineLevel="0" collapsed="false">
      <c r="A3" s="3" t="s">
        <v>5</v>
      </c>
      <c r="B3" s="7" t="n">
        <f aca="false">IF(A3="","",IF(M3=0,"",ROUND(SUMIFS(평가B!$I$3:$I$52,평가B!$B$3:$B$52,A3)/M3,1)))</f>
        <v>13.3</v>
      </c>
      <c r="C3" s="7" t="str">
        <f aca="false">IF(A3="","",IF(B3="","기록 없음",IF(B3&gt;=GOAL2,"성장 우수",IF(B3&gt;=GOAL1,"성장 목표 달성",""))))</f>
        <v>성장 목표 달성</v>
      </c>
      <c r="D3" s="7" t="n">
        <f aca="false">IF(A3="","",IF(B3="","",IF(B3&lt;GOAL1,"",RANK(B3,$B$3:$B$12))))</f>
        <v>1</v>
      </c>
      <c r="E3" s="7" t="n">
        <f aca="false">IF(A3="","",IF(N3=0,"",ROUND(SUMIFS(평가C!$I$3:$I$52,평가C!$B$3:$B$52,A3)/N3,1)))</f>
        <v>13.3</v>
      </c>
      <c r="F3" s="7" t="str">
        <f aca="false">IF(A3="","",IF(E3="","기록 없음",IF(E3&gt;=GOAL2,"성장 우수",IF(E3&gt;=GOAL1,"성장 목표 달성",""))))</f>
        <v>성장 목표 달성</v>
      </c>
      <c r="G3" s="7" t="n">
        <f aca="false">IF(A3="","",IF(E3="","",IF(E3&lt;GOAL1,"",RANK(E3,$E$3:$E$12))))</f>
        <v>2</v>
      </c>
      <c r="H3" s="7" t="n">
        <f aca="false">IF(A3="","",IF(COUNT(B3,E3)=0,"",ROUND(AVERAGE(B3,E3),1)))</f>
        <v>13.3</v>
      </c>
      <c r="I3" s="7" t="n">
        <f aca="false">IF(OR(A3="",H3=""),"",IF(RANK(H3,$H$3:$H$12)&lt;=3,RANK(H3,$H$3:$H$12),""))</f>
        <v>2</v>
      </c>
      <c r="J3" s="7" t="str">
        <f aca="false">IF(A3="","",IF(COUNT(B3,E3)=0,"",IF(AND(OR(NOT(ISNUMBER(B3)),B3&gt;=GOAL1),OR(NOT(ISNUMBER(E3)),E3&gt;=GOAL1)),"챌린지 완주","")))</f>
        <v>챌린지 완주</v>
      </c>
      <c r="L3" s="7" t="n">
        <f aca="false">IF(A3="","",COUNTIF(평가A!$B$3:$B$52,A3))</f>
        <v>3</v>
      </c>
      <c r="M3" s="7" t="n">
        <f aca="false">IF(A3="","",COUNTIFS(평가B!$B$3:$B$52,A3,평가B!$I$3:$I$52,"&gt;=0"))</f>
        <v>3</v>
      </c>
      <c r="N3" s="7" t="n">
        <f aca="false">IF(A3="","",COUNTIFS(평가C!$B$3:$B$52,A3,평가C!$I$3:$I$52,"&gt;=0"))</f>
        <v>3</v>
      </c>
    </row>
    <row r="4" customFormat="false" ht="15" hidden="false" customHeight="false" outlineLevel="0" collapsed="false">
      <c r="A4" s="3" t="s">
        <v>9</v>
      </c>
      <c r="B4" s="7" t="n">
        <f aca="false">IF(A4="","",IF(M4=0,"",ROUND(SUMIFS(평가B!$I$3:$I$52,평가B!$B$3:$B$52,A4)/M4,1)))</f>
        <v>10</v>
      </c>
      <c r="C4" s="7" t="str">
        <f aca="false">IF(A4="","",IF(B4="","기록 없음",IF(B4&gt;=GOAL2,"성장 우수",IF(B4&gt;=GOAL1,"성장 목표 달성",""))))</f>
        <v>성장 목표 달성</v>
      </c>
      <c r="D4" s="7" t="n">
        <f aca="false">IF(A4="","",IF(B4="","",IF(B4&lt;GOAL1,"",RANK(B4,$B$3:$B$12))))</f>
        <v>2</v>
      </c>
      <c r="E4" s="7" t="n">
        <f aca="false">IF(A4="","",IF(N4=0,"",ROUND(SUMIFS(평가C!$I$3:$I$52,평가C!$B$3:$B$52,A4)/N4,1)))</f>
        <v>10</v>
      </c>
      <c r="F4" s="7" t="str">
        <f aca="false">IF(A4="","",IF(E4="","기록 없음",IF(E4&gt;=GOAL2,"성장 우수",IF(E4&gt;=GOAL1,"성장 목표 달성",""))))</f>
        <v>성장 목표 달성</v>
      </c>
      <c r="G4" s="7" t="n">
        <f aca="false">IF(A4="","",IF(E4="","",IF(E4&lt;GOAL1,"",RANK(E4,$E$3:$E$12))))</f>
        <v>4</v>
      </c>
      <c r="H4" s="7" t="n">
        <f aca="false">IF(A4="","",IF(COUNT(B4,E4)=0,"",ROUND(AVERAGE(B4,E4),1)))</f>
        <v>10</v>
      </c>
      <c r="I4" s="7" t="n">
        <f aca="false">IF(OR(A4="",H4=""),"",IF(RANK(H4,$H$3:$H$12)&lt;=3,RANK(H4,$H$3:$H$12),""))</f>
        <v>3</v>
      </c>
      <c r="J4" s="7" t="str">
        <f aca="false">IF(A4="","",IF(COUNT(B4,E4)=0,"",IF(AND(OR(NOT(ISNUMBER(B4)),B4&gt;=GOAL1),OR(NOT(ISNUMBER(E4)),E4&gt;=GOAL1)),"챌린지 완주","")))</f>
        <v>챌린지 완주</v>
      </c>
      <c r="L4" s="7" t="n">
        <f aca="false">IF(A4="","",COUNTIF(평가A!$B$3:$B$52,A4))</f>
        <v>3</v>
      </c>
      <c r="M4" s="7" t="n">
        <f aca="false">IF(A4="","",COUNTIFS(평가B!$B$3:$B$52,A4,평가B!$I$3:$I$52,"&gt;=0"))</f>
        <v>3</v>
      </c>
      <c r="N4" s="7" t="n">
        <f aca="false">IF(A4="","",COUNTIFS(평가C!$B$3:$B$52,A4,평가C!$I$3:$I$52,"&gt;=0"))</f>
        <v>2</v>
      </c>
    </row>
    <row r="5" customFormat="false" ht="15" hidden="false" customHeight="false" outlineLevel="0" collapsed="false">
      <c r="A5" s="3" t="s">
        <v>13</v>
      </c>
      <c r="B5" s="7" t="n">
        <f aca="false">IF(A5="","",IF(M5=0,"",ROUND(SUMIFS(평가B!$I$3:$I$52,평가B!$B$3:$B$52,A5)/M5,1)))</f>
        <v>5</v>
      </c>
      <c r="C5" s="7" t="str">
        <f aca="false">IF(A5="","",IF(B5="","기록 없음",IF(B5&gt;=GOAL2,"성장 우수",IF(B5&gt;=GOAL1,"성장 목표 달성",""))))</f>
        <v/>
      </c>
      <c r="D5" s="7" t="str">
        <f aca="false">IF(A5="","",IF(B5="","",IF(B5&lt;GOAL1,"",RANK(B5,$B$3:$B$12))))</f>
        <v/>
      </c>
      <c r="E5" s="7" t="n">
        <f aca="false">IF(A5="","",IF(N5=0,"",ROUND(SUMIFS(평가C!$I$3:$I$52,평가C!$B$3:$B$52,A5)/N5,1)))</f>
        <v>13.3</v>
      </c>
      <c r="F5" s="7" t="str">
        <f aca="false">IF(A5="","",IF(E5="","기록 없음",IF(E5&gt;=GOAL2,"성장 우수",IF(E5&gt;=GOAL1,"성장 목표 달성",""))))</f>
        <v>성장 목표 달성</v>
      </c>
      <c r="G5" s="7" t="n">
        <f aca="false">IF(A5="","",IF(E5="","",IF(E5&lt;GOAL1,"",RANK(E5,$E$3:$E$12))))</f>
        <v>2</v>
      </c>
      <c r="H5" s="7" t="n">
        <f aca="false">IF(A5="","",IF(COUNT(B5,E5)=0,"",ROUND(AVERAGE(B5,E5),1)))</f>
        <v>9.2</v>
      </c>
      <c r="I5" s="7" t="str">
        <f aca="false">IF(OR(A5="",H5=""),"",IF(RANK(H5,$H$3:$H$12)&lt;=3,RANK(H5,$H$3:$H$12),""))</f>
        <v/>
      </c>
      <c r="J5" s="7" t="str">
        <f aca="false">IF(A5="","",IF(COUNT(B5,E5)=0,"",IF(AND(OR(NOT(ISNUMBER(B5)),B5&gt;=GOAL1),OR(NOT(ISNUMBER(E5)),E5&gt;=GOAL1)),"챌린지 완주","")))</f>
        <v/>
      </c>
      <c r="L5" s="7" t="n">
        <f aca="false">IF(A5="","",COUNTIF(평가A!$B$3:$B$52,A5))</f>
        <v>3</v>
      </c>
      <c r="M5" s="7" t="n">
        <f aca="false">IF(A5="","",COUNTIFS(평가B!$B$3:$B$52,A5,평가B!$I$3:$I$52,"&gt;=0"))</f>
        <v>2</v>
      </c>
      <c r="N5" s="7" t="n">
        <f aca="false">IF(A5="","",COUNTIFS(평가C!$B$3:$B$52,A5,평가C!$I$3:$I$52,"&gt;=0"))</f>
        <v>3</v>
      </c>
    </row>
    <row r="6" customFormat="false" ht="15" hidden="false" customHeight="false" outlineLevel="0" collapsed="false">
      <c r="A6" s="3" t="s">
        <v>17</v>
      </c>
      <c r="B6" s="7" t="n">
        <f aca="false">IF(A6="","",IF(M6=0,"",ROUND(SUMIFS(평가B!$I$3:$I$52,평가B!$B$3:$B$52,A6)/M6,1)))</f>
        <v>10</v>
      </c>
      <c r="C6" s="7" t="str">
        <f aca="false">IF(A6="","",IF(B6="","기록 없음",IF(B6&gt;=GOAL2,"성장 우수",IF(B6&gt;=GOAL1,"성장 목표 달성",""))))</f>
        <v>성장 목표 달성</v>
      </c>
      <c r="D6" s="7" t="n">
        <f aca="false">IF(A6="","",IF(B6="","",IF(B6&lt;GOAL1,"",RANK(B6,$B$3:$B$12))))</f>
        <v>2</v>
      </c>
      <c r="E6" s="7" t="n">
        <f aca="false">IF(A6="","",IF(N6=0,"",ROUND(SUMIFS(평가C!$I$3:$I$52,평가C!$B$3:$B$52,A6)/N6,1)))</f>
        <v>20</v>
      </c>
      <c r="F6" s="7" t="str">
        <f aca="false">IF(A6="","",IF(E6="","기록 없음",IF(E6&gt;=GOAL2,"성장 우수",IF(E6&gt;=GOAL1,"성장 목표 달성",""))))</f>
        <v>성장 우수</v>
      </c>
      <c r="G6" s="7" t="n">
        <f aca="false">IF(A6="","",IF(E6="","",IF(E6&lt;GOAL1,"",RANK(E6,$E$3:$E$12))))</f>
        <v>1</v>
      </c>
      <c r="H6" s="7" t="n">
        <f aca="false">IF(A6="","",IF(COUNT(B6,E6)=0,"",ROUND(AVERAGE(B6,E6),1)))</f>
        <v>15</v>
      </c>
      <c r="I6" s="7" t="n">
        <f aca="false">IF(OR(A6="",H6=""),"",IF(RANK(H6,$H$3:$H$12)&lt;=3,RANK(H6,$H$3:$H$12),""))</f>
        <v>1</v>
      </c>
      <c r="J6" s="7" t="str">
        <f aca="false">IF(A6="","",IF(COUNT(B6,E6)=0,"",IF(AND(OR(NOT(ISNUMBER(B6)),B6&gt;=GOAL1),OR(NOT(ISNUMBER(E6)),E6&gt;=GOAL1)),"챌린지 완주","")))</f>
        <v>챌린지 완주</v>
      </c>
      <c r="L6" s="7" t="n">
        <f aca="false">IF(A6="","",COUNTIF(평가A!$B$3:$B$52,A6))</f>
        <v>3</v>
      </c>
      <c r="M6" s="7" t="n">
        <f aca="false">IF(A6="","",COUNTIFS(평가B!$B$3:$B$52,A6,평가B!$I$3:$I$52,"&gt;=0"))</f>
        <v>2</v>
      </c>
      <c r="N6" s="7" t="n">
        <f aca="false">IF(A6="","",COUNTIFS(평가C!$B$3:$B$52,A6,평가C!$I$3:$I$52,"&gt;=0"))</f>
        <v>1</v>
      </c>
    </row>
    <row r="7" customFormat="false" ht="15" hidden="false" customHeight="false" outlineLevel="0" collapsed="false">
      <c r="A7" s="3"/>
      <c r="B7" s="7" t="str">
        <f aca="false">IF(A7="","",IF(M7=0,"",ROUND(SUMIFS(평가B!$I$3:$I$52,평가B!$B$3:$B$52,A7)/M7,1)))</f>
        <v/>
      </c>
      <c r="C7" s="7" t="str">
        <f aca="false">IF(A7="","",IF(B7="","기록 없음",IF(B7&gt;=GOAL2,"성장 우수",IF(B7&gt;=GOAL1,"성장 목표 달성",""))))</f>
        <v/>
      </c>
      <c r="D7" s="7" t="str">
        <f aca="false">IF(A7="","",IF(B7="","",IF(B7&lt;GOAL1,"",RANK(B7,$B$3:$B$12))))</f>
        <v/>
      </c>
      <c r="E7" s="7" t="str">
        <f aca="false">IF(A7="","",IF(N7=0,"",ROUND(SUMIFS(평가C!$I$3:$I$52,평가C!$B$3:$B$52,A7)/N7,1)))</f>
        <v/>
      </c>
      <c r="F7" s="7" t="str">
        <f aca="false">IF(A7="","",IF(E7="","기록 없음",IF(E7&gt;=GOAL2,"성장 우수",IF(E7&gt;=GOAL1,"성장 목표 달성",""))))</f>
        <v/>
      </c>
      <c r="G7" s="7" t="str">
        <f aca="false">IF(A7="","",IF(E7="","",IF(E7&lt;GOAL1,"",RANK(E7,$E$3:$E$12))))</f>
        <v/>
      </c>
      <c r="H7" s="7" t="str">
        <f aca="false">IF(A7="","",IF(COUNT(B7,E7)=0,"",ROUND(AVERAGE(B7,E7),1)))</f>
        <v/>
      </c>
      <c r="I7" s="7" t="str">
        <f aca="false">IF(OR(A7="",H7=""),"",IF(RANK(H7,$H$3:$H$12)&lt;=3,RANK(H7,$H$3:$H$12),""))</f>
        <v/>
      </c>
      <c r="J7" s="7" t="str">
        <f aca="false">IF(A7="","",IF(COUNT(B7,E7)=0,"",IF(AND(OR(NOT(ISNUMBER(B7)),B7&gt;=GOAL1),OR(NOT(ISNUMBER(E7)),E7&gt;=GOAL1)),"챌린지 완주","")))</f>
        <v/>
      </c>
      <c r="L7" s="7" t="str">
        <f aca="false">IF(A7="","",COUNTIF(평가A!$B$3:$B$52,A7))</f>
        <v/>
      </c>
      <c r="M7" s="7" t="str">
        <f aca="false">IF(A7="","",COUNTIFS(평가B!$B$3:$B$52,A7,평가B!$I$3:$I$52,"&gt;=0"))</f>
        <v/>
      </c>
      <c r="N7" s="7" t="str">
        <f aca="false">IF(A7="","",COUNTIFS(평가C!$B$3:$B$52,A7,평가C!$I$3:$I$52,"&gt;=0"))</f>
        <v/>
      </c>
    </row>
    <row r="8" customFormat="false" ht="15" hidden="false" customHeight="false" outlineLevel="0" collapsed="false">
      <c r="A8" s="3"/>
      <c r="B8" s="7" t="str">
        <f aca="false">IF(A8="","",IF(M8=0,"",ROUND(SUMIFS(평가B!$I$3:$I$52,평가B!$B$3:$B$52,A8)/M8,1)))</f>
        <v/>
      </c>
      <c r="C8" s="7" t="str">
        <f aca="false">IF(A8="","",IF(B8="","기록 없음",IF(B8&gt;=GOAL2,"성장 우수",IF(B8&gt;=GOAL1,"성장 목표 달성",""))))</f>
        <v/>
      </c>
      <c r="D8" s="7" t="str">
        <f aca="false">IF(A8="","",IF(B8="","",IF(B8&lt;GOAL1,"",RANK(B8,$B$3:$B$12))))</f>
        <v/>
      </c>
      <c r="E8" s="7" t="str">
        <f aca="false">IF(A8="","",IF(N8=0,"",ROUND(SUMIFS(평가C!$I$3:$I$52,평가C!$B$3:$B$52,A8)/N8,1)))</f>
        <v/>
      </c>
      <c r="F8" s="7" t="str">
        <f aca="false">IF(A8="","",IF(E8="","기록 없음",IF(E8&gt;=GOAL2,"성장 우수",IF(E8&gt;=GOAL1,"성장 목표 달성",""))))</f>
        <v/>
      </c>
      <c r="G8" s="7" t="str">
        <f aca="false">IF(A8="","",IF(E8="","",IF(E8&lt;GOAL1,"",RANK(E8,$E$3:$E$12))))</f>
        <v/>
      </c>
      <c r="H8" s="7" t="str">
        <f aca="false">IF(A8="","",IF(COUNT(B8,E8)=0,"",ROUND(AVERAGE(B8,E8),1)))</f>
        <v/>
      </c>
      <c r="I8" s="7" t="str">
        <f aca="false">IF(OR(A8="",H8=""),"",IF(RANK(H8,$H$3:$H$12)&lt;=3,RANK(H8,$H$3:$H$12),""))</f>
        <v/>
      </c>
      <c r="J8" s="7" t="str">
        <f aca="false">IF(A8="","",IF(COUNT(B8,E8)=0,"",IF(AND(OR(NOT(ISNUMBER(B8)),B8&gt;=GOAL1),OR(NOT(ISNUMBER(E8)),E8&gt;=GOAL1)),"챌린지 완주","")))</f>
        <v/>
      </c>
      <c r="L8" s="7" t="str">
        <f aca="false">IF(A8="","",COUNTIF(평가A!$B$3:$B$52,A8))</f>
        <v/>
      </c>
      <c r="M8" s="7" t="str">
        <f aca="false">IF(A8="","",COUNTIFS(평가B!$B$3:$B$52,A8,평가B!$I$3:$I$52,"&gt;=0"))</f>
        <v/>
      </c>
      <c r="N8" s="7" t="str">
        <f aca="false">IF(A8="","",COUNTIFS(평가C!$B$3:$B$52,A8,평가C!$I$3:$I$52,"&gt;=0"))</f>
        <v/>
      </c>
    </row>
    <row r="9" customFormat="false" ht="15" hidden="false" customHeight="false" outlineLevel="0" collapsed="false">
      <c r="A9" s="3"/>
      <c r="B9" s="7" t="str">
        <f aca="false">IF(A9="","",IF(M9=0,"",ROUND(SUMIFS(평가B!$I$3:$I$52,평가B!$B$3:$B$52,A9)/M9,1)))</f>
        <v/>
      </c>
      <c r="C9" s="7" t="str">
        <f aca="false">IF(A9="","",IF(B9="","기록 없음",IF(B9&gt;=GOAL2,"성장 우수",IF(B9&gt;=GOAL1,"성장 목표 달성",""))))</f>
        <v/>
      </c>
      <c r="D9" s="7" t="str">
        <f aca="false">IF(A9="","",IF(B9="","",IF(B9&lt;GOAL1,"",RANK(B9,$B$3:$B$12))))</f>
        <v/>
      </c>
      <c r="E9" s="7" t="str">
        <f aca="false">IF(A9="","",IF(N9=0,"",ROUND(SUMIFS(평가C!$I$3:$I$52,평가C!$B$3:$B$52,A9)/N9,1)))</f>
        <v/>
      </c>
      <c r="F9" s="7" t="str">
        <f aca="false">IF(A9="","",IF(E9="","기록 없음",IF(E9&gt;=GOAL2,"성장 우수",IF(E9&gt;=GOAL1,"성장 목표 달성",""))))</f>
        <v/>
      </c>
      <c r="G9" s="7" t="str">
        <f aca="false">IF(A9="","",IF(E9="","",IF(E9&lt;GOAL1,"",RANK(E9,$E$3:$E$12))))</f>
        <v/>
      </c>
      <c r="H9" s="7" t="str">
        <f aca="false">IF(A9="","",IF(COUNT(B9,E9)=0,"",ROUND(AVERAGE(B9,E9),1)))</f>
        <v/>
      </c>
      <c r="I9" s="7" t="str">
        <f aca="false">IF(OR(A9="",H9=""),"",IF(RANK(H9,$H$3:$H$12)&lt;=3,RANK(H9,$H$3:$H$12),""))</f>
        <v/>
      </c>
      <c r="J9" s="7" t="str">
        <f aca="false">IF(A9="","",IF(COUNT(B9,E9)=0,"",IF(AND(OR(NOT(ISNUMBER(B9)),B9&gt;=GOAL1),OR(NOT(ISNUMBER(E9)),E9&gt;=GOAL1)),"챌린지 완주","")))</f>
        <v/>
      </c>
      <c r="L9" s="7" t="str">
        <f aca="false">IF(A9="","",COUNTIF(평가A!$B$3:$B$52,A9))</f>
        <v/>
      </c>
      <c r="M9" s="7" t="str">
        <f aca="false">IF(A9="","",COUNTIFS(평가B!$B$3:$B$52,A9,평가B!$I$3:$I$52,"&gt;=0"))</f>
        <v/>
      </c>
      <c r="N9" s="7" t="str">
        <f aca="false">IF(A9="","",COUNTIFS(평가C!$B$3:$B$52,A9,평가C!$I$3:$I$52,"&gt;=0"))</f>
        <v/>
      </c>
    </row>
    <row r="10" customFormat="false" ht="15" hidden="false" customHeight="false" outlineLevel="0" collapsed="false">
      <c r="A10" s="3"/>
      <c r="B10" s="7" t="str">
        <f aca="false">IF(A10="","",IF(M10=0,"",ROUND(SUMIFS(평가B!$I$3:$I$52,평가B!$B$3:$B$52,A10)/M10,1)))</f>
        <v/>
      </c>
      <c r="C10" s="7" t="str">
        <f aca="false">IF(A10="","",IF(B10="","기록 없음",IF(B10&gt;=GOAL2,"성장 우수",IF(B10&gt;=GOAL1,"성장 목표 달성",""))))</f>
        <v/>
      </c>
      <c r="D10" s="7" t="str">
        <f aca="false">IF(A10="","",IF(B10="","",IF(B10&lt;GOAL1,"",RANK(B10,$B$3:$B$12))))</f>
        <v/>
      </c>
      <c r="E10" s="7" t="str">
        <f aca="false">IF(A10="","",IF(N10=0,"",ROUND(SUMIFS(평가C!$I$3:$I$52,평가C!$B$3:$B$52,A10)/N10,1)))</f>
        <v/>
      </c>
      <c r="F10" s="7" t="str">
        <f aca="false">IF(A10="","",IF(E10="","기록 없음",IF(E10&gt;=GOAL2,"성장 우수",IF(E10&gt;=GOAL1,"성장 목표 달성",""))))</f>
        <v/>
      </c>
      <c r="G10" s="7" t="str">
        <f aca="false">IF(A10="","",IF(E10="","",IF(E10&lt;GOAL1,"",RANK(E10,$E$3:$E$12))))</f>
        <v/>
      </c>
      <c r="H10" s="7" t="str">
        <f aca="false">IF(A10="","",IF(COUNT(B10,E10)=0,"",ROUND(AVERAGE(B10,E10),1)))</f>
        <v/>
      </c>
      <c r="I10" s="7" t="str">
        <f aca="false">IF(OR(A10="",H10=""),"",IF(RANK(H10,$H$3:$H$12)&lt;=3,RANK(H10,$H$3:$H$12),""))</f>
        <v/>
      </c>
      <c r="J10" s="7" t="str">
        <f aca="false">IF(A10="","",IF(COUNT(B10,E10)=0,"",IF(AND(OR(NOT(ISNUMBER(B10)),B10&gt;=GOAL1),OR(NOT(ISNUMBER(E10)),E10&gt;=GOAL1)),"챌린지 완주","")))</f>
        <v/>
      </c>
      <c r="L10" s="7" t="str">
        <f aca="false">IF(A10="","",COUNTIF(평가A!$B$3:$B$52,A10))</f>
        <v/>
      </c>
      <c r="M10" s="7" t="str">
        <f aca="false">IF(A10="","",COUNTIFS(평가B!$B$3:$B$52,A10,평가B!$I$3:$I$52,"&gt;=0"))</f>
        <v/>
      </c>
      <c r="N10" s="7" t="str">
        <f aca="false">IF(A10="","",COUNTIFS(평가C!$B$3:$B$52,A10,평가C!$I$3:$I$52,"&gt;=0"))</f>
        <v/>
      </c>
    </row>
    <row r="11" customFormat="false" ht="15" hidden="false" customHeight="false" outlineLevel="0" collapsed="false">
      <c r="A11" s="3"/>
      <c r="B11" s="7" t="str">
        <f aca="false">IF(A11="","",IF(M11=0,"",ROUND(SUMIFS(평가B!$I$3:$I$52,평가B!$B$3:$B$52,A11)/M11,1)))</f>
        <v/>
      </c>
      <c r="C11" s="7" t="str">
        <f aca="false">IF(A11="","",IF(B11="","기록 없음",IF(B11&gt;=GOAL2,"성장 우수",IF(B11&gt;=GOAL1,"성장 목표 달성",""))))</f>
        <v/>
      </c>
      <c r="D11" s="7" t="str">
        <f aca="false">IF(A11="","",IF(B11="","",IF(B11&lt;GOAL1,"",RANK(B11,$B$3:$B$12))))</f>
        <v/>
      </c>
      <c r="E11" s="7" t="str">
        <f aca="false">IF(A11="","",IF(N11=0,"",ROUND(SUMIFS(평가C!$I$3:$I$52,평가C!$B$3:$B$52,A11)/N11,1)))</f>
        <v/>
      </c>
      <c r="F11" s="7" t="str">
        <f aca="false">IF(A11="","",IF(E11="","기록 없음",IF(E11&gt;=GOAL2,"성장 우수",IF(E11&gt;=GOAL1,"성장 목표 달성",""))))</f>
        <v/>
      </c>
      <c r="G11" s="7" t="str">
        <f aca="false">IF(A11="","",IF(E11="","",IF(E11&lt;GOAL1,"",RANK(E11,$E$3:$E$12))))</f>
        <v/>
      </c>
      <c r="H11" s="7" t="str">
        <f aca="false">IF(A11="","",IF(COUNT(B11,E11)=0,"",ROUND(AVERAGE(B11,E11),1)))</f>
        <v/>
      </c>
      <c r="I11" s="7" t="str">
        <f aca="false">IF(OR(A11="",H11=""),"",IF(RANK(H11,$H$3:$H$12)&lt;=3,RANK(H11,$H$3:$H$12),""))</f>
        <v/>
      </c>
      <c r="J11" s="7" t="str">
        <f aca="false">IF(A11="","",IF(COUNT(B11,E11)=0,"",IF(AND(OR(NOT(ISNUMBER(B11)),B11&gt;=GOAL1),OR(NOT(ISNUMBER(E11)),E11&gt;=GOAL1)),"챌린지 완주","")))</f>
        <v/>
      </c>
      <c r="L11" s="7" t="str">
        <f aca="false">IF(A11="","",COUNTIF(평가A!$B$3:$B$52,A11))</f>
        <v/>
      </c>
      <c r="M11" s="7" t="str">
        <f aca="false">IF(A11="","",COUNTIFS(평가B!$B$3:$B$52,A11,평가B!$I$3:$I$52,"&gt;=0"))</f>
        <v/>
      </c>
      <c r="N11" s="7" t="str">
        <f aca="false">IF(A11="","",COUNTIFS(평가C!$B$3:$B$52,A11,평가C!$I$3:$I$52,"&gt;=0"))</f>
        <v/>
      </c>
    </row>
    <row r="12" customFormat="false" ht="15" hidden="false" customHeight="false" outlineLevel="0" collapsed="false">
      <c r="A12" s="3"/>
      <c r="B12" s="7" t="str">
        <f aca="false">IF(A12="","",IF(M12=0,"",ROUND(SUMIFS(평가B!$I$3:$I$52,평가B!$B$3:$B$52,A12)/M12,1)))</f>
        <v/>
      </c>
      <c r="C12" s="7" t="str">
        <f aca="false">IF(A12="","",IF(B12="","기록 없음",IF(B12&gt;=GOAL2,"성장 우수",IF(B12&gt;=GOAL1,"성장 목표 달성",""))))</f>
        <v/>
      </c>
      <c r="D12" s="7" t="str">
        <f aca="false">IF(A12="","",IF(B12="","",IF(B12&lt;GOAL1,"",RANK(B12,$B$3:$B$12))))</f>
        <v/>
      </c>
      <c r="E12" s="7" t="str">
        <f aca="false">IF(A12="","",IF(N12=0,"",ROUND(SUMIFS(평가C!$I$3:$I$52,평가C!$B$3:$B$52,A12)/N12,1)))</f>
        <v/>
      </c>
      <c r="F12" s="7" t="str">
        <f aca="false">IF(A12="","",IF(E12="","기록 없음",IF(E12&gt;=GOAL2,"성장 우수",IF(E12&gt;=GOAL1,"성장 목표 달성",""))))</f>
        <v/>
      </c>
      <c r="G12" s="7" t="str">
        <f aca="false">IF(A12="","",IF(E12="","",IF(E12&lt;GOAL1,"",RANK(E12,$E$3:$E$12))))</f>
        <v/>
      </c>
      <c r="H12" s="7" t="str">
        <f aca="false">IF(A12="","",IF(COUNT(B12,E12)=0,"",ROUND(AVERAGE(B12,E12),1)))</f>
        <v/>
      </c>
      <c r="I12" s="7" t="str">
        <f aca="false">IF(OR(A12="",H12=""),"",IF(RANK(H12,$H$3:$H$12)&lt;=3,RANK(H12,$H$3:$H$12),""))</f>
        <v/>
      </c>
      <c r="J12" s="7" t="str">
        <f aca="false">IF(A12="","",IF(COUNT(B12,E12)=0,"",IF(AND(OR(NOT(ISNUMBER(B12)),B12&gt;=GOAL1),OR(NOT(ISNUMBER(E12)),E12&gt;=GOAL1)),"챌린지 완주","")))</f>
        <v/>
      </c>
      <c r="L12" s="7" t="str">
        <f aca="false">IF(A12="","",COUNTIF(평가A!$B$3:$B$52,A12))</f>
        <v/>
      </c>
      <c r="M12" s="7" t="str">
        <f aca="false">IF(A12="","",COUNTIFS(평가B!$B$3:$B$52,A12,평가B!$I$3:$I$52,"&gt;=0"))</f>
        <v/>
      </c>
      <c r="N12" s="7" t="str">
        <f aca="false">IF(A12="","",COUNTIFS(평가C!$B$3:$B$52,A12,평가C!$I$3:$I$52,"&gt;=0"))</f>
        <v/>
      </c>
    </row>
    <row r="15" customFormat="false" ht="17.15" hidden="false" customHeight="false" outlineLevel="0" collapsed="false">
      <c r="A15" s="13" t="s">
        <v>59</v>
      </c>
    </row>
    <row r="16" customFormat="false" ht="41.75" hidden="false" customHeight="false" outlineLevel="0" collapsed="false">
      <c r="A16" s="10" t="s">
        <v>60</v>
      </c>
      <c r="B16" s="10" t="s">
        <v>61</v>
      </c>
      <c r="C16" s="10" t="s">
        <v>62</v>
      </c>
      <c r="D16" s="10" t="s">
        <v>63</v>
      </c>
      <c r="E16" s="10" t="s">
        <v>64</v>
      </c>
      <c r="F16" s="10" t="s">
        <v>65</v>
      </c>
      <c r="G16" s="10" t="s">
        <v>66</v>
      </c>
      <c r="H16" s="10" t="s">
        <v>67</v>
      </c>
      <c r="I16" s="10" t="s">
        <v>68</v>
      </c>
      <c r="J16" s="10" t="s">
        <v>69</v>
      </c>
    </row>
    <row r="17" customFormat="false" ht="15" hidden="false" customHeight="false" outlineLevel="0" collapsed="false">
      <c r="A17" s="14" t="s">
        <v>70</v>
      </c>
      <c r="B17" s="7" t="n">
        <f aca="false">COUNTIF(참가자!$A$3:$A$52,"?*")</f>
        <v>12</v>
      </c>
      <c r="C17" s="3"/>
      <c r="D17" s="7" t="n">
        <f aca="false">COUNTIF(진단!$D$3:$D$52,"*응시")</f>
        <v>11</v>
      </c>
      <c r="E17" s="7" t="n">
        <f aca="false">IF(IF(C17="",B17,C17)=0,"",ROUND(D17/IF(C17="",B17,C17)*100,1))</f>
        <v>91.7</v>
      </c>
      <c r="F17" s="7" t="n">
        <f aca="false">IF(D17=0,"",ROUND(AVERAGE(진단!$C$3:$C$52),1))</f>
        <v>62.9</v>
      </c>
      <c r="G17" s="7" t="n">
        <f aca="false">COUNTIF(진단!$E$3:$E$52,"중복*")</f>
        <v>1</v>
      </c>
      <c r="H17" s="7" t="n">
        <f aca="false">COUNTIF(진단!$T$3:$T$102,"명단*")</f>
        <v>0</v>
      </c>
      <c r="I17" s="7" t="str">
        <f aca="false">IF(C17="","(출석 인원 입력 시)",MAX(0,C17-D17))</f>
        <v>(출석 인원 입력 시)</v>
      </c>
      <c r="J17" s="7" t="n">
        <f aca="false">COUNTIF(진단!$D$3:$D$52,"비경쟁*")</f>
        <v>0</v>
      </c>
    </row>
    <row r="18" customFormat="false" ht="15" hidden="false" customHeight="false" outlineLevel="0" collapsed="false">
      <c r="A18" s="14" t="s">
        <v>71</v>
      </c>
      <c r="B18" s="7" t="n">
        <f aca="false">COUNTIF(참가자!$A$3:$A$52,"?*")</f>
        <v>12</v>
      </c>
      <c r="C18" s="3"/>
      <c r="D18" s="7" t="n">
        <f aca="false">COUNTIF(평가A!$D$3:$D$52,"*응시")</f>
        <v>10</v>
      </c>
      <c r="E18" s="7" t="n">
        <f aca="false">IF(IF(C18="",B18,C18)=0,"",ROUND(D18/IF(C18="",B18,C18)*100,1))</f>
        <v>83.3</v>
      </c>
      <c r="F18" s="7" t="n">
        <f aca="false">IF(D18=0,"",ROUND(AVERAGE(평가A!$C$3:$C$52),1))</f>
        <v>58.8</v>
      </c>
      <c r="G18" s="7" t="n">
        <f aca="false">COUNTIF(평가A!$E$3:$E$52,"중복*")</f>
        <v>0</v>
      </c>
      <c r="H18" s="7" t="n">
        <f aca="false">COUNTIF(평가A!$T$3:$T$102,"명단*")</f>
        <v>0</v>
      </c>
      <c r="I18" s="7" t="str">
        <f aca="false">IF(C18="","(출석 인원 입력 시)",MAX(0,C18-D18))</f>
        <v>(출석 인원 입력 시)</v>
      </c>
      <c r="J18" s="7" t="n">
        <f aca="false">COUNTIF(평가A!$D$3:$D$52,"비경쟁*")</f>
        <v>0</v>
      </c>
    </row>
    <row r="19" customFormat="false" ht="15" hidden="false" customHeight="false" outlineLevel="0" collapsed="false">
      <c r="A19" s="14" t="s">
        <v>72</v>
      </c>
      <c r="B19" s="7" t="n">
        <f aca="false">COUNTIF(참가자!$A$3:$A$52,"?*")</f>
        <v>12</v>
      </c>
      <c r="C19" s="3"/>
      <c r="D19" s="7" t="n">
        <f aca="false">COUNTIF(평가B!$D$3:$D$52,"*응시")</f>
        <v>11</v>
      </c>
      <c r="E19" s="7" t="n">
        <f aca="false">IF(IF(C19="",B19,C19)=0,"",ROUND(D19/IF(C19="",B19,C19)*100,1))</f>
        <v>91.7</v>
      </c>
      <c r="F19" s="7" t="n">
        <f aca="false">IF(D19=0,"",ROUND(AVERAGE(평가B!$C$3:$C$52),1))</f>
        <v>68.2</v>
      </c>
      <c r="G19" s="7" t="n">
        <f aca="false">COUNTIF(평가B!$E$3:$E$52,"중복*")</f>
        <v>0</v>
      </c>
      <c r="H19" s="7" t="n">
        <f aca="false">COUNTIF(평가B!$T$3:$T$102,"명단*")</f>
        <v>0</v>
      </c>
      <c r="I19" s="7" t="str">
        <f aca="false">IF(C19="","(출석 인원 입력 시)",MAX(0,C19-D19))</f>
        <v>(출석 인원 입력 시)</v>
      </c>
      <c r="J19" s="7" t="n">
        <f aca="false">COUNTIF(평가B!$D$3:$D$52,"비경쟁*")</f>
        <v>1</v>
      </c>
    </row>
    <row r="20" customFormat="false" ht="15" hidden="false" customHeight="false" outlineLevel="0" collapsed="false">
      <c r="A20" s="14" t="s">
        <v>73</v>
      </c>
      <c r="B20" s="7" t="n">
        <f aca="false">COUNTIF(참가자!$A$3:$A$52,"?*")</f>
        <v>12</v>
      </c>
      <c r="C20" s="3"/>
      <c r="D20" s="7" t="n">
        <f aca="false">COUNTIF(평가C!$D$3:$D$52,"*응시")</f>
        <v>10</v>
      </c>
      <c r="E20" s="7" t="n">
        <f aca="false">IF(IF(C20="",B20,C20)=0,"",ROUND(D20/IF(C20="",B20,C20)*100,1))</f>
        <v>83.3</v>
      </c>
      <c r="F20" s="7" t="n">
        <f aca="false">IF(D20=0,"",ROUND(AVERAGE(평가C!$C$3:$C$52),1))</f>
        <v>60.5</v>
      </c>
      <c r="G20" s="7" t="n">
        <f aca="false">COUNTIF(평가C!$E$3:$E$52,"중복*")</f>
        <v>0</v>
      </c>
      <c r="H20" s="7" t="n">
        <f aca="false">COUNTIF(평가C!$T$3:$T$102,"명단*")</f>
        <v>1</v>
      </c>
      <c r="I20" s="7" t="str">
        <f aca="false">IF(C20="","(출석 인원 입력 시)",MAX(0,C20-D20))</f>
        <v>(출석 인원 입력 시)</v>
      </c>
      <c r="J20" s="7" t="n">
        <f aca="false">COUNTIF(평가C!$D$3:$D$52,"비경쟁*")</f>
        <v>1</v>
      </c>
    </row>
    <row r="21" customFormat="false" ht="15" hidden="false" customHeight="false" outlineLevel="0" collapsed="false">
      <c r="A21" s="15" t="s">
        <v>74</v>
      </c>
      <c r="D21" s="0" t="n">
        <f aca="false">COUNTIF(평가A!$G$3:$G$52,"진단 보정")</f>
        <v>1</v>
      </c>
    </row>
    <row r="22" customFormat="false" ht="15" hidden="false" customHeight="false" outlineLevel="0" collapsed="false">
      <c r="A22" s="15" t="s">
        <v>75</v>
      </c>
      <c r="D22" s="0" t="n">
        <f aca="false">COUNTIF(평가A!$G$3:$G$52,"진단 대체")</f>
        <v>1</v>
      </c>
    </row>
    <row r="23" customFormat="false" ht="15" hidden="false" customHeight="false" outlineLevel="0" collapsed="false">
      <c r="A23" s="15" t="s">
        <v>76</v>
      </c>
      <c r="D23" s="0" t="n">
        <f aca="false">COUNTIF(평가A!$G$3:$G$52,"응시자 평균")</f>
        <v>1</v>
      </c>
    </row>
    <row r="25" customFormat="false" ht="15" hidden="false" customHeight="false" outlineLevel="0" collapsed="false">
      <c r="A25" s="15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16" t="s">
        <v>78</v>
      </c>
    </row>
    <row r="2" customFormat="false" ht="15" hidden="false" customHeight="false" outlineLevel="0" collapsed="false">
      <c r="A2" s="0" t="s">
        <v>79</v>
      </c>
    </row>
    <row r="4" customFormat="false" ht="17.15" hidden="false" customHeight="false" outlineLevel="0" collapsed="false">
      <c r="A4" s="13" t="s">
        <v>80</v>
      </c>
    </row>
    <row r="5" customFormat="false" ht="15" hidden="false" customHeight="false" outlineLevel="0" collapsed="false">
      <c r="A5" s="2" t="s">
        <v>81</v>
      </c>
      <c r="B5" s="2" t="s">
        <v>82</v>
      </c>
      <c r="C5" s="2" t="s">
        <v>83</v>
      </c>
    </row>
    <row r="6" customFormat="false" ht="28.35" hidden="false" customHeight="false" outlineLevel="0" collapsed="false">
      <c r="A6" s="17" t="s">
        <v>84</v>
      </c>
      <c r="B6" s="18" t="s">
        <v>85</v>
      </c>
      <c r="C6" s="19" t="n">
        <v>80</v>
      </c>
    </row>
    <row r="7" customFormat="false" ht="28.35" hidden="false" customHeight="false" outlineLevel="0" collapsed="false">
      <c r="A7" s="17" t="s">
        <v>86</v>
      </c>
      <c r="B7" s="20" t="s">
        <v>87</v>
      </c>
      <c r="C7" s="19" t="n">
        <v>-20</v>
      </c>
    </row>
    <row r="8" customFormat="false" ht="28.35" hidden="false" customHeight="false" outlineLevel="0" collapsed="false">
      <c r="A8" s="17" t="s">
        <v>88</v>
      </c>
      <c r="B8" s="20" t="s">
        <v>89</v>
      </c>
      <c r="C8" s="19" t="n">
        <v>20</v>
      </c>
    </row>
    <row r="9" customFormat="false" ht="15" hidden="false" customHeight="false" outlineLevel="0" collapsed="false">
      <c r="A9" s="17" t="s">
        <v>90</v>
      </c>
      <c r="B9" s="20" t="s">
        <v>91</v>
      </c>
      <c r="C9" s="19" t="n">
        <v>0</v>
      </c>
    </row>
    <row r="10" customFormat="false" ht="15" hidden="false" customHeight="false" outlineLevel="0" collapsed="false">
      <c r="A10" s="17" t="s">
        <v>92</v>
      </c>
      <c r="B10" s="20" t="s">
        <v>93</v>
      </c>
      <c r="C10" s="19" t="n">
        <v>10</v>
      </c>
    </row>
    <row r="11" customFormat="false" ht="15" hidden="false" customHeight="false" outlineLevel="0" collapsed="false">
      <c r="A11" s="17" t="s">
        <v>94</v>
      </c>
      <c r="B11" s="20" t="s">
        <v>95</v>
      </c>
      <c r="C11" s="19" t="n">
        <v>20</v>
      </c>
    </row>
    <row r="12" customFormat="false" ht="15" hidden="false" customHeight="false" outlineLevel="0" collapsed="false">
      <c r="A12" s="17" t="s">
        <v>96</v>
      </c>
      <c r="B12" s="18" t="s">
        <v>97</v>
      </c>
      <c r="C12" s="19" t="n">
        <v>10</v>
      </c>
    </row>
    <row r="13" customFormat="false" ht="15" hidden="false" customHeight="false" outlineLevel="0" collapsed="false">
      <c r="A13" s="17" t="s">
        <v>98</v>
      </c>
      <c r="B13" s="18" t="s">
        <v>99</v>
      </c>
      <c r="C13" s="19" t="n">
        <v>15</v>
      </c>
    </row>
    <row r="14" customFormat="false" ht="28.35" hidden="false" customHeight="false" outlineLevel="0" collapsed="false">
      <c r="A14" s="17" t="s">
        <v>100</v>
      </c>
      <c r="B14" s="18" t="s">
        <v>101</v>
      </c>
      <c r="C14" s="19" t="n">
        <v>1</v>
      </c>
    </row>
    <row r="15" customFormat="false" ht="15" hidden="false" customHeight="false" outlineLevel="0" collapsed="false">
      <c r="A15" s="17" t="s">
        <v>102</v>
      </c>
      <c r="B15" s="18" t="s">
        <v>103</v>
      </c>
      <c r="C15" s="19" t="n">
        <v>25</v>
      </c>
    </row>
    <row r="16" customFormat="false" ht="15" hidden="false" customHeight="false" outlineLevel="0" collapsed="false">
      <c r="A16" s="17" t="s">
        <v>104</v>
      </c>
      <c r="B16" s="18" t="s">
        <v>105</v>
      </c>
      <c r="C16" s="19" t="n">
        <v>12</v>
      </c>
    </row>
    <row r="17" customFormat="false" ht="15" hidden="false" customHeight="false" outlineLevel="0" collapsed="false">
      <c r="A17" s="17" t="s">
        <v>106</v>
      </c>
      <c r="B17" s="18" t="s">
        <v>107</v>
      </c>
      <c r="C17" s="19" t="n">
        <v>8</v>
      </c>
    </row>
    <row r="21" customFormat="false" ht="17.15" hidden="false" customHeight="false" outlineLevel="0" collapsed="false">
      <c r="A21" s="13" t="s">
        <v>108</v>
      </c>
    </row>
    <row r="22" customFormat="false" ht="15" hidden="false" customHeight="false" outlineLevel="0" collapsed="false">
      <c r="A22" s="0" t="s">
        <v>109</v>
      </c>
    </row>
    <row r="23" customFormat="false" ht="15" hidden="false" customHeight="false" outlineLevel="0" collapsed="false">
      <c r="A23" s="0" t="s">
        <v>110</v>
      </c>
    </row>
    <row r="24" customFormat="false" ht="15" hidden="false" customHeight="false" outlineLevel="0" collapsed="false">
      <c r="A24" s="15" t="s">
        <v>111</v>
      </c>
    </row>
    <row r="25" customFormat="false" ht="15" hidden="false" customHeight="false" outlineLevel="0" collapsed="false">
      <c r="A25" s="15" t="s">
        <v>112</v>
      </c>
    </row>
    <row r="26" customFormat="false" ht="15" hidden="false" customHeight="false" outlineLevel="0" collapsed="false">
      <c r="A26" s="15" t="s">
        <v>113</v>
      </c>
    </row>
    <row r="27" customFormat="false" ht="15" hidden="false" customHeight="false" outlineLevel="0" collapsed="false">
      <c r="A27" s="0" t="s">
        <v>114</v>
      </c>
    </row>
    <row r="28" customFormat="false" ht="15" hidden="false" customHeight="false" outlineLevel="0" collapsed="false">
      <c r="A28" s="15" t="s">
        <v>115</v>
      </c>
    </row>
    <row r="29" customFormat="false" ht="15" hidden="false" customHeight="false" outlineLevel="0" collapsed="false">
      <c r="A29" s="0" t="s">
        <v>116</v>
      </c>
    </row>
    <row r="30" customFormat="false" ht="15" hidden="false" customHeight="false" outlineLevel="0" collapsed="false">
      <c r="A30" s="0" t="s">
        <v>117</v>
      </c>
    </row>
    <row r="31" customFormat="false" ht="15" hidden="false" customHeight="false" outlineLevel="0" collapsed="false">
      <c r="A31" s="0" t="s">
        <v>118</v>
      </c>
    </row>
    <row r="32" customFormat="false" ht="15" hidden="false" customHeight="false" outlineLevel="0" collapsed="false">
      <c r="A32" s="0" t="s">
        <v>119</v>
      </c>
    </row>
    <row r="33" customFormat="false" ht="15" hidden="false" customHeight="false" outlineLevel="0" collapsed="false">
      <c r="A33" s="0" t="s">
        <v>120</v>
      </c>
    </row>
    <row r="35" customFormat="false" ht="16.15" hidden="false" customHeight="false" outlineLevel="0" collapsed="false">
      <c r="A35" s="13" t="s">
        <v>121</v>
      </c>
    </row>
    <row r="36" customFormat="false" ht="15" hidden="false" customHeight="false" outlineLevel="0" collapsed="false">
      <c r="A36" s="0" t="s">
        <v>122</v>
      </c>
    </row>
    <row r="37" customFormat="false" ht="15" hidden="false" customHeight="false" outlineLevel="0" collapsed="false">
      <c r="A37" s="0" t="s">
        <v>123</v>
      </c>
    </row>
    <row r="38" customFormat="false" ht="15" hidden="false" customHeight="false" outlineLevel="0" collapsed="false">
      <c r="A38" s="0" t="s">
        <v>124</v>
      </c>
    </row>
    <row r="39" customFormat="false" ht="15" hidden="false" customHeight="false" outlineLevel="0" collapsed="false">
      <c r="A39" s="0" t="s">
        <v>125</v>
      </c>
    </row>
    <row r="41" customFormat="false" ht="17.15" hidden="false" customHeight="false" outlineLevel="0" collapsed="false">
      <c r="A41" s="13" t="s">
        <v>126</v>
      </c>
    </row>
    <row r="42" customFormat="false" ht="15" hidden="false" customHeight="false" outlineLevel="0" collapsed="false">
      <c r="A42" s="0" t="s">
        <v>127</v>
      </c>
    </row>
    <row r="43" customFormat="false" ht="15" hidden="false" customHeight="false" outlineLevel="0" collapsed="false">
      <c r="A43" s="0" t="s">
        <v>128</v>
      </c>
    </row>
    <row r="44" customFormat="false" ht="15" hidden="false" customHeight="false" outlineLevel="0" collapsed="false">
      <c r="A44" s="15" t="s">
        <v>129</v>
      </c>
    </row>
    <row r="45" customFormat="false" ht="15" hidden="false" customHeight="false" outlineLevel="0" collapsed="false">
      <c r="A45" s="0" t="s">
        <v>130</v>
      </c>
    </row>
    <row r="46" customFormat="false" ht="15" hidden="false" customHeight="false" outlineLevel="0" collapsed="false">
      <c r="A46" s="15" t="s">
        <v>131</v>
      </c>
    </row>
    <row r="48" customFormat="false" ht="17.15" hidden="false" customHeight="false" outlineLevel="0" collapsed="false">
      <c r="A48" s="13" t="s">
        <v>132</v>
      </c>
    </row>
    <row r="49" customFormat="false" ht="15" hidden="false" customHeight="false" outlineLevel="0" collapsed="false">
      <c r="A49" s="15" t="s">
        <v>133</v>
      </c>
    </row>
    <row r="50" customFormat="false" ht="15" hidden="false" customHeight="false" outlineLevel="0" collapsed="false">
      <c r="A50" s="15" t="s">
        <v>134</v>
      </c>
    </row>
    <row r="51" customFormat="false" ht="15" hidden="false" customHeight="false" outlineLevel="0" collapsed="false">
      <c r="A51" s="15" t="s">
        <v>135</v>
      </c>
    </row>
    <row r="52" customFormat="false" ht="15" hidden="false" customHeight="false" outlineLevel="0" collapsed="false">
      <c r="A52" s="15" t="s">
        <v>136</v>
      </c>
    </row>
    <row r="54" customFormat="false" ht="16.15" hidden="false" customHeight="false" outlineLevel="0" collapsed="false">
      <c r="A54" s="13" t="s">
        <v>137</v>
      </c>
    </row>
    <row r="55" customFormat="false" ht="15" hidden="false" customHeight="false" outlineLevel="0" collapsed="false">
      <c r="A55" s="0" t="s">
        <v>138</v>
      </c>
    </row>
    <row r="56" customFormat="false" ht="15" hidden="false" customHeight="false" outlineLevel="0" collapsed="false">
      <c r="A56" s="15" t="s">
        <v>139</v>
      </c>
    </row>
    <row r="58" customFormat="false" ht="17.15" hidden="false" customHeight="false" outlineLevel="0" collapsed="false">
      <c r="A58" s="13" t="s">
        <v>140</v>
      </c>
    </row>
    <row r="59" customFormat="false" ht="15" hidden="false" customHeight="false" outlineLevel="0" collapsed="false">
      <c r="A59" s="15" t="s">
        <v>141</v>
      </c>
    </row>
    <row r="60" customFormat="false" ht="15" hidden="false" customHeight="false" outlineLevel="0" collapsed="false">
      <c r="A60" s="15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2026-11-01T12:37:38Z</dcterms:created>
  <dc:creator>openpyxl</dc:creator>
  <dc:description/>
  <dc:language>en-US</dc:language>
  <cp:lastModifiedBy/>
  <dcterms:modified xsi:type="dcterms:W3CDTF">2026-11-01T12:37:38Z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